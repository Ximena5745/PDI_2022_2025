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"/>
    </mc:Choice>
  </mc:AlternateContent>
  <xr:revisionPtr revIDLastSave="2943" documentId="11_C54DB9D477E07092D1C9E253F65DD242EE9209D1" xr6:coauthVersionLast="47" xr6:coauthVersionMax="47" xr10:uidLastSave="{B2727A9F-11F5-45C0-9DCC-B4FC813B2379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1" hidden="1">Base_Indicadores!$A$1:$M$58</definedName>
    <definedName name="_xlnm._FilterDatabase" localSheetId="3" hidden="1">Cierres_Original!$A$1:$T$180</definedName>
    <definedName name="_xlnm._FilterDatabase" localSheetId="0" hidden="1">Unificado!$A$1:$AD$637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7" i="1" l="1"/>
  <c r="M637" i="1"/>
  <c r="N636" i="1"/>
  <c r="M636" i="1"/>
  <c r="N635" i="1"/>
  <c r="M635" i="1"/>
  <c r="N634" i="1"/>
  <c r="M634" i="1"/>
  <c r="N633" i="1"/>
  <c r="M633" i="1"/>
  <c r="N632" i="1"/>
  <c r="M632" i="1"/>
  <c r="N609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08" i="1"/>
  <c r="N624" i="1"/>
  <c r="M624" i="1"/>
  <c r="N623" i="1"/>
  <c r="M623" i="1"/>
  <c r="N603" i="1"/>
  <c r="N622" i="1"/>
  <c r="M622" i="1"/>
  <c r="N602" i="1"/>
  <c r="N621" i="1"/>
  <c r="M621" i="1"/>
  <c r="N620" i="1"/>
  <c r="M620" i="1"/>
  <c r="M563" i="1"/>
  <c r="N563" i="1"/>
  <c r="N619" i="1"/>
  <c r="M619" i="1"/>
  <c r="N618" i="1"/>
  <c r="M618" i="1"/>
  <c r="N617" i="1"/>
  <c r="M617" i="1"/>
  <c r="N616" i="1"/>
  <c r="M616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5" i="1"/>
  <c r="N586" i="1"/>
  <c r="N587" i="1"/>
  <c r="N588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4" i="1"/>
  <c r="N605" i="1"/>
  <c r="N606" i="1"/>
  <c r="N607" i="1"/>
  <c r="N610" i="1"/>
  <c r="N611" i="1"/>
  <c r="N612" i="1"/>
  <c r="N613" i="1"/>
  <c r="N614" i="1"/>
  <c r="N615" i="1"/>
  <c r="N540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5" i="1"/>
  <c r="M586" i="1"/>
  <c r="M587" i="1"/>
  <c r="M588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N539" i="1" l="1"/>
  <c r="M539" i="1"/>
  <c r="N538" i="1"/>
  <c r="M538" i="1"/>
  <c r="N537" i="1"/>
  <c r="M537" i="1"/>
  <c r="Q532" i="1"/>
  <c r="K531" i="1"/>
  <c r="L530" i="1"/>
  <c r="K530" i="1"/>
  <c r="N529" i="1"/>
  <c r="M529" i="1"/>
  <c r="L528" i="1"/>
  <c r="K528" i="1"/>
  <c r="N526" i="1"/>
  <c r="M526" i="1"/>
  <c r="N525" i="1"/>
  <c r="M525" i="1"/>
  <c r="Q524" i="1"/>
  <c r="N524" i="1"/>
  <c r="M524" i="1"/>
  <c r="N523" i="1"/>
  <c r="M523" i="1"/>
  <c r="N522" i="1"/>
  <c r="M522" i="1"/>
  <c r="K216" i="1"/>
  <c r="L520" i="1"/>
  <c r="Q519" i="1"/>
  <c r="N518" i="1"/>
  <c r="M518" i="1"/>
  <c r="M517" i="1"/>
  <c r="N516" i="1"/>
  <c r="M516" i="1"/>
  <c r="N515" i="1"/>
  <c r="M515" i="1"/>
  <c r="M514" i="1"/>
  <c r="M480" i="1"/>
  <c r="M163" i="1"/>
  <c r="M162" i="1"/>
  <c r="M161" i="1"/>
  <c r="M160" i="1"/>
  <c r="M159" i="1"/>
  <c r="M158" i="1"/>
  <c r="M157" i="1"/>
  <c r="M156" i="1"/>
  <c r="M155" i="1"/>
  <c r="N163" i="1"/>
  <c r="N514" i="1"/>
  <c r="M513" i="1"/>
  <c r="L512" i="1"/>
  <c r="K512" i="1"/>
  <c r="N510" i="1"/>
  <c r="M510" i="1"/>
  <c r="N509" i="1"/>
  <c r="M509" i="1"/>
  <c r="L508" i="1"/>
  <c r="K508" i="1"/>
  <c r="N507" i="1"/>
  <c r="M507" i="1"/>
  <c r="N506" i="1"/>
  <c r="M506" i="1"/>
  <c r="N505" i="1"/>
  <c r="M505" i="1"/>
  <c r="N504" i="1"/>
  <c r="M504" i="1"/>
  <c r="N530" i="1" l="1"/>
  <c r="M530" i="1"/>
  <c r="M528" i="1"/>
  <c r="N528" i="1"/>
  <c r="N508" i="1"/>
  <c r="M508" i="1"/>
  <c r="N449" i="1" l="1"/>
  <c r="N448" i="1"/>
  <c r="M449" i="1"/>
  <c r="M448" i="1"/>
  <c r="L451" i="1"/>
  <c r="L450" i="1"/>
  <c r="K451" i="1"/>
  <c r="K450" i="1"/>
  <c r="L447" i="1"/>
  <c r="M447" i="1" s="1"/>
  <c r="L446" i="1"/>
  <c r="M446" i="1" s="1"/>
  <c r="K445" i="1"/>
  <c r="K444" i="1"/>
  <c r="N441" i="1"/>
  <c r="N440" i="1"/>
  <c r="M441" i="1"/>
  <c r="M440" i="1"/>
  <c r="L443" i="1"/>
  <c r="L442" i="1"/>
  <c r="K443" i="1"/>
  <c r="K442" i="1"/>
  <c r="L439" i="1"/>
  <c r="N439" i="1" s="1"/>
  <c r="L438" i="1"/>
  <c r="M438" i="1" s="1"/>
  <c r="K437" i="1"/>
  <c r="K436" i="1"/>
  <c r="L483" i="1"/>
  <c r="K483" i="1"/>
  <c r="N483" i="1"/>
  <c r="N434" i="1"/>
  <c r="N433" i="1"/>
  <c r="K435" i="1"/>
  <c r="L435" i="1"/>
  <c r="N435" i="1" s="1"/>
  <c r="N442" i="1" l="1"/>
  <c r="M439" i="1"/>
  <c r="M443" i="1"/>
  <c r="M451" i="1"/>
  <c r="N450" i="1"/>
  <c r="M442" i="1"/>
  <c r="M450" i="1"/>
  <c r="K535" i="1"/>
  <c r="N446" i="1"/>
  <c r="K536" i="1"/>
  <c r="N447" i="1"/>
  <c r="N438" i="1"/>
  <c r="N443" i="1"/>
  <c r="N451" i="1"/>
  <c r="M483" i="1"/>
  <c r="M435" i="1"/>
  <c r="M434" i="1"/>
  <c r="M433" i="1"/>
  <c r="L432" i="1"/>
  <c r="M432" i="1" s="1"/>
  <c r="L431" i="1"/>
  <c r="M431" i="1" s="1"/>
  <c r="K430" i="1"/>
  <c r="K534" i="1" s="1"/>
  <c r="L430" i="1"/>
  <c r="M430" i="1" s="1"/>
  <c r="K429" i="1"/>
  <c r="L534" i="1" l="1"/>
  <c r="M534" i="1" s="1"/>
  <c r="N430" i="1"/>
  <c r="N432" i="1"/>
  <c r="N431" i="1"/>
  <c r="N481" i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484" i="1"/>
  <c r="L533" i="1" s="1"/>
  <c r="L428" i="1"/>
  <c r="K484" i="1"/>
  <c r="K533" i="1" s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L503" i="1"/>
  <c r="L532" i="1" s="1"/>
  <c r="K503" i="1"/>
  <c r="K532" i="1" s="1"/>
  <c r="N391" i="1"/>
  <c r="N390" i="1"/>
  <c r="N389" i="1"/>
  <c r="N388" i="1"/>
  <c r="N387" i="1"/>
  <c r="N386" i="1"/>
  <c r="M386" i="1"/>
  <c r="M391" i="1"/>
  <c r="M390" i="1"/>
  <c r="M389" i="1"/>
  <c r="M388" i="1"/>
  <c r="M387" i="1"/>
  <c r="L393" i="1"/>
  <c r="L392" i="1"/>
  <c r="N392" i="1" s="1"/>
  <c r="N534" i="1" l="1"/>
  <c r="N533" i="1"/>
  <c r="M533" i="1"/>
  <c r="N393" i="1"/>
  <c r="L531" i="1"/>
  <c r="N532" i="1"/>
  <c r="M532" i="1"/>
  <c r="N428" i="1"/>
  <c r="M393" i="1"/>
  <c r="N484" i="1"/>
  <c r="M428" i="1"/>
  <c r="M484" i="1"/>
  <c r="M392" i="1"/>
  <c r="N503" i="1"/>
  <c r="M503" i="1"/>
  <c r="N531" i="1" l="1"/>
  <c r="M531" i="1"/>
  <c r="N384" i="1"/>
  <c r="N383" i="1"/>
  <c r="N382" i="1"/>
  <c r="N381" i="1"/>
  <c r="M381" i="1"/>
  <c r="M384" i="1"/>
  <c r="M383" i="1"/>
  <c r="M382" i="1"/>
  <c r="L385" i="1"/>
  <c r="K385" i="1"/>
  <c r="N385" i="1" s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479" i="1"/>
  <c r="L519" i="1" s="1"/>
  <c r="K479" i="1"/>
  <c r="K519" i="1" s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2" i="1"/>
  <c r="N161" i="1"/>
  <c r="N160" i="1"/>
  <c r="N159" i="1"/>
  <c r="N158" i="1"/>
  <c r="N157" i="1"/>
  <c r="N156" i="1"/>
  <c r="N155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N519" i="1" l="1"/>
  <c r="M519" i="1"/>
  <c r="M385" i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Q192" i="1"/>
  <c r="H192" i="1"/>
  <c r="G192" i="1"/>
  <c r="Q193" i="1"/>
  <c r="H193" i="1"/>
  <c r="G193" i="1"/>
  <c r="Q196" i="1"/>
  <c r="H196" i="1"/>
  <c r="G196" i="1"/>
  <c r="Q479" i="1"/>
  <c r="G479" i="1"/>
  <c r="H479" i="1"/>
  <c r="N436" i="1" l="1"/>
  <c r="M436" i="1"/>
  <c r="N437" i="1"/>
  <c r="M437" i="1"/>
  <c r="L535" i="1"/>
  <c r="M444" i="1"/>
  <c r="N444" i="1"/>
  <c r="N429" i="1"/>
  <c r="M429" i="1"/>
  <c r="M445" i="1"/>
  <c r="N445" i="1"/>
  <c r="L536" i="1"/>
  <c r="I479" i="1"/>
  <c r="I196" i="1"/>
  <c r="I193" i="1"/>
  <c r="I192" i="1"/>
  <c r="Q478" i="1"/>
  <c r="H478" i="1"/>
  <c r="G478" i="1"/>
  <c r="M536" i="1" l="1"/>
  <c r="N536" i="1"/>
  <c r="M535" i="1"/>
  <c r="N535" i="1"/>
  <c r="I478" i="1"/>
  <c r="Q359" i="1"/>
  <c r="G359" i="1"/>
  <c r="H359" i="1"/>
  <c r="Q194" i="1"/>
  <c r="Q195" i="1"/>
  <c r="Q191" i="1"/>
  <c r="H195" i="1"/>
  <c r="G195" i="1"/>
  <c r="H194" i="1"/>
  <c r="G194" i="1"/>
  <c r="G191" i="1"/>
  <c r="H191" i="1"/>
  <c r="H281" i="1"/>
  <c r="Q270" i="1"/>
  <c r="H270" i="1"/>
  <c r="G270" i="1"/>
  <c r="Q267" i="1"/>
  <c r="H267" i="1"/>
  <c r="G267" i="1"/>
  <c r="Q264" i="1"/>
  <c r="H264" i="1"/>
  <c r="G264" i="1"/>
  <c r="Q261" i="1"/>
  <c r="G261" i="1"/>
  <c r="H261" i="1"/>
  <c r="Q410" i="1"/>
  <c r="H410" i="1"/>
  <c r="G410" i="1"/>
  <c r="Q407" i="1"/>
  <c r="H407" i="1"/>
  <c r="G407" i="1"/>
  <c r="Q404" i="1"/>
  <c r="H404" i="1"/>
  <c r="G404" i="1"/>
  <c r="Q503" i="1"/>
  <c r="Q282" i="1"/>
  <c r="H282" i="1"/>
  <c r="G282" i="1"/>
  <c r="Q269" i="1"/>
  <c r="H269" i="1"/>
  <c r="G269" i="1"/>
  <c r="Q268" i="1"/>
  <c r="H268" i="1"/>
  <c r="G268" i="1"/>
  <c r="Q266" i="1"/>
  <c r="H266" i="1"/>
  <c r="G266" i="1"/>
  <c r="Q265" i="1"/>
  <c r="H265" i="1"/>
  <c r="G265" i="1"/>
  <c r="Q263" i="1"/>
  <c r="H263" i="1"/>
  <c r="G263" i="1"/>
  <c r="Q262" i="1"/>
  <c r="H262" i="1"/>
  <c r="G262" i="1"/>
  <c r="Q260" i="1"/>
  <c r="H260" i="1"/>
  <c r="G260" i="1"/>
  <c r="Q259" i="1"/>
  <c r="G259" i="1"/>
  <c r="H259" i="1"/>
  <c r="Q409" i="1"/>
  <c r="H409" i="1"/>
  <c r="G409" i="1"/>
  <c r="Q408" i="1"/>
  <c r="H408" i="1"/>
  <c r="G408" i="1"/>
  <c r="Q406" i="1"/>
  <c r="H406" i="1"/>
  <c r="G406" i="1"/>
  <c r="Q405" i="1"/>
  <c r="H405" i="1"/>
  <c r="G405" i="1"/>
  <c r="Q403" i="1"/>
  <c r="H403" i="1"/>
  <c r="G403" i="1"/>
  <c r="Q402" i="1"/>
  <c r="H402" i="1"/>
  <c r="G402" i="1"/>
  <c r="Q401" i="1"/>
  <c r="H401" i="1"/>
  <c r="G401" i="1"/>
  <c r="Q399" i="1"/>
  <c r="H399" i="1"/>
  <c r="G399" i="1"/>
  <c r="Q421" i="1"/>
  <c r="G421" i="1"/>
  <c r="H421" i="1"/>
  <c r="Q13" i="1"/>
  <c r="Q12" i="1"/>
  <c r="Q11" i="1"/>
  <c r="Q10" i="1"/>
  <c r="Q9" i="1"/>
  <c r="Q8" i="1"/>
  <c r="Q7" i="1"/>
  <c r="Q6" i="1"/>
  <c r="Q5" i="1"/>
  <c r="Q4" i="1"/>
  <c r="Q3" i="1"/>
  <c r="Q2" i="1"/>
  <c r="Q400" i="1"/>
  <c r="H400" i="1"/>
  <c r="G400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<sst xmlns="http://schemas.openxmlformats.org/spreadsheetml/2006/main" count="16666" uniqueCount="719">
  <si>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</si>
  <si>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</si>
  <si>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</si>
  <si>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</si>
  <si>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</si>
  <si>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</si>
  <si>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</si>
  <si>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</si>
  <si>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</si>
  <si>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</si>
  <si>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</si>
  <si>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</si>
  <si>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</si>
  <si>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</si>
  <si>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</si>
  <si>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</si>
  <si>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</si>
  <si>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</si>
  <si>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</si>
  <si>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</si>
  <si>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</si>
  <si>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</si>
  <si>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</si>
  <si>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</si>
  <si>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</si>
  <si>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</si>
  <si>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</si>
  <si>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</si>
  <si>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</si>
  <si>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</si>
  <si>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</si>
  <si>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</si>
  <si>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</si>
  <si>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</si>
  <si>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</si>
  <si>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</si>
  <si>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</si>
  <si>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</si>
  <si>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</si>
  <si>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</si>
  <si>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</si>
  <si>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</si>
  <si>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</si>
  <si>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</si>
  <si>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</si>
  <si>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</si>
  <si>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</si>
  <si>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</si>
  <si>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</si>
  <si>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</si>
  <si>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</si>
  <si>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</si>
  <si>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</si>
  <si>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</si>
  <si>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</si>
  <si>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</si>
  <si>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</si>
  <si>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</si>
  <si>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</si>
  <si>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</si>
  <si>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</si>
  <si>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</si>
  <si>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</si>
  <si>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</si>
  <si>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</si>
  <si>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</si>
  <si>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</si>
  <si>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</si>
  <si>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</si>
  <si>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</si>
  <si>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</si>
  <si>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</si>
  <si>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</si>
  <si>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</si>
  <si>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</si>
  <si>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</si>
  <si>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</si>
  <si>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</si>
  <si>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</si>
  <si>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</si>
  <si>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</si>
  <si>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</si>
  <si>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</si>
  <si>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</si>
  <si>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</si>
  <si>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</si>
  <si>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</si>
  <si>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</si>
  <si>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</si>
  <si>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</si>
  <si>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</si>
  <si>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</si>
  <si>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</si>
  <si>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</si>
  <si>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</si>
  <si>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</si>
  <si>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</si>
  <si>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</si>
  <si>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</si>
  <si>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</si>
  <si>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</si>
  <si>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</si>
  <si>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</si>
  <si>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</si>
  <si>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</si>
  <si>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</si>
  <si>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</si>
  <si>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</si>
  <si>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</si>
  <si>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</si>
  <si>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</si>
  <si>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</si>
  <si>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</si>
  <si>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</si>
  <si>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</si>
  <si>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</si>
  <si>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</si>
  <si>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</si>
  <si>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</si>
  <si>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</si>
  <si>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</si>
  <si>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</si>
  <si>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</si>
  <si>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</si>
  <si>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</si>
  <si>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</si>
  <si>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</si>
  <si>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</si>
  <si>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</si>
  <si>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</si>
  <si>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</si>
  <si>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</si>
  <si>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</si>
  <si>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</si>
  <si>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</si>
  <si>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</si>
  <si>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</si>
  <si>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</si>
  <si>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</si>
  <si>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</si>
  <si>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</si>
  <si>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</si>
  <si>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</si>
  <si>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</si>
  <si>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</si>
  <si>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</si>
  <si>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</si>
  <si>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</si>
  <si>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</si>
  <si>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</si>
  <si>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</si>
  <si>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</si>
  <si>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</si>
  <si>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</si>
  <si>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</si>
  <si>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</si>
  <si>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</si>
  <si>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</si>
  <si>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</si>
  <si>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</si>
  <si>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</si>
  <si>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</si>
  <si>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</si>
  <si>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</si>
  <si>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</si>
  <si>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</si>
  <si>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</si>
  <si>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</si>
  <si>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</si>
  <si>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</si>
  <si>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</si>
  <si>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</si>
  <si>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</si>
  <si>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</si>
  <si>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</si>
  <si>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</si>
  <si>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</si>
  <si>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</si>
  <si>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</si>
  <si>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</si>
  <si>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</si>
  <si>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</si>
  <si>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</si>
  <si>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</si>
  <si>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</si>
  <si>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</si>
  <si>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</si>
  <si>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</si>
  <si>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</si>
  <si>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</si>
  <si>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</si>
  <si>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</si>
  <si>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</si>
  <si>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</si>
  <si>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</si>
  <si>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</si>
  <si>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</si>
  <si>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</si>
  <si>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</si>
  <si>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</si>
  <si>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</si>
  <si>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</si>
  <si>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</si>
  <si>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</si>
  <si>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</si>
  <si>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</si>
  <si>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</si>
  <si>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</si>
  <si>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</si>
  <si>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</si>
  <si>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</si>
  <si>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</si>
  <si>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</si>
  <si>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</si>
  <si>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</si>
  <si>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</si>
  <si>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</si>
  <si>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</si>
  <si>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</si>
  <si>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</si>
  <si>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</si>
  <si>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</si>
  <si>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</si>
  <si>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</si>
  <si>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</si>
  <si>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</si>
  <si>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</si>
  <si>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</si>
  <si>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</si>
  <si>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</si>
  <si>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</si>
  <si>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</si>
  <si>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</si>
  <si>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</si>
  <si>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</si>
  <si>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</si>
  <si>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</si>
  <si>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</si>
  <si>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</si>
  <si>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</si>
  <si>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</si>
  <si>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</si>
  <si>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</si>
  <si>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</si>
  <si>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</si>
  <si>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</si>
  <si>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</si>
  <si>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</si>
  <si>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</si>
  <si>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</si>
  <si>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</si>
  <si>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</si>
  <si>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</si>
  <si>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</si>
  <si>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</si>
  <si>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</si>
  <si>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</si>
  <si>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</si>
  <si>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</si>
  <si>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</si>
  <si>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</si>
  <si>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</si>
  <si>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</si>
  <si>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</si>
  <si>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</si>
  <si>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</si>
  <si>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</si>
  <si>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</si>
  <si>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</si>
  <si>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</si>
  <si>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</si>
  <si>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</si>
  <si>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</si>
  <si>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</si>
  <si>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</si>
  <si>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</si>
  <si>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</si>
  <si>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</si>
  <si>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</si>
  <si>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</si>
  <si>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</si>
  <si>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</si>
  <si>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</si>
  <si>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</si>
  <si>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</si>
  <si>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</si>
  <si>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</si>
  <si>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</si>
  <si>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</si>
  <si>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</si>
  <si>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</si>
  <si>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</si>
  <si>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</si>
  <si>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</si>
  <si>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</si>
  <si>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</si>
  <si>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</si>
  <si>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</si>
  <si>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</si>
  <si>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</si>
  <si>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</si>
  <si>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</si>
  <si>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</si>
  <si>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</si>
  <si>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</si>
  <si>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</si>
  <si>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</si>
  <si>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</si>
  <si>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</si>
  <si>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</si>
  <si>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</si>
  <si>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</si>
  <si>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</si>
  <si>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</si>
  <si>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</si>
  <si>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</si>
  <si>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</si>
  <si>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</si>
  <si>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</si>
  <si>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</si>
  <si>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</si>
  <si>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</si>
  <si>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</si>
  <si>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</si>
  <si>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</si>
  <si>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</si>
  <si>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</si>
  <si>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</si>
  <si>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</si>
  <si>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</si>
  <si>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</si>
  <si>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</si>
  <si>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</si>
  <si>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</si>
  <si>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</si>
  <si>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</si>
  <si>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</si>
  <si>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</si>
  <si>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</si>
  <si>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</si>
  <si>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</si>
  <si>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</si>
  <si>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</si>
  <si>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</si>
  <si>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</si>
  <si>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</si>
  <si>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</si>
  <si>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</si>
  <si>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</si>
  <si>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</si>
  <si>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</si>
  <si>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</si>
  <si>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</si>
  <si>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</si>
  <si>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</si>
  <si>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</si>
  <si>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</si>
  <si>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</si>
  <si>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</si>
  <si>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</si>
  <si>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</si>
  <si>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</si>
  <si>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</si>
  <si>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</si>
  <si>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</si>
  <si>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</si>
  <si>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</si>
  <si>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</si>
  <si>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</si>
  <si>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</si>
  <si>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</si>
  <si>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</si>
  <si>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</si>
  <si>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</si>
  <si>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</si>
  <si>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</si>
  <si>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</si>
  <si>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</si>
  <si>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</si>
  <si>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</si>
  <si>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</si>
  <si>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</si>
  <si>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</si>
  <si>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</si>
  <si>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</si>
  <si>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</si>
  <si>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</si>
  <si>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</si>
  <si>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</si>
  <si>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</si>
  <si>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</si>
  <si>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</si>
  <si>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</si>
  <si>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</si>
  <si>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</si>
  <si>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</si>
  <si>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</si>
  <si>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</si>
  <si>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</si>
  <si>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</si>
  <si>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</si>
  <si>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</si>
  <si>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</si>
  <si>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</si>
  <si>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</si>
  <si>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</si>
  <si>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</si>
  <si>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</si>
  <si>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</si>
  <si>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</si>
  <si>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</si>
  <si>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</si>
  <si>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</si>
  <si>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</si>
  <si>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</si>
  <si>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</si>
  <si>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</si>
  <si>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</si>
  <si>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</si>
  <si>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</si>
  <si>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</si>
  <si>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</si>
  <si>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</si>
  <si>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</si>
  <si>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</si>
  <si>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</si>
  <si>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</si>
  <si>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</si>
  <si>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</si>
  <si>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</si>
  <si>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</si>
  <si>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</si>
  <si>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</si>
  <si>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</si>
  <si>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</si>
  <si>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</si>
  <si>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</si>
  <si>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</si>
  <si>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</si>
  <si>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</si>
  <si>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</si>
  <si>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</si>
  <si>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</si>
  <si>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</si>
  <si>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</si>
  <si>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</si>
  <si>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</si>
  <si>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</si>
  <si>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</si>
  <si>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</si>
  <si>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</si>
  <si>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</si>
  <si>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</si>
  <si>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</si>
  <si>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</si>
  <si>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</si>
  <si>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</si>
  <si>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</si>
  <si>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</si>
  <si>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</si>
  <si>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</si>
  <si>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</si>
  <si>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</si>
  <si>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</si>
  <si>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</si>
  <si>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</si>
  <si>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</si>
  <si>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</si>
  <si>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</si>
  <si>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</si>
  <si>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</si>
  <si>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</si>
  <si>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</si>
  <si>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</si>
  <si>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</si>
  <si>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</si>
  <si>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</si>
  <si>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</si>
  <si>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</si>
  <si>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</si>
  <si>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</si>
  <si>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</si>
  <si>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</si>
  <si>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</si>
  <si>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</si>
  <si>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</si>
  <si>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</si>
  <si>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</si>
  <si>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</si>
  <si>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</si>
  <si>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</si>
  <si>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</si>
  <si>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</si>
  <si>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</si>
  <si>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</si>
  <si>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</si>
  <si>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</si>
  <si>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</si>
  <si>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</si>
  <si>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</si>
  <si>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</si>
  <si>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</si>
  <si>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</si>
  <si>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77-2025-12-31</t>
  </si>
  <si>
    <t>334-2025-12-31</t>
  </si>
  <si>
    <t>% Programas acreditables acreditados Sede Bogotá</t>
  </si>
  <si>
    <t>339-2022-12-31</t>
  </si>
  <si>
    <t>96-2025-12-31</t>
  </si>
  <si>
    <t>Noviembre</t>
  </si>
  <si>
    <t>98-2025-12-31</t>
  </si>
  <si>
    <t>148-2025-12-31</t>
  </si>
  <si>
    <t>193-2025-12-31</t>
  </si>
  <si>
    <t>200-2025-12-31</t>
  </si>
  <si>
    <t>202-2025-12-31</t>
  </si>
  <si>
    <t>276-2025-12-31</t>
  </si>
  <si>
    <t>277-2025-12-31</t>
  </si>
  <si>
    <t>364-2025-12-31</t>
  </si>
  <si>
    <t>369-2025-12-31</t>
  </si>
  <si>
    <t>Avance</t>
  </si>
  <si>
    <t>205-2022-12-31</t>
  </si>
  <si>
    <t>10.1</t>
  </si>
  <si>
    <t>Acreditación Institucional Sede Bogotá - Fase I</t>
  </si>
  <si>
    <t>Autoevaluación de programas académicos</t>
  </si>
  <si>
    <t>13.1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</si>
  <si>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</si>
  <si>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</si>
  <si>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</si>
  <si>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</si>
  <si>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</si>
  <si>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</si>
  <si>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</si>
  <si>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Acreditación Institucional Sede Bogotá - Fase II - Condiciones iniciales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</si>
  <si>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</si>
  <si>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</si>
  <si>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</si>
  <si>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</si>
  <si>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</si>
  <si>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</si>
  <si>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</si>
  <si>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</si>
  <si>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Prime</t>
  </si>
  <si>
    <t>Pricing</t>
  </si>
  <si>
    <t>Hubspot CRM</t>
  </si>
  <si>
    <t>Migración modelo de transporte rotativo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</si>
  <si>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</si>
  <si>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</si>
  <si>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</si>
  <si>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</si>
  <si>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</si>
  <si>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</si>
  <si>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</si>
  <si>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</si>
  <si>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</si>
  <si>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SOPHIA Sistema de optimización y programación horaria institucional</t>
  </si>
  <si>
    <t>Proyecto de permanencia institucional</t>
  </si>
  <si>
    <t>Centro Gastronómico</t>
  </si>
  <si>
    <t>Gestión de Proyectos</t>
  </si>
  <si>
    <t>Gestión de calidad</t>
  </si>
  <si>
    <t>Gestión ambiental</t>
  </si>
  <si>
    <t>Gestión de la tecnología e innovación digital</t>
  </si>
  <si>
    <t>GESTIÓN JURÍDICA Y NORMATIVA</t>
  </si>
  <si>
    <t>Experiencia institucional</t>
  </si>
  <si>
    <t>Gestión de unidades académicas</t>
  </si>
  <si>
    <t>Biblioteca Institucional</t>
  </si>
  <si>
    <t>Gestión Infraestructura Física</t>
  </si>
  <si>
    <t>Operaciones Académicas</t>
  </si>
  <si>
    <t>Julio</t>
  </si>
  <si>
    <t>1-2023-12-31</t>
  </si>
  <si>
    <t>2-2022-12-31</t>
  </si>
  <si>
    <t>2-2023-12-31</t>
  </si>
  <si>
    <t>3-2023-12-31</t>
  </si>
  <si>
    <t>4-2022-12-31</t>
  </si>
  <si>
    <t>4-2023-12-31</t>
  </si>
  <si>
    <t>5-2023-12-31</t>
  </si>
  <si>
    <t>5-2024-12-31</t>
  </si>
  <si>
    <t>6-2023-12-31</t>
  </si>
  <si>
    <t>6-2024-12-31</t>
  </si>
  <si>
    <t>7-2023-12-31</t>
  </si>
  <si>
    <t>7-2024-12-31</t>
  </si>
  <si>
    <t>8-2023-12-31</t>
  </si>
  <si>
    <t>9-2023-12-31</t>
  </si>
  <si>
    <t>9-2024-06-30</t>
  </si>
  <si>
    <t>10-2023-12-31</t>
  </si>
  <si>
    <t>10-2024-12-31</t>
  </si>
  <si>
    <t>11-2024-12-31</t>
  </si>
  <si>
    <t>12-2023-12-31</t>
  </si>
  <si>
    <t>12-2024-12-31</t>
  </si>
  <si>
    <t>13-2023-12-31</t>
  </si>
  <si>
    <t>13-2024-12-31</t>
  </si>
  <si>
    <t>900-2024-12-31</t>
  </si>
  <si>
    <t>901-2024-12-31</t>
  </si>
  <si>
    <t>902-2024-12-31</t>
  </si>
  <si>
    <t>903-2024-12-31</t>
  </si>
  <si>
    <t>905-2024-12-31</t>
  </si>
  <si>
    <t>906-2024-12-31</t>
  </si>
  <si>
    <t>907-2024-12-31</t>
  </si>
  <si>
    <t>908-2024-12-31</t>
  </si>
  <si>
    <t>10.1-2022-12-30</t>
  </si>
  <si>
    <t>10.1-2023-12-31</t>
  </si>
  <si>
    <t>13.1-2022-12-31</t>
  </si>
  <si>
    <t>1-2026-01-1</t>
  </si>
  <si>
    <t>2-2026-01-1</t>
  </si>
  <si>
    <t>3-2026-01-1</t>
  </si>
  <si>
    <t>6-2026-01-1</t>
  </si>
  <si>
    <t>7-2026-01-1</t>
  </si>
  <si>
    <t>9-2026-01-1</t>
  </si>
  <si>
    <t>10-2026-01-1</t>
  </si>
  <si>
    <t>11-2026-01-1</t>
  </si>
  <si>
    <t>12-2026-01-1</t>
  </si>
  <si>
    <t>13-2026-01-1</t>
  </si>
  <si>
    <t>10.1-2026-01-1</t>
  </si>
  <si>
    <t>13.1-2026-01-1</t>
  </si>
  <si>
    <t>900-2026-01-1</t>
  </si>
  <si>
    <t>901-2026-01-1</t>
  </si>
  <si>
    <t>902-2026-01-1</t>
  </si>
  <si>
    <t>903-2026-01-1</t>
  </si>
  <si>
    <t>904-2026-01-1</t>
  </si>
  <si>
    <t>905-2026-01-1</t>
  </si>
  <si>
    <t>906-2026-01-1</t>
  </si>
  <si>
    <t>907-2026-01-1</t>
  </si>
  <si>
    <t>908-2026-01-1</t>
  </si>
  <si>
    <t>921-2023-12-31</t>
  </si>
  <si>
    <t>925-2023-12-31</t>
  </si>
  <si>
    <t>920-2024-12-31</t>
  </si>
  <si>
    <t>918-2025-07-31</t>
  </si>
  <si>
    <t>922-2025-07-31</t>
  </si>
  <si>
    <t>Característica 29: Planta profesoral</t>
  </si>
  <si>
    <t>Ampliar el alcance del Sistema Integrado - POLISIGS y su apropiación en la comunidad</t>
  </si>
  <si>
    <t>Característica 14: Formación y desarrollo tecnológico</t>
  </si>
  <si>
    <t>Incursionar en los niveles de educación media y de educación para el trabajo y el desarrollo humano</t>
  </si>
  <si>
    <t>Creación del Instituto para la Educación para el Trabajo y el Desarrollo Humano a través del cual se propone ofrecer 10 programas de IETDH con 750 estudiantes por programa al año 2026.</t>
  </si>
  <si>
    <t>Creación del colegio virtual -Tener una matrícula de 100 estudiantes en los niveles décimo y once de educación media al año 2026.</t>
  </si>
  <si>
    <t>Diseñar e implementar el Modelo de experiencia institucional donde se definan los principios, valores, cualidades, indicadores y variables.</t>
  </si>
  <si>
    <t>Característica 31: Experiencia del estudiante</t>
  </si>
  <si>
    <t>Ofrecer 250 Microcertificaciones con 
1000 estudiantes al año 2026</t>
  </si>
  <si>
    <t>Innovar en el modelo de bienestar universitario para velar por la calidad de vida de todos los actores del POLI.</t>
  </si>
  <si>
    <t>Creación de la asociación de graduados</t>
  </si>
  <si>
    <t>Impulsar la mejora y optimización de procesos</t>
  </si>
  <si>
    <t>909-2025-12-31</t>
  </si>
  <si>
    <t>909-2026-01-11</t>
  </si>
  <si>
    <t>913-2025-12-31</t>
  </si>
  <si>
    <t>914-2025-12-31</t>
  </si>
  <si>
    <t>914-2026-01-01</t>
  </si>
  <si>
    <t>8-2026-01-01</t>
  </si>
  <si>
    <t>Stand by</t>
  </si>
  <si>
    <t>923-2026-01-01</t>
  </si>
  <si>
    <t>923-2025-12-31</t>
  </si>
  <si>
    <t>4-2026-01-01</t>
  </si>
  <si>
    <t xml:space="preserve">Creación del colegio de educación media virtual </t>
  </si>
  <si>
    <t>12-2025-12-31</t>
  </si>
  <si>
    <t>904-2025-12-31</t>
  </si>
  <si>
    <t>13.1-2023-12-31</t>
  </si>
  <si>
    <t>Experiencia Institucional - Fase 2</t>
  </si>
  <si>
    <t>Experiencia Institucional - Fase 1</t>
  </si>
  <si>
    <t>Experiencia Institucional fase III - Hub de Experiencia y agilismo</t>
  </si>
  <si>
    <t>910-2025-12-31</t>
  </si>
  <si>
    <t>910-2026-01-01</t>
  </si>
  <si>
    <t>911-2025-12-31</t>
  </si>
  <si>
    <t>915-2025-12-31</t>
  </si>
  <si>
    <t>915-2026-01-01</t>
  </si>
  <si>
    <t>916-2025-12-31</t>
  </si>
  <si>
    <t>920-2026-01-01</t>
  </si>
  <si>
    <t>Innovación curricular</t>
  </si>
  <si>
    <t>Creación del Instituto de educación para el trabajo y desarrollo humano IETDH</t>
  </si>
  <si>
    <t>903-2025-12-31</t>
  </si>
  <si>
    <t>903-2026-01-01</t>
  </si>
  <si>
    <t>Monarca - Ecosistema Banner</t>
  </si>
  <si>
    <t>912-2025-12-31</t>
  </si>
  <si>
    <t>96-2026-01-01</t>
  </si>
  <si>
    <t>922-2026-01-01</t>
  </si>
  <si>
    <t>917-2025-12-31</t>
  </si>
  <si>
    <t>924-2025-12-31</t>
  </si>
  <si>
    <t>Redefinición de Modelo de seguimiento y acompañamiento al Graduado</t>
  </si>
  <si>
    <t>Reingenieria de aplicaciones</t>
  </si>
  <si>
    <t>918-2025-12-31</t>
  </si>
  <si>
    <t>919-2025-12-31</t>
  </si>
  <si>
    <t>919-2026-01-01</t>
  </si>
  <si>
    <t>Titulación Autogestionada</t>
  </si>
  <si>
    <t>Proyectos</t>
  </si>
  <si>
    <t>14-2026-01-01</t>
  </si>
  <si>
    <t>14.1-2026-01-01</t>
  </si>
  <si>
    <t>14.3-2026-01-01</t>
  </si>
  <si>
    <t>14.4-2026-01-01</t>
  </si>
  <si>
    <t>77-2026-01-01</t>
  </si>
  <si>
    <t>98-2026-01-01</t>
  </si>
  <si>
    <t>109-2026-01-01</t>
  </si>
  <si>
    <t>148-2026-01-01</t>
  </si>
  <si>
    <t>193-2026-01-01</t>
  </si>
  <si>
    <t>200-2026-01-01</t>
  </si>
  <si>
    <t>202-2026-01-01</t>
  </si>
  <si>
    <t>204-2026-01-01</t>
  </si>
  <si>
    <t>244-2026-01-01</t>
  </si>
  <si>
    <t>276-2026-01-01</t>
  </si>
  <si>
    <t>277-2026-01-01</t>
  </si>
  <si>
    <t>364-2026-01-01</t>
  </si>
  <si>
    <t>367-2026-01-01</t>
  </si>
  <si>
    <t>369-2026-01-01</t>
  </si>
  <si>
    <t>376-2026-01-01</t>
  </si>
  <si>
    <t>385-2026-01-01</t>
  </si>
  <si>
    <t>386.1-2026-01-01</t>
  </si>
  <si>
    <t>386.2-2026-01-01</t>
  </si>
  <si>
    <t>386.3-2026-01-01</t>
  </si>
  <si>
    <t>423-2026-01-01</t>
  </si>
  <si>
    <t>424-2026-01-01</t>
  </si>
  <si>
    <t>466-2026-01-01</t>
  </si>
  <si>
    <t>913-2026-01-01</t>
  </si>
  <si>
    <t>916-2026-01-01</t>
  </si>
  <si>
    <t>912-2026-01-01</t>
  </si>
  <si>
    <t>925-2026-01-01</t>
  </si>
  <si>
    <t>917-2026-01-01</t>
  </si>
  <si>
    <t>924-2026-01-01</t>
  </si>
  <si>
    <t>14.2-2026-01-01</t>
  </si>
  <si>
    <t>194-2026-01-01</t>
  </si>
  <si>
    <t>205-2026-01-01</t>
  </si>
  <si>
    <t>245-2026-01-01</t>
  </si>
  <si>
    <t>332-2026-01-01</t>
  </si>
  <si>
    <t>5-2026-01-01</t>
  </si>
  <si>
    <t>921-2026-01-01</t>
  </si>
  <si>
    <t>911-2026-01-01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</si>
</sst>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0" fontId="0" fillId="0" borderId="1" xfId="0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1" fontId="0" fillId="0" borderId="1" xfId="0" applyNumberFormat="1" applyBorder="1"/>
    <xf numFmtId="0" fontId="0" fillId="3" borderId="1" xfId="0" applyFill="1" applyBorder="1"/>
    <xf numFmtId="4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0" fontId="3" fillId="0" borderId="1" xfId="1" applyFont="1" applyFill="1" applyBorder="1" applyProtection="1"/>
    <xf numFmtId="0" fontId="0" fillId="2" borderId="1" xfId="0" applyFill="1" applyBorder="1"/>
    <xf numFmtId="0" fontId="1" fillId="0" borderId="2" xfId="0" applyFont="1" applyFill="1" applyBorder="1" applyAlignment="1">
      <alignment horizontal="center" vertical="top"/>
    </xf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37"/>
  <sheetViews>
    <sheetView tabSelected="1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2" max="2" width="87.44140625" bestFit="1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5" t="s">
        <v>678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 t="shared" ref="Q2:Q13" si="2">A2&amp;"-"&amp;TEXT(F2,"yyyy-mm-dd")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</row>
    <row r="3" spans="1:30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si="2"/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</row>
    <row r="4" spans="1:30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</row>
    <row r="6" spans="1:30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</row>
    <row r="7" spans="1:30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</row>
    <row r="8" spans="1:30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</row>
    <row r="10" spans="1:30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</row>
    <row r="11" spans="1:30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</row>
    <row r="12" spans="1:30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</row>
    <row r="13" spans="1:30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</row>
    <row r="14" spans="1:30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">
        <v>36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</row>
    <row r="15" spans="1:30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">
        <v>46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</row>
    <row r="16" spans="1:30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">
        <v>46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</row>
    <row r="17" spans="1:29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">
        <v>48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</row>
    <row r="18" spans="1:29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">
        <v>50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</row>
    <row r="19" spans="1:29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">
        <v>50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</row>
    <row r="20" spans="1:29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">
        <v>52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</row>
    <row r="21" spans="1:29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">
        <v>54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</row>
    <row r="22" spans="1:29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">
        <v>54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</row>
    <row r="23" spans="1:29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">
        <v>411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</row>
    <row r="24" spans="1:29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">
        <v>481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</row>
    <row r="25" spans="1:29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">
        <v>481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</row>
    <row r="26" spans="1:29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ref="Q26:Q37" si="7">MID(A26,1,2)&amp;"."&amp;RIGHT(A26,1)&amp;"-"&amp;TEXT(F26,"yyyy-mm-dd")</f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</row>
    <row r="27" spans="1:29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7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</row>
    <row r="28" spans="1:29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7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</row>
    <row r="29" spans="1:29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7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</row>
    <row r="30" spans="1:29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7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</row>
    <row r="31" spans="1:29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7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</row>
    <row r="32" spans="1:29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7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</row>
    <row r="33" spans="1:29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7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</row>
    <row r="34" spans="1:29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7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</row>
    <row r="35" spans="1:29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7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</row>
    <row r="36" spans="1:29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7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</row>
    <row r="37" spans="1:29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7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</row>
    <row r="38" spans="1:29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">
        <v>354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</row>
    <row r="39" spans="1:29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">
        <v>355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</row>
    <row r="40" spans="1:29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">
        <v>355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</row>
    <row r="41" spans="1:29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">
        <v>356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</row>
    <row r="42" spans="1:29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">
        <v>357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</row>
    <row r="43" spans="1:29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">
        <v>357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</row>
    <row r="44" spans="1:29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">
        <v>358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</row>
    <row r="45" spans="1:29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">
        <v>399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</row>
    <row r="46" spans="1:29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">
        <v>399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</row>
    <row r="47" spans="1:29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">
        <v>414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</row>
    <row r="48" spans="1:29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">
        <v>482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</row>
    <row r="49" spans="1:29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">
        <v>482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</row>
    <row r="50" spans="1:29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8">YEAR(F50)</f>
        <v>2018</v>
      </c>
      <c r="H50" s="3" t="str">
        <f t="shared" ref="H50:H61" si="9">PROPER(TEXT(F50,"mmmm"))</f>
        <v>Junio</v>
      </c>
      <c r="I50" s="3" t="str">
        <f t="shared" ref="I50:I61" si="10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ref="Q50:Q61" si="11">MID(A50,1,2)&amp;"."&amp;RIGHT(A50,1)&amp;"-"&amp;TEXT(F50,"yyyy-mm-dd")</f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</row>
    <row r="51" spans="1:29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8"/>
        <v>2018</v>
      </c>
      <c r="H51" s="3" t="str">
        <f t="shared" si="9"/>
        <v>Diciembre</v>
      </c>
      <c r="I51" s="3" t="str">
        <f t="shared" si="10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11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</row>
    <row r="52" spans="1:29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8"/>
        <v>2018</v>
      </c>
      <c r="H52" s="3" t="str">
        <f t="shared" si="9"/>
        <v>Diciembre</v>
      </c>
      <c r="I52" s="3" t="str">
        <f t="shared" si="10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11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</row>
    <row r="53" spans="1:29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8"/>
        <v>2019</v>
      </c>
      <c r="H53" s="3" t="str">
        <f t="shared" si="9"/>
        <v>Junio</v>
      </c>
      <c r="I53" s="3" t="str">
        <f t="shared" si="10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11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</row>
    <row r="54" spans="1:29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8"/>
        <v>2019</v>
      </c>
      <c r="H54" s="3" t="str">
        <f t="shared" si="9"/>
        <v>Diciembre</v>
      </c>
      <c r="I54" s="3" t="str">
        <f t="shared" si="10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11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</row>
    <row r="55" spans="1:29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8"/>
        <v>2019</v>
      </c>
      <c r="H55" s="3" t="str">
        <f t="shared" si="9"/>
        <v>Diciembre</v>
      </c>
      <c r="I55" s="3" t="str">
        <f t="shared" si="10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11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</row>
    <row r="56" spans="1:29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8"/>
        <v>2020</v>
      </c>
      <c r="H56" s="3" t="str">
        <f t="shared" si="9"/>
        <v>Junio</v>
      </c>
      <c r="I56" s="3" t="str">
        <f t="shared" si="10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11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</row>
    <row r="57" spans="1:29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8"/>
        <v>2020</v>
      </c>
      <c r="H57" s="3" t="str">
        <f t="shared" si="9"/>
        <v>Diciembre</v>
      </c>
      <c r="I57" s="3" t="str">
        <f t="shared" si="10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11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</row>
    <row r="58" spans="1:29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8"/>
        <v>2020</v>
      </c>
      <c r="H58" s="3" t="str">
        <f t="shared" si="9"/>
        <v>Diciembre</v>
      </c>
      <c r="I58" s="3" t="str">
        <f t="shared" si="10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11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</row>
    <row r="59" spans="1:29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8"/>
        <v>2021</v>
      </c>
      <c r="H59" s="3" t="str">
        <f t="shared" si="9"/>
        <v>Junio</v>
      </c>
      <c r="I59" s="3" t="str">
        <f t="shared" si="10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11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</row>
    <row r="60" spans="1:29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8"/>
        <v>2021</v>
      </c>
      <c r="H60" s="3" t="str">
        <f t="shared" si="9"/>
        <v>Diciembre</v>
      </c>
      <c r="I60" s="3" t="str">
        <f t="shared" si="10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11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</row>
    <row r="61" spans="1:29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8"/>
        <v>2021</v>
      </c>
      <c r="H61" s="3" t="str">
        <f t="shared" si="9"/>
        <v>Diciembre</v>
      </c>
      <c r="I61" s="3" t="str">
        <f t="shared" si="10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11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</row>
    <row r="62" spans="1:29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">
        <v>360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</row>
    <row r="63" spans="1:29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">
        <v>361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</row>
    <row r="64" spans="1:29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">
        <v>361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</row>
    <row r="65" spans="1:29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">
        <v>362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</row>
    <row r="66" spans="1:29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">
        <v>363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</row>
    <row r="67" spans="1:29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">
        <v>363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</row>
    <row r="68" spans="1:29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">
        <v>364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</row>
    <row r="69" spans="1:29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">
        <v>400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</row>
    <row r="70" spans="1:29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">
        <v>400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</row>
    <row r="71" spans="1:29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">
        <v>415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</row>
    <row r="72" spans="1:29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">
        <v>483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</row>
    <row r="73" spans="1:29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">
        <v>415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</row>
    <row r="74" spans="1:29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2">YEAR(F74)</f>
        <v>2018</v>
      </c>
      <c r="H74" s="3" t="str">
        <f t="shared" ref="H74:H85" si="13">PROPER(TEXT(F74,"mmmm"))</f>
        <v>Junio</v>
      </c>
      <c r="I74" s="3" t="str">
        <f t="shared" ref="I74:I85" si="14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ref="Q74:Q85" si="15">MID(A74,1,2)&amp;"."&amp;RIGHT(A74,1)&amp;"-"&amp;TEXT(F74,"yyyy-mm-dd")</f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</row>
    <row r="75" spans="1:29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2"/>
        <v>2018</v>
      </c>
      <c r="H75" s="3" t="str">
        <f t="shared" si="13"/>
        <v>Diciembre</v>
      </c>
      <c r="I75" s="3" t="str">
        <f t="shared" si="14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5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</row>
    <row r="76" spans="1:29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2"/>
        <v>2018</v>
      </c>
      <c r="H76" s="3" t="str">
        <f t="shared" si="13"/>
        <v>Diciembre</v>
      </c>
      <c r="I76" s="3" t="str">
        <f t="shared" si="14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5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</row>
    <row r="77" spans="1:29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2"/>
        <v>2019</v>
      </c>
      <c r="H77" s="3" t="str">
        <f t="shared" si="13"/>
        <v>Junio</v>
      </c>
      <c r="I77" s="3" t="str">
        <f t="shared" si="14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5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</row>
    <row r="78" spans="1:29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2"/>
        <v>2019</v>
      </c>
      <c r="H78" s="3" t="str">
        <f t="shared" si="13"/>
        <v>Diciembre</v>
      </c>
      <c r="I78" s="3" t="str">
        <f t="shared" si="14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5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</row>
    <row r="79" spans="1:29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2"/>
        <v>2019</v>
      </c>
      <c r="H79" s="3" t="str">
        <f t="shared" si="13"/>
        <v>Diciembre</v>
      </c>
      <c r="I79" s="3" t="str">
        <f t="shared" si="14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5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</row>
    <row r="80" spans="1:29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2"/>
        <v>2020</v>
      </c>
      <c r="H80" s="3" t="str">
        <f t="shared" si="13"/>
        <v>Junio</v>
      </c>
      <c r="I80" s="3" t="str">
        <f t="shared" si="14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5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</row>
    <row r="81" spans="1:29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2"/>
        <v>2020</v>
      </c>
      <c r="H81" s="3" t="str">
        <f t="shared" si="13"/>
        <v>Diciembre</v>
      </c>
      <c r="I81" s="3" t="str">
        <f t="shared" si="14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5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</row>
    <row r="82" spans="1:29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2"/>
        <v>2020</v>
      </c>
      <c r="H82" s="3" t="str">
        <f t="shared" si="13"/>
        <v>Diciembre</v>
      </c>
      <c r="I82" s="3" t="str">
        <f t="shared" si="14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5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</row>
    <row r="83" spans="1:29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2"/>
        <v>2021</v>
      </c>
      <c r="H83" s="3" t="str">
        <f t="shared" si="13"/>
        <v>Junio</v>
      </c>
      <c r="I83" s="3" t="str">
        <f t="shared" si="14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5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</row>
    <row r="84" spans="1:29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2"/>
        <v>2021</v>
      </c>
      <c r="H84" s="3" t="str">
        <f t="shared" si="13"/>
        <v>Diciembre</v>
      </c>
      <c r="I84" s="3" t="str">
        <f t="shared" si="14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5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</row>
    <row r="85" spans="1:29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2"/>
        <v>2021</v>
      </c>
      <c r="H85" s="3" t="str">
        <f t="shared" si="13"/>
        <v>Diciembre</v>
      </c>
      <c r="I85" s="3" t="str">
        <f t="shared" si="14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5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</row>
    <row r="86" spans="1:29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">
        <v>366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</row>
    <row r="87" spans="1:29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">
        <v>367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</row>
    <row r="88" spans="1:29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">
        <v>367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</row>
    <row r="89" spans="1:29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">
        <v>368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</row>
    <row r="90" spans="1:29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">
        <v>369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</row>
    <row r="91" spans="1:29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">
        <v>369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</row>
    <row r="92" spans="1:29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6">+L92/K92</f>
        <v>0.99574122895964312</v>
      </c>
      <c r="N92" s="3">
        <f t="shared" ref="N92:N97" si="17">+L92/K92</f>
        <v>0.99574122895964312</v>
      </c>
      <c r="O92" s="3" t="s">
        <v>35</v>
      </c>
      <c r="P92" s="3" t="s">
        <v>35</v>
      </c>
      <c r="Q92" s="3" t="s">
        <v>370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</row>
    <row r="93" spans="1:29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6"/>
        <v>1.0057843157653814</v>
      </c>
      <c r="N93" s="3">
        <f t="shared" si="17"/>
        <v>1.0057843157653814</v>
      </c>
      <c r="O93" s="3" t="s">
        <v>35</v>
      </c>
      <c r="P93" s="3" t="s">
        <v>35</v>
      </c>
      <c r="Q93" s="3" t="s">
        <v>401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</row>
    <row r="94" spans="1:29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6"/>
        <v>1.0006983598812789</v>
      </c>
      <c r="N94" s="3">
        <f t="shared" si="17"/>
        <v>1.0006983598812789</v>
      </c>
      <c r="O94" s="3" t="s">
        <v>35</v>
      </c>
      <c r="P94" s="3" t="s">
        <v>35</v>
      </c>
      <c r="Q94" s="3" t="s">
        <v>401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</row>
    <row r="95" spans="1:29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6"/>
        <v>1.0494762288477035</v>
      </c>
      <c r="N95" s="3">
        <f t="shared" si="17"/>
        <v>1.0494762288477035</v>
      </c>
      <c r="O95" s="3" t="s">
        <v>35</v>
      </c>
      <c r="P95" s="3" t="s">
        <v>35</v>
      </c>
      <c r="Q95" s="3" t="s">
        <v>416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</row>
    <row r="96" spans="1:29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6"/>
        <v>1.0102823788631401</v>
      </c>
      <c r="N96" s="3">
        <f t="shared" si="17"/>
        <v>1.0102823788631401</v>
      </c>
      <c r="O96" s="3" t="s">
        <v>35</v>
      </c>
      <c r="P96" s="3" t="s">
        <v>35</v>
      </c>
      <c r="Q96" s="3" t="s">
        <v>484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</row>
    <row r="97" spans="1:29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6"/>
        <v>1.0294735596129376</v>
      </c>
      <c r="N97" s="3">
        <f t="shared" si="17"/>
        <v>1.0294735596129376</v>
      </c>
      <c r="O97" s="3" t="s">
        <v>35</v>
      </c>
      <c r="P97" s="3" t="s">
        <v>35</v>
      </c>
      <c r="Q97" s="3" t="s">
        <v>484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</row>
    <row r="98" spans="1:29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8">YEAR(F98)</f>
        <v>2018</v>
      </c>
      <c r="H98" s="3" t="str">
        <f t="shared" ref="H98:H109" si="19">PROPER(TEXT(F98,"mmmm"))</f>
        <v>Junio</v>
      </c>
      <c r="I98" s="3" t="str">
        <f t="shared" ref="I98:I109" si="20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ref="Q98:Q109" si="21">MID(A98,1,2)&amp;"."&amp;RIGHT(A98,1)&amp;"-"&amp;TEXT(F98,"yyyy-mm-dd")</f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</row>
    <row r="99" spans="1:29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8"/>
        <v>2018</v>
      </c>
      <c r="H99" s="3" t="str">
        <f t="shared" si="19"/>
        <v>Diciembre</v>
      </c>
      <c r="I99" s="3" t="str">
        <f t="shared" si="20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21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</row>
    <row r="100" spans="1:29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8"/>
        <v>2018</v>
      </c>
      <c r="H100" s="3" t="str">
        <f t="shared" si="19"/>
        <v>Diciembre</v>
      </c>
      <c r="I100" s="3" t="str">
        <f t="shared" si="20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21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</row>
    <row r="101" spans="1:29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8"/>
        <v>2019</v>
      </c>
      <c r="H101" s="3" t="str">
        <f t="shared" si="19"/>
        <v>Junio</v>
      </c>
      <c r="I101" s="3" t="str">
        <f t="shared" si="20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21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</row>
    <row r="102" spans="1:29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8"/>
        <v>2019</v>
      </c>
      <c r="H102" s="3" t="str">
        <f t="shared" si="19"/>
        <v>Diciembre</v>
      </c>
      <c r="I102" s="3" t="str">
        <f t="shared" si="20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21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</row>
    <row r="103" spans="1:29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8"/>
        <v>2019</v>
      </c>
      <c r="H103" s="3" t="str">
        <f t="shared" si="19"/>
        <v>Diciembre</v>
      </c>
      <c r="I103" s="3" t="str">
        <f t="shared" si="20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21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</row>
    <row r="104" spans="1:29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8"/>
        <v>2020</v>
      </c>
      <c r="H104" s="3" t="str">
        <f t="shared" si="19"/>
        <v>Junio</v>
      </c>
      <c r="I104" s="3" t="str">
        <f t="shared" si="20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21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</row>
    <row r="105" spans="1:29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8"/>
        <v>2020</v>
      </c>
      <c r="H105" s="3" t="str">
        <f t="shared" si="19"/>
        <v>Diciembre</v>
      </c>
      <c r="I105" s="3" t="str">
        <f t="shared" si="20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21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</row>
    <row r="106" spans="1:29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8"/>
        <v>2020</v>
      </c>
      <c r="H106" s="3" t="str">
        <f t="shared" si="19"/>
        <v>Diciembre</v>
      </c>
      <c r="I106" s="3" t="str">
        <f t="shared" si="20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21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</row>
    <row r="107" spans="1:29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8"/>
        <v>2021</v>
      </c>
      <c r="H107" s="3" t="str">
        <f t="shared" si="19"/>
        <v>Junio</v>
      </c>
      <c r="I107" s="3" t="str">
        <f t="shared" si="20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21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</row>
    <row r="108" spans="1:29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8"/>
        <v>2021</v>
      </c>
      <c r="H108" s="3" t="str">
        <f t="shared" si="19"/>
        <v>Diciembre</v>
      </c>
      <c r="I108" s="3" t="str">
        <f t="shared" si="20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21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</row>
    <row r="109" spans="1:29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8"/>
        <v>2021</v>
      </c>
      <c r="H109" s="3" t="str">
        <f t="shared" si="19"/>
        <v>Diciembre</v>
      </c>
      <c r="I109" s="3" t="str">
        <f t="shared" si="20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21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</row>
    <row r="110" spans="1:29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">
        <v>372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</row>
    <row r="111" spans="1:29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">
        <v>373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</row>
    <row r="112" spans="1:29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">
        <v>373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</row>
    <row r="113" spans="1:29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">
        <v>374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</row>
    <row r="114" spans="1:29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">
        <v>375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</row>
    <row r="115" spans="1:29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">
        <v>375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</row>
    <row r="116" spans="1:29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22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">
        <v>376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</row>
    <row r="117" spans="1:29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22"/>
        <v>1.2</v>
      </c>
      <c r="N117" s="3">
        <f t="shared" ref="N117:N121" si="23">+L117/K117</f>
        <v>1.2</v>
      </c>
      <c r="O117" s="3" t="s">
        <v>35</v>
      </c>
      <c r="P117" s="3" t="s">
        <v>35</v>
      </c>
      <c r="Q117" s="3" t="s">
        <v>402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</row>
    <row r="118" spans="1:29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22"/>
        <v>1.163142485361093</v>
      </c>
      <c r="N118" s="3">
        <f t="shared" si="23"/>
        <v>1.163142485361093</v>
      </c>
      <c r="O118" s="3" t="s">
        <v>35</v>
      </c>
      <c r="P118" s="3" t="s">
        <v>35</v>
      </c>
      <c r="Q118" s="3" t="s">
        <v>402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</row>
    <row r="119" spans="1:29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22"/>
        <v>1.1039058587881823</v>
      </c>
      <c r="N119" s="3">
        <f t="shared" si="23"/>
        <v>1.1039058587881823</v>
      </c>
      <c r="O119" s="3" t="s">
        <v>35</v>
      </c>
      <c r="P119" s="3" t="s">
        <v>35</v>
      </c>
      <c r="Q119" s="3" t="s">
        <v>417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</row>
    <row r="120" spans="1:29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22"/>
        <v>1.1600697037590242</v>
      </c>
      <c r="N120" s="3">
        <f t="shared" si="23"/>
        <v>1.1600697037590242</v>
      </c>
      <c r="O120" s="3" t="s">
        <v>35</v>
      </c>
      <c r="P120" s="3" t="s">
        <v>35</v>
      </c>
      <c r="Q120" s="3" t="s">
        <v>485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</row>
    <row r="121" spans="1:29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22"/>
        <v>1.13206840594183</v>
      </c>
      <c r="N121" s="3">
        <f t="shared" si="23"/>
        <v>1.13206840594183</v>
      </c>
      <c r="O121" s="3" t="s">
        <v>35</v>
      </c>
      <c r="P121" s="3" t="s">
        <v>35</v>
      </c>
      <c r="Q121" s="3" t="s">
        <v>485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</row>
    <row r="122" spans="1:29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">
        <v>59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</row>
    <row r="123" spans="1:29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">
        <v>67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</row>
    <row r="124" spans="1:29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">
        <v>67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</row>
    <row r="125" spans="1:29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">
        <v>68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</row>
    <row r="126" spans="1:29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">
        <v>69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</row>
    <row r="127" spans="1:29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">
        <v>69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</row>
    <row r="128" spans="1:29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">
        <v>392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</row>
    <row r="129" spans="1:29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">
        <v>393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</row>
    <row r="130" spans="1:29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">
        <v>393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</row>
    <row r="131" spans="1:29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">
        <v>433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</row>
    <row r="132" spans="1:29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508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">
        <v>503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</row>
    <row r="133" spans="1:29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">
        <v>72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75</v>
      </c>
      <c r="Z133" s="3" t="s">
        <v>76</v>
      </c>
      <c r="AA133" s="3" t="s">
        <v>77</v>
      </c>
      <c r="AB133" s="3" t="s">
        <v>78</v>
      </c>
      <c r="AC133" s="3" t="s">
        <v>66</v>
      </c>
    </row>
    <row r="134" spans="1:29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">
        <v>72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75</v>
      </c>
      <c r="Z134" s="3" t="s">
        <v>76</v>
      </c>
      <c r="AA134" s="3" t="s">
        <v>77</v>
      </c>
      <c r="AB134" s="3" t="s">
        <v>78</v>
      </c>
      <c r="AC134" s="3" t="s">
        <v>66</v>
      </c>
    </row>
    <row r="135" spans="1:29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">
        <v>80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75</v>
      </c>
      <c r="Z135" s="3" t="s">
        <v>76</v>
      </c>
      <c r="AA135" s="3" t="s">
        <v>77</v>
      </c>
      <c r="AB135" s="3" t="s">
        <v>78</v>
      </c>
      <c r="AC135" s="3" t="s">
        <v>66</v>
      </c>
    </row>
    <row r="136" spans="1:29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">
        <v>80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75</v>
      </c>
      <c r="Z136" s="3" t="s">
        <v>76</v>
      </c>
      <c r="AA136" s="3" t="s">
        <v>77</v>
      </c>
      <c r="AB136" s="3" t="s">
        <v>78</v>
      </c>
      <c r="AC136" s="3" t="s">
        <v>66</v>
      </c>
    </row>
    <row r="137" spans="1:29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">
        <v>394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75</v>
      </c>
      <c r="Z137" s="3" t="s">
        <v>76</v>
      </c>
      <c r="AA137" s="3" t="s">
        <v>77</v>
      </c>
      <c r="AB137" s="3" t="s">
        <v>78</v>
      </c>
      <c r="AC137" s="3" t="s">
        <v>66</v>
      </c>
    </row>
    <row r="138" spans="1:29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">
        <v>394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75</v>
      </c>
      <c r="Z138" s="3" t="s">
        <v>76</v>
      </c>
      <c r="AA138" s="3" t="s">
        <v>77</v>
      </c>
      <c r="AB138" s="3" t="s">
        <v>78</v>
      </c>
      <c r="AC138" s="3" t="s">
        <v>66</v>
      </c>
    </row>
    <row r="139" spans="1:29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">
        <v>92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</row>
    <row r="140" spans="1:29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">
        <v>93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</row>
    <row r="141" spans="1:29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">
        <v>93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</row>
    <row r="142" spans="1:29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">
        <v>94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</row>
    <row r="143" spans="1:29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">
        <v>95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</row>
    <row r="144" spans="1:29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">
        <v>95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</row>
    <row r="145" spans="1:29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">
        <v>397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</row>
    <row r="146" spans="1:29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">
        <v>398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</row>
    <row r="147" spans="1:29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">
        <v>398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</row>
    <row r="148" spans="1:29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">
        <v>418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</row>
    <row r="149" spans="1:29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">
        <v>509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</row>
    <row r="150" spans="1:29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">
        <v>98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/>
      <c r="Z150" s="3" t="s">
        <v>101</v>
      </c>
      <c r="AA150" s="3" t="s">
        <v>102</v>
      </c>
      <c r="AB150" s="3" t="s">
        <v>65</v>
      </c>
      <c r="AC150" s="3" t="s">
        <v>66</v>
      </c>
    </row>
    <row r="151" spans="1:29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">
        <v>98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/>
      <c r="Z151" s="3" t="s">
        <v>101</v>
      </c>
      <c r="AA151" s="3" t="s">
        <v>102</v>
      </c>
      <c r="AB151" s="3" t="s">
        <v>65</v>
      </c>
      <c r="AC151" s="3" t="s">
        <v>66</v>
      </c>
    </row>
    <row r="152" spans="1:29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">
        <v>103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/>
      <c r="Z152" s="3" t="s">
        <v>101</v>
      </c>
      <c r="AA152" s="3" t="s">
        <v>102</v>
      </c>
      <c r="AB152" s="3" t="s">
        <v>65</v>
      </c>
      <c r="AC152" s="3" t="s">
        <v>66</v>
      </c>
    </row>
    <row r="153" spans="1:29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">
        <v>103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/>
      <c r="Z153" s="3" t="s">
        <v>101</v>
      </c>
      <c r="AA153" s="3" t="s">
        <v>102</v>
      </c>
      <c r="AB153" s="3" t="s">
        <v>65</v>
      </c>
      <c r="AC153" s="3" t="s">
        <v>66</v>
      </c>
    </row>
    <row r="154" spans="1:29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">
        <v>488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/>
      <c r="Z154" s="3" t="s">
        <v>101</v>
      </c>
      <c r="AA154" s="3" t="s">
        <v>102</v>
      </c>
      <c r="AB154" s="3" t="s">
        <v>65</v>
      </c>
      <c r="AC154" s="3" t="s">
        <v>66</v>
      </c>
    </row>
    <row r="155" spans="1:29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">
        <v>444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75</v>
      </c>
      <c r="Z155" s="3" t="s">
        <v>76</v>
      </c>
      <c r="AA155" s="3" t="s">
        <v>77</v>
      </c>
      <c r="AB155" s="3" t="s">
        <v>43</v>
      </c>
      <c r="AC155" s="3" t="s">
        <v>31</v>
      </c>
    </row>
    <row r="156" spans="1:29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4">IF(+L156/K156&gt;1.3,1.3,L156/K156)</f>
        <v>1.3</v>
      </c>
      <c r="N156" s="3">
        <f t="shared" ref="N156:N162" si="25">+L156/K156</f>
        <v>1.4279999999999999</v>
      </c>
      <c r="O156" s="3" t="s">
        <v>58</v>
      </c>
      <c r="P156" s="3" t="s">
        <v>58</v>
      </c>
      <c r="Q156" s="3" t="s">
        <v>106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75</v>
      </c>
      <c r="Z156" s="3" t="s">
        <v>76</v>
      </c>
      <c r="AA156" s="3" t="s">
        <v>77</v>
      </c>
      <c r="AB156" s="3" t="s">
        <v>43</v>
      </c>
      <c r="AC156" s="3" t="s">
        <v>31</v>
      </c>
    </row>
    <row r="157" spans="1:29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4"/>
        <v>1.1419999999999999</v>
      </c>
      <c r="N157" s="3">
        <f t="shared" si="25"/>
        <v>1.1419999999999999</v>
      </c>
      <c r="O157" s="3" t="s">
        <v>58</v>
      </c>
      <c r="P157" s="3" t="s">
        <v>58</v>
      </c>
      <c r="Q157" s="3" t="s">
        <v>107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75</v>
      </c>
      <c r="Z157" s="3" t="s">
        <v>76</v>
      </c>
      <c r="AA157" s="3" t="s">
        <v>77</v>
      </c>
      <c r="AB157" s="3" t="s">
        <v>43</v>
      </c>
      <c r="AC157" s="3" t="s">
        <v>31</v>
      </c>
    </row>
    <row r="158" spans="1:29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4"/>
        <v>1.1419999999999999</v>
      </c>
      <c r="N158" s="3">
        <f t="shared" si="25"/>
        <v>1.1419999999999999</v>
      </c>
      <c r="O158" s="3" t="s">
        <v>58</v>
      </c>
      <c r="P158" s="3" t="s">
        <v>58</v>
      </c>
      <c r="Q158" s="3" t="s">
        <v>107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75</v>
      </c>
      <c r="Z158" s="3" t="s">
        <v>76</v>
      </c>
      <c r="AA158" s="3" t="s">
        <v>77</v>
      </c>
      <c r="AB158" s="3" t="s">
        <v>43</v>
      </c>
      <c r="AC158" s="3" t="s">
        <v>31</v>
      </c>
    </row>
    <row r="159" spans="1:29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4"/>
        <v>0.86</v>
      </c>
      <c r="N159" s="3">
        <f t="shared" si="25"/>
        <v>0.86</v>
      </c>
      <c r="O159" s="3" t="s">
        <v>58</v>
      </c>
      <c r="P159" s="3" t="s">
        <v>58</v>
      </c>
      <c r="Q159" s="3" t="s">
        <v>108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75</v>
      </c>
      <c r="Z159" s="3" t="s">
        <v>76</v>
      </c>
      <c r="AA159" s="3" t="s">
        <v>77</v>
      </c>
      <c r="AB159" s="3" t="s">
        <v>43</v>
      </c>
      <c r="AC159" s="3" t="s">
        <v>31</v>
      </c>
    </row>
    <row r="160" spans="1:29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4"/>
        <v>1.26</v>
      </c>
      <c r="N160" s="3">
        <f t="shared" si="25"/>
        <v>1.26</v>
      </c>
      <c r="O160" s="3" t="s">
        <v>58</v>
      </c>
      <c r="P160" s="3" t="s">
        <v>58</v>
      </c>
      <c r="Q160" s="3" t="s">
        <v>109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75</v>
      </c>
      <c r="Z160" s="3" t="s">
        <v>76</v>
      </c>
      <c r="AA160" s="3" t="s">
        <v>77</v>
      </c>
      <c r="AB160" s="3" t="s">
        <v>43</v>
      </c>
      <c r="AC160" s="3" t="s">
        <v>31</v>
      </c>
    </row>
    <row r="161" spans="1:29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4"/>
        <v>1.26</v>
      </c>
      <c r="N161" s="3">
        <f t="shared" si="25"/>
        <v>1.26</v>
      </c>
      <c r="O161" s="3" t="s">
        <v>58</v>
      </c>
      <c r="P161" s="3" t="s">
        <v>58</v>
      </c>
      <c r="Q161" s="3" t="s">
        <v>109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75</v>
      </c>
      <c r="Z161" s="3" t="s">
        <v>76</v>
      </c>
      <c r="AA161" s="3" t="s">
        <v>77</v>
      </c>
      <c r="AB161" s="3" t="s">
        <v>43</v>
      </c>
      <c r="AC161" s="3" t="s">
        <v>31</v>
      </c>
    </row>
    <row r="162" spans="1:29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4"/>
        <v>1.02</v>
      </c>
      <c r="N162" s="3">
        <f t="shared" si="25"/>
        <v>1.02</v>
      </c>
      <c r="O162" s="3" t="s">
        <v>58</v>
      </c>
      <c r="P162" s="3" t="s">
        <v>58</v>
      </c>
      <c r="Q162" s="3" t="s">
        <v>406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75</v>
      </c>
      <c r="Z162" s="3" t="s">
        <v>76</v>
      </c>
      <c r="AA162" s="3" t="s">
        <v>77</v>
      </c>
      <c r="AB162" s="3" t="s">
        <v>43</v>
      </c>
      <c r="AC162" s="3" t="s">
        <v>31</v>
      </c>
    </row>
    <row r="163" spans="1:29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4"/>
        <v>1.3</v>
      </c>
      <c r="N163" s="3">
        <f>+L163/K163</f>
        <v>1.3560000000000001</v>
      </c>
      <c r="O163" s="3" t="s">
        <v>58</v>
      </c>
      <c r="P163" s="3" t="s">
        <v>58</v>
      </c>
      <c r="Q163" s="3" t="s">
        <v>510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75</v>
      </c>
      <c r="Z163" s="3" t="s">
        <v>76</v>
      </c>
      <c r="AA163" s="3" t="s">
        <v>77</v>
      </c>
      <c r="AB163" s="3" t="s">
        <v>43</v>
      </c>
      <c r="AC163" s="3" t="s">
        <v>31</v>
      </c>
    </row>
    <row r="164" spans="1:29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">
        <v>111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</row>
    <row r="165" spans="1:29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6">+L165/K165</f>
        <v>1.2157894736842105</v>
      </c>
      <c r="N165" s="3">
        <f t="shared" ref="N165:N174" si="27">+L165/K165</f>
        <v>1.2157894736842105</v>
      </c>
      <c r="O165" s="3" t="s">
        <v>58</v>
      </c>
      <c r="P165" s="3" t="s">
        <v>58</v>
      </c>
      <c r="Q165" s="3" t="s">
        <v>116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</row>
    <row r="166" spans="1:29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6"/>
        <v>1.2157894736842105</v>
      </c>
      <c r="N166" s="3">
        <f t="shared" si="27"/>
        <v>1.2157894736842105</v>
      </c>
      <c r="O166" s="3" t="s">
        <v>58</v>
      </c>
      <c r="P166" s="3" t="s">
        <v>58</v>
      </c>
      <c r="Q166" s="3" t="s">
        <v>116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</row>
    <row r="167" spans="1:29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6"/>
        <v>0.99891304347826093</v>
      </c>
      <c r="N167" s="3">
        <f t="shared" si="27"/>
        <v>0.99891304347826093</v>
      </c>
      <c r="O167" s="3" t="s">
        <v>58</v>
      </c>
      <c r="P167" s="3" t="s">
        <v>58</v>
      </c>
      <c r="Q167" s="3" t="s">
        <v>117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</row>
    <row r="168" spans="1:29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6"/>
        <v>0.99239130434782608</v>
      </c>
      <c r="N168" s="3">
        <f t="shared" si="27"/>
        <v>0.99239130434782608</v>
      </c>
      <c r="O168" s="3" t="s">
        <v>58</v>
      </c>
      <c r="P168" s="3" t="s">
        <v>58</v>
      </c>
      <c r="Q168" s="3" t="s">
        <v>118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</row>
    <row r="169" spans="1:29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6"/>
        <v>0.99239130434782608</v>
      </c>
      <c r="N169" s="3">
        <f t="shared" si="27"/>
        <v>0.99239130434782608</v>
      </c>
      <c r="O169" s="3" t="s">
        <v>58</v>
      </c>
      <c r="P169" s="3" t="s">
        <v>58</v>
      </c>
      <c r="Q169" s="3" t="s">
        <v>118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</row>
    <row r="170" spans="1:29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6"/>
        <v>1.018888888888889</v>
      </c>
      <c r="N170" s="3">
        <f t="shared" si="27"/>
        <v>1.018888888888889</v>
      </c>
      <c r="O170" s="3" t="s">
        <v>58</v>
      </c>
      <c r="P170" s="3" t="s">
        <v>58</v>
      </c>
      <c r="Q170" s="3" t="s">
        <v>119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</row>
    <row r="171" spans="1:29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6"/>
        <v>1.038888888888889</v>
      </c>
      <c r="N171" s="3">
        <f t="shared" si="27"/>
        <v>1.038888888888889</v>
      </c>
      <c r="O171" s="3" t="s">
        <v>58</v>
      </c>
      <c r="P171" s="3" t="s">
        <v>58</v>
      </c>
      <c r="Q171" s="3" t="s">
        <v>120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</row>
    <row r="172" spans="1:29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6"/>
        <v>1.038888888888889</v>
      </c>
      <c r="N172" s="3">
        <f t="shared" si="27"/>
        <v>1.038888888888889</v>
      </c>
      <c r="O172" s="3" t="s">
        <v>58</v>
      </c>
      <c r="P172" s="3" t="s">
        <v>58</v>
      </c>
      <c r="Q172" s="3" t="s">
        <v>120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</row>
    <row r="173" spans="1:29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6"/>
        <v>1.034516129032258</v>
      </c>
      <c r="N173" s="3">
        <f t="shared" si="27"/>
        <v>1.034516129032258</v>
      </c>
      <c r="O173" s="3" t="s">
        <v>58</v>
      </c>
      <c r="P173" s="3" t="s">
        <v>58</v>
      </c>
      <c r="Q173" s="3" t="s">
        <v>420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</row>
    <row r="174" spans="1:29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6"/>
        <v>1.0106382978723405</v>
      </c>
      <c r="N174" s="3">
        <f t="shared" si="27"/>
        <v>1.0106382978723405</v>
      </c>
      <c r="O174" s="3" t="s">
        <v>58</v>
      </c>
      <c r="P174" s="3" t="s">
        <v>58</v>
      </c>
      <c r="Q174" s="3" t="s">
        <v>511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</row>
    <row r="175" spans="1:29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">
        <v>122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</row>
    <row r="176" spans="1:29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8">+L176/K176</f>
        <v>1.1384931506849314</v>
      </c>
      <c r="N176" s="3">
        <f t="shared" ref="N176:N185" si="29">+L176/K176</f>
        <v>1.1384931506849314</v>
      </c>
      <c r="O176" s="3" t="s">
        <v>58</v>
      </c>
      <c r="P176" s="3" t="s">
        <v>58</v>
      </c>
      <c r="Q176" s="3" t="s">
        <v>125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</row>
    <row r="177" spans="1:29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8"/>
        <v>1.1384931506849314</v>
      </c>
      <c r="N177" s="3">
        <f t="shared" si="29"/>
        <v>1.1384931506849314</v>
      </c>
      <c r="O177" s="3" t="s">
        <v>58</v>
      </c>
      <c r="P177" s="3" t="s">
        <v>58</v>
      </c>
      <c r="Q177" s="3" t="s">
        <v>125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</row>
    <row r="178" spans="1:29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8"/>
        <v>0.98975000000000013</v>
      </c>
      <c r="N178" s="3">
        <f t="shared" si="29"/>
        <v>0.98975000000000013</v>
      </c>
      <c r="O178" s="3" t="s">
        <v>58</v>
      </c>
      <c r="P178" s="3" t="s">
        <v>58</v>
      </c>
      <c r="Q178" s="3" t="s">
        <v>126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</row>
    <row r="179" spans="1:29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8"/>
        <v>1.0238749999999999</v>
      </c>
      <c r="N179" s="3">
        <f t="shared" si="29"/>
        <v>1.0238749999999999</v>
      </c>
      <c r="O179" s="3" t="s">
        <v>58</v>
      </c>
      <c r="P179" s="3" t="s">
        <v>58</v>
      </c>
      <c r="Q179" s="3" t="s">
        <v>127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</row>
    <row r="180" spans="1:29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8"/>
        <v>1.0238749999999999</v>
      </c>
      <c r="N180" s="3">
        <f t="shared" si="29"/>
        <v>1.0238749999999999</v>
      </c>
      <c r="O180" s="3" t="s">
        <v>58</v>
      </c>
      <c r="P180" s="3" t="s">
        <v>58</v>
      </c>
      <c r="Q180" s="3" t="s">
        <v>127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</row>
    <row r="181" spans="1:29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8"/>
        <v>1.0248148148148148</v>
      </c>
      <c r="N181" s="3">
        <f t="shared" si="29"/>
        <v>1.0248148148148148</v>
      </c>
      <c r="O181" s="3" t="s">
        <v>58</v>
      </c>
      <c r="P181" s="3" t="s">
        <v>58</v>
      </c>
      <c r="Q181" s="3" t="s">
        <v>128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</row>
    <row r="182" spans="1:29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8"/>
        <v>1.0987654320987654</v>
      </c>
      <c r="N182" s="3">
        <f t="shared" si="29"/>
        <v>1.0987654320987654</v>
      </c>
      <c r="O182" s="3" t="s">
        <v>58</v>
      </c>
      <c r="P182" s="3" t="s">
        <v>58</v>
      </c>
      <c r="Q182" s="3" t="s">
        <v>403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</row>
    <row r="183" spans="1:29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8"/>
        <v>1.0987654320987654</v>
      </c>
      <c r="N183" s="3">
        <f t="shared" si="29"/>
        <v>1.0987654320987654</v>
      </c>
      <c r="O183" s="3" t="s">
        <v>58</v>
      </c>
      <c r="P183" s="3" t="s">
        <v>58</v>
      </c>
      <c r="Q183" s="3" t="s">
        <v>403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</row>
    <row r="184" spans="1:29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8"/>
        <v>1.125</v>
      </c>
      <c r="N184" s="3">
        <f t="shared" si="29"/>
        <v>1.125</v>
      </c>
      <c r="O184" s="3" t="s">
        <v>58</v>
      </c>
      <c r="P184" s="3" t="s">
        <v>58</v>
      </c>
      <c r="Q184" s="3" t="s">
        <v>419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</row>
    <row r="185" spans="1:29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8"/>
        <v>1.0576470588235294</v>
      </c>
      <c r="N185" s="3">
        <f t="shared" si="29"/>
        <v>1.0576470588235294</v>
      </c>
      <c r="O185" s="3" t="s">
        <v>58</v>
      </c>
      <c r="P185" s="3" t="s">
        <v>58</v>
      </c>
      <c r="Q185" s="3" t="s">
        <v>419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</row>
    <row r="186" spans="1:29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">
        <v>132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</row>
    <row r="187" spans="1:29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">
        <v>132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</row>
    <row r="188" spans="1:29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">
        <v>136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</row>
    <row r="189" spans="1:29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">
        <v>136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</row>
    <row r="190" spans="1:29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">
        <v>463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</row>
    <row r="191" spans="1:29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30">YEAR(F191)</f>
        <v>2017</v>
      </c>
      <c r="H191" s="3" t="str">
        <f t="shared" ref="H191:H196" si="31">PROPER(TEXT(F191,"mmmm"))</f>
        <v>Diciembre</v>
      </c>
      <c r="I191" s="3" t="str">
        <f t="shared" ref="I191:I196" si="32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ref="Q191:Q196" si="33">A191&amp;"-"&amp;TEXT(F191,"yyyy-mm-dd")</f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</row>
    <row r="192" spans="1:29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30"/>
        <v>2017</v>
      </c>
      <c r="H192" s="3" t="str">
        <f t="shared" si="31"/>
        <v>Diciembre</v>
      </c>
      <c r="I192" s="3" t="str">
        <f t="shared" si="32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33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</row>
    <row r="193" spans="1:29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30"/>
        <v>2019</v>
      </c>
      <c r="H193" s="3" t="str">
        <f t="shared" si="31"/>
        <v>Diciembre</v>
      </c>
      <c r="I193" s="3" t="str">
        <f t="shared" si="32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33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</row>
    <row r="194" spans="1:29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30"/>
        <v>2019</v>
      </c>
      <c r="H194" s="3" t="str">
        <f t="shared" si="31"/>
        <v>Diciembre</v>
      </c>
      <c r="I194" s="3" t="str">
        <f t="shared" si="32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33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</row>
    <row r="195" spans="1:29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30"/>
        <v>2021</v>
      </c>
      <c r="H195" s="3" t="str">
        <f t="shared" si="31"/>
        <v>Diciembre</v>
      </c>
      <c r="I195" s="3" t="str">
        <f t="shared" si="32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si="33"/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</row>
    <row r="196" spans="1:29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30"/>
        <v>2021</v>
      </c>
      <c r="H196" s="3" t="str">
        <f t="shared" si="31"/>
        <v>Diciembre</v>
      </c>
      <c r="I196" s="3" t="str">
        <f t="shared" si="32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3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</row>
    <row r="197" spans="1:29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">
        <v>138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</row>
    <row r="198" spans="1:29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">
        <v>138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</row>
    <row r="199" spans="1:29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">
        <v>513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</row>
    <row r="200" spans="1:29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">
        <v>513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</row>
    <row r="201" spans="1:29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4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">
        <v>144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</row>
    <row r="202" spans="1:29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4"/>
        <v>1.0990358226202512</v>
      </c>
      <c r="N202" s="3">
        <f t="shared" ref="N202:N210" si="35">+L202/K202</f>
        <v>1.0990358226202512</v>
      </c>
      <c r="O202" s="3" t="s">
        <v>143</v>
      </c>
      <c r="P202" s="3" t="s">
        <v>143</v>
      </c>
      <c r="Q202" s="3" t="s">
        <v>149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</row>
    <row r="203" spans="1:29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4"/>
        <v>1.0769292461236857</v>
      </c>
      <c r="N203" s="3">
        <f t="shared" si="35"/>
        <v>1.0769292461236857</v>
      </c>
      <c r="O203" s="3" t="s">
        <v>143</v>
      </c>
      <c r="P203" s="3" t="s">
        <v>143</v>
      </c>
      <c r="Q203" s="3" t="s">
        <v>149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</row>
    <row r="204" spans="1:29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4"/>
        <v>1.0463235542785188</v>
      </c>
      <c r="N204" s="3">
        <f t="shared" si="35"/>
        <v>1.0463235542785188</v>
      </c>
      <c r="O204" s="3" t="s">
        <v>143</v>
      </c>
      <c r="P204" s="3" t="s">
        <v>143</v>
      </c>
      <c r="Q204" s="3" t="s">
        <v>150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</row>
    <row r="205" spans="1:29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4"/>
        <v>1.0233644861783664</v>
      </c>
      <c r="N205" s="3">
        <f t="shared" si="35"/>
        <v>1.0233644861783664</v>
      </c>
      <c r="O205" s="3" t="s">
        <v>143</v>
      </c>
      <c r="P205" s="3" t="s">
        <v>143</v>
      </c>
      <c r="Q205" s="3" t="s">
        <v>151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</row>
    <row r="206" spans="1:29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4"/>
        <v>1.0340675895505487</v>
      </c>
      <c r="N206" s="3">
        <f t="shared" si="35"/>
        <v>1.0340675895505487</v>
      </c>
      <c r="O206" s="3" t="s">
        <v>143</v>
      </c>
      <c r="P206" s="3" t="s">
        <v>143</v>
      </c>
      <c r="Q206" s="3" t="s">
        <v>151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</row>
    <row r="207" spans="1:29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4"/>
        <v>1.0200828539694751</v>
      </c>
      <c r="N207" s="3">
        <f t="shared" si="35"/>
        <v>1.0200828539694751</v>
      </c>
      <c r="O207" s="3" t="s">
        <v>143</v>
      </c>
      <c r="P207" s="3" t="s">
        <v>143</v>
      </c>
      <c r="Q207" s="3" t="s">
        <v>152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</row>
    <row r="208" spans="1:29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4"/>
        <v>1.0365164919765848</v>
      </c>
      <c r="N208" s="3">
        <f t="shared" si="35"/>
        <v>1.0365164919765848</v>
      </c>
      <c r="O208" s="3" t="s">
        <v>143</v>
      </c>
      <c r="P208" s="3" t="s">
        <v>143</v>
      </c>
      <c r="Q208" s="3" t="s">
        <v>153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</row>
    <row r="209" spans="1:29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4"/>
        <v>1.0284101409296484</v>
      </c>
      <c r="N209" s="3">
        <f t="shared" si="35"/>
        <v>1.0284101409296484</v>
      </c>
      <c r="O209" s="3" t="s">
        <v>143</v>
      </c>
      <c r="P209" s="3" t="s">
        <v>143</v>
      </c>
      <c r="Q209" s="3" t="s">
        <v>153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</row>
    <row r="210" spans="1:29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4"/>
        <v>1.1176678071147821</v>
      </c>
      <c r="N210" s="3">
        <f t="shared" si="35"/>
        <v>1.1176678071147821</v>
      </c>
      <c r="O210" s="3" t="s">
        <v>143</v>
      </c>
      <c r="P210" s="3" t="s">
        <v>143</v>
      </c>
      <c r="Q210" s="3" t="s">
        <v>426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</row>
    <row r="211" spans="1:29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">
        <v>158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</row>
    <row r="212" spans="1:29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">
        <v>158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</row>
    <row r="213" spans="1:29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">
        <v>160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</row>
    <row r="214" spans="1:29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">
        <v>160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</row>
    <row r="215" spans="1:29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">
        <v>496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</row>
    <row r="216" spans="1:29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">
        <v>496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</row>
    <row r="217" spans="1:29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">
        <v>163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</row>
    <row r="218" spans="1:29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">
        <v>519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</row>
    <row r="219" spans="1:29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">
        <v>162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</row>
    <row r="220" spans="1:29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">
        <v>163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</row>
    <row r="221" spans="1:29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">
        <v>163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</row>
    <row r="222" spans="1:29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">
        <v>164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</row>
    <row r="223" spans="1:29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">
        <v>165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</row>
    <row r="224" spans="1:29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">
        <v>165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</row>
    <row r="225" spans="1:29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">
        <v>422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</row>
    <row r="226" spans="1:29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">
        <v>422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</row>
    <row r="227" spans="1:29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">
        <v>172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</row>
    <row r="228" spans="1:29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">
        <v>173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</row>
    <row r="229" spans="1:29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">
        <v>173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</row>
    <row r="230" spans="1:29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">
        <v>174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</row>
    <row r="231" spans="1:29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">
        <v>175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</row>
    <row r="232" spans="1:29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">
        <v>175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</row>
    <row r="233" spans="1:29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">
        <v>427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</row>
    <row r="234" spans="1:29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">
        <v>502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</row>
    <row r="235" spans="1:29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">
        <v>178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</row>
    <row r="236" spans="1:29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6">+L236/K236</f>
        <v>1.3743493771565587</v>
      </c>
      <c r="N236" s="3">
        <f t="shared" ref="N236:N240" si="37">+L236/K236</f>
        <v>1.3743493771565587</v>
      </c>
      <c r="O236" s="3" t="s">
        <v>445</v>
      </c>
      <c r="P236" s="3" t="s">
        <v>445</v>
      </c>
      <c r="Q236" s="3" t="s">
        <v>178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</row>
    <row r="237" spans="1:29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6"/>
        <v>1.0010913364674279</v>
      </c>
      <c r="N237" s="3">
        <f t="shared" si="37"/>
        <v>1.0010913364674279</v>
      </c>
      <c r="O237" s="3" t="s">
        <v>445</v>
      </c>
      <c r="P237" s="3" t="s">
        <v>445</v>
      </c>
      <c r="Q237" s="3" t="s">
        <v>453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</row>
    <row r="238" spans="1:29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6"/>
        <v>1.0010913364674279</v>
      </c>
      <c r="N238" s="3">
        <f t="shared" si="37"/>
        <v>1.0010913364674279</v>
      </c>
      <c r="O238" s="3" t="s">
        <v>445</v>
      </c>
      <c r="P238" s="3" t="s">
        <v>445</v>
      </c>
      <c r="Q238" s="3" t="s">
        <v>453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</row>
    <row r="239" spans="1:29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6"/>
        <v>0.99999999999999978</v>
      </c>
      <c r="N239" s="3">
        <f t="shared" si="37"/>
        <v>0.99999999999999978</v>
      </c>
      <c r="O239" s="3" t="s">
        <v>445</v>
      </c>
      <c r="P239" s="3" t="s">
        <v>445</v>
      </c>
      <c r="Q239" s="3" t="s">
        <v>181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</row>
    <row r="240" spans="1:29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6"/>
        <v>0.99999999999999978</v>
      </c>
      <c r="N240" s="3">
        <f t="shared" si="37"/>
        <v>0.99999999999999978</v>
      </c>
      <c r="O240" s="3" t="s">
        <v>445</v>
      </c>
      <c r="P240" s="3" t="s">
        <v>445</v>
      </c>
      <c r="Q240" s="3" t="s">
        <v>181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</row>
    <row r="241" spans="1:29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">
        <v>446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</row>
    <row r="242" spans="1:29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8">IF(K242/L242&gt;1.3,1.3,K242/L242)</f>
        <v>1</v>
      </c>
      <c r="N242" s="3">
        <f t="shared" ref="N242:N247" si="39">+K242/L242</f>
        <v>1</v>
      </c>
      <c r="O242" s="3" t="s">
        <v>35</v>
      </c>
      <c r="P242" s="3" t="s">
        <v>35</v>
      </c>
      <c r="Q242" s="3" t="s">
        <v>446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</row>
    <row r="243" spans="1:29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8"/>
        <v>1.0416666666666667</v>
      </c>
      <c r="N243" s="3">
        <f t="shared" si="39"/>
        <v>1.0416666666666667</v>
      </c>
      <c r="O243" s="3" t="s">
        <v>35</v>
      </c>
      <c r="P243" s="3" t="s">
        <v>35</v>
      </c>
      <c r="Q243" s="3" t="s">
        <v>183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</row>
    <row r="244" spans="1:29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8"/>
        <v>1.0416666666666667</v>
      </c>
      <c r="N244" s="3">
        <f t="shared" si="39"/>
        <v>1.0416666666666667</v>
      </c>
      <c r="O244" s="3" t="s">
        <v>35</v>
      </c>
      <c r="P244" s="3" t="s">
        <v>35</v>
      </c>
      <c r="Q244" s="3" t="s">
        <v>183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</row>
    <row r="245" spans="1:29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8"/>
        <v>1</v>
      </c>
      <c r="N245" s="3">
        <f t="shared" si="39"/>
        <v>1</v>
      </c>
      <c r="O245" s="3" t="s">
        <v>35</v>
      </c>
      <c r="P245" s="3" t="s">
        <v>35</v>
      </c>
      <c r="Q245" s="3" t="s">
        <v>184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</row>
    <row r="246" spans="1:29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8"/>
        <v>1</v>
      </c>
      <c r="N246" s="3">
        <f t="shared" si="39"/>
        <v>1</v>
      </c>
      <c r="O246" s="3" t="s">
        <v>35</v>
      </c>
      <c r="P246" s="3" t="s">
        <v>35</v>
      </c>
      <c r="Q246" s="3" t="s">
        <v>184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</row>
    <row r="247" spans="1:29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8"/>
        <v>1.3</v>
      </c>
      <c r="N247" s="3">
        <f t="shared" si="39"/>
        <v>1.9230769230769231</v>
      </c>
      <c r="O247" s="3" t="s">
        <v>35</v>
      </c>
      <c r="P247" s="3" t="s">
        <v>35</v>
      </c>
      <c r="Q247" s="3" t="s">
        <v>501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</row>
    <row r="248" spans="1:29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">
        <v>187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</row>
    <row r="249" spans="1:29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40">+L249/K249</f>
        <v>0.97062146892655377</v>
      </c>
      <c r="N249" s="3">
        <f t="shared" ref="N249:N258" si="41">+L249/K249</f>
        <v>0.97062146892655377</v>
      </c>
      <c r="O249" s="3" t="s">
        <v>58</v>
      </c>
      <c r="P249" s="3" t="s">
        <v>58</v>
      </c>
      <c r="Q249" s="3" t="s">
        <v>188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</row>
    <row r="250" spans="1:29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40"/>
        <v>0.97062146892655377</v>
      </c>
      <c r="N250" s="3">
        <f t="shared" si="41"/>
        <v>0.97062146892655377</v>
      </c>
      <c r="O250" s="3" t="s">
        <v>58</v>
      </c>
      <c r="P250" s="3" t="s">
        <v>58</v>
      </c>
      <c r="Q250" s="3" t="s">
        <v>188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</row>
    <row r="251" spans="1:29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40"/>
        <v>0.97839080459770122</v>
      </c>
      <c r="N251" s="3">
        <f t="shared" si="41"/>
        <v>0.97839080459770122</v>
      </c>
      <c r="O251" s="3" t="s">
        <v>58</v>
      </c>
      <c r="P251" s="3" t="s">
        <v>58</v>
      </c>
      <c r="Q251" s="3" t="s">
        <v>189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</row>
    <row r="252" spans="1:29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40"/>
        <v>0.9813793103448275</v>
      </c>
      <c r="N252" s="3">
        <f t="shared" si="41"/>
        <v>0.9813793103448275</v>
      </c>
      <c r="O252" s="3" t="s">
        <v>58</v>
      </c>
      <c r="P252" s="3" t="s">
        <v>58</v>
      </c>
      <c r="Q252" s="3" t="s">
        <v>190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</row>
    <row r="253" spans="1:29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40"/>
        <v>0.9813793103448275</v>
      </c>
      <c r="N253" s="3">
        <f t="shared" si="41"/>
        <v>0.9813793103448275</v>
      </c>
      <c r="O253" s="3" t="s">
        <v>58</v>
      </c>
      <c r="P253" s="3" t="s">
        <v>58</v>
      </c>
      <c r="Q253" s="3" t="s">
        <v>190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</row>
    <row r="254" spans="1:29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40"/>
        <v>1.0015294117647058</v>
      </c>
      <c r="N254" s="3">
        <f t="shared" si="41"/>
        <v>1.0015294117647058</v>
      </c>
      <c r="O254" s="3" t="s">
        <v>58</v>
      </c>
      <c r="P254" s="3" t="s">
        <v>58</v>
      </c>
      <c r="Q254" s="3" t="s">
        <v>191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</row>
    <row r="255" spans="1:29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40"/>
        <v>1.0022352941176471</v>
      </c>
      <c r="N255" s="3">
        <f t="shared" si="41"/>
        <v>1.0022352941176471</v>
      </c>
      <c r="O255" s="3" t="s">
        <v>58</v>
      </c>
      <c r="P255" s="3" t="s">
        <v>58</v>
      </c>
      <c r="Q255" s="3" t="s">
        <v>192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</row>
    <row r="256" spans="1:29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40"/>
        <v>1.0022352941176471</v>
      </c>
      <c r="N256" s="3">
        <f t="shared" si="41"/>
        <v>1.0022352941176471</v>
      </c>
      <c r="O256" s="3" t="s">
        <v>58</v>
      </c>
      <c r="P256" s="3" t="s">
        <v>58</v>
      </c>
      <c r="Q256" s="3" t="s">
        <v>192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</row>
    <row r="257" spans="1:29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40"/>
        <v>1.0093348891481912</v>
      </c>
      <c r="N257" s="3">
        <f t="shared" si="41"/>
        <v>1.0093348891481912</v>
      </c>
      <c r="O257" s="3" t="s">
        <v>58</v>
      </c>
      <c r="P257" s="3" t="s">
        <v>58</v>
      </c>
      <c r="Q257" s="3" t="s">
        <v>421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</row>
    <row r="258" spans="1:29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40"/>
        <v>1.0011614401858304</v>
      </c>
      <c r="N258" s="3">
        <f t="shared" si="41"/>
        <v>1.0011614401858304</v>
      </c>
      <c r="O258" s="3" t="s">
        <v>58</v>
      </c>
      <c r="P258" s="3" t="s">
        <v>58</v>
      </c>
      <c r="Q258" s="3" t="s">
        <v>421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</row>
    <row r="259" spans="1:29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2">YEAR(F259)</f>
        <v>2018</v>
      </c>
      <c r="H259" s="3" t="str">
        <f t="shared" ref="H259:H270" si="43">PROPER(TEXT(F259,"mmmm"))</f>
        <v>Junio</v>
      </c>
      <c r="I259" s="3" t="str">
        <f t="shared" ref="I259:I270" si="44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270" si="45">A259&amp;"-"&amp;TEXT(F259,"yyyy-mm-dd")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</row>
    <row r="260" spans="1:29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2"/>
        <v>2018</v>
      </c>
      <c r="H260" s="3" t="str">
        <f t="shared" si="43"/>
        <v>Diciembre</v>
      </c>
      <c r="I260" s="3" t="str">
        <f t="shared" si="44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5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</row>
    <row r="261" spans="1:29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2"/>
        <v>2018</v>
      </c>
      <c r="H261" s="3" t="str">
        <f t="shared" si="43"/>
        <v>Diciembre</v>
      </c>
      <c r="I261" s="3" t="str">
        <f t="shared" si="44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5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</row>
    <row r="262" spans="1:29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2"/>
        <v>2019</v>
      </c>
      <c r="H262" s="3" t="str">
        <f t="shared" si="43"/>
        <v>Junio</v>
      </c>
      <c r="I262" s="3" t="str">
        <f t="shared" si="44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5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</row>
    <row r="263" spans="1:29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2"/>
        <v>2019</v>
      </c>
      <c r="H263" s="3" t="str">
        <f t="shared" si="43"/>
        <v>Diciembre</v>
      </c>
      <c r="I263" s="3" t="str">
        <f t="shared" si="44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5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</row>
    <row r="264" spans="1:29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2"/>
        <v>2019</v>
      </c>
      <c r="H264" s="3" t="str">
        <f t="shared" si="43"/>
        <v>Diciembre</v>
      </c>
      <c r="I264" s="3" t="str">
        <f t="shared" si="44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5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</row>
    <row r="265" spans="1:29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2"/>
        <v>2020</v>
      </c>
      <c r="H265" s="3" t="str">
        <f t="shared" si="43"/>
        <v>Junio</v>
      </c>
      <c r="I265" s="3" t="str">
        <f t="shared" si="44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5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</row>
    <row r="266" spans="1:29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2"/>
        <v>2020</v>
      </c>
      <c r="H266" s="3" t="str">
        <f t="shared" si="43"/>
        <v>Diciembre</v>
      </c>
      <c r="I266" s="3" t="str">
        <f t="shared" si="44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5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</row>
    <row r="267" spans="1:29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2"/>
        <v>2020</v>
      </c>
      <c r="H267" s="3" t="str">
        <f t="shared" si="43"/>
        <v>Diciembre</v>
      </c>
      <c r="I267" s="3" t="str">
        <f t="shared" si="44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5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</row>
    <row r="268" spans="1:29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2"/>
        <v>2021</v>
      </c>
      <c r="H268" s="3" t="str">
        <f t="shared" si="43"/>
        <v>Junio</v>
      </c>
      <c r="I268" s="3" t="str">
        <f t="shared" si="44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5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</row>
    <row r="269" spans="1:29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2"/>
        <v>2021</v>
      </c>
      <c r="H269" s="3" t="str">
        <f t="shared" si="43"/>
        <v>Diciembre</v>
      </c>
      <c r="I269" s="3" t="str">
        <f t="shared" si="44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5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</row>
    <row r="270" spans="1:29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2"/>
        <v>2021</v>
      </c>
      <c r="H270" s="3" t="str">
        <f t="shared" si="43"/>
        <v>Diciembre</v>
      </c>
      <c r="I270" s="3" t="str">
        <f t="shared" si="44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5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</row>
    <row r="271" spans="1:29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">
        <v>195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</row>
    <row r="272" spans="1:29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6">+L272/K272</f>
        <v>1.0212472059673003</v>
      </c>
      <c r="N272" s="3">
        <f t="shared" ref="N272:N282" si="47">+L272/K272</f>
        <v>1.0212472059673003</v>
      </c>
      <c r="O272" s="3" t="s">
        <v>35</v>
      </c>
      <c r="P272" s="3" t="s">
        <v>35</v>
      </c>
      <c r="Q272" s="3" t="s">
        <v>196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</row>
    <row r="273" spans="1:29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6"/>
        <v>1.0212472059673003</v>
      </c>
      <c r="N273" s="3">
        <f t="shared" si="47"/>
        <v>1.0212472059673003</v>
      </c>
      <c r="O273" s="3" t="s">
        <v>35</v>
      </c>
      <c r="P273" s="3" t="s">
        <v>35</v>
      </c>
      <c r="Q273" s="3" t="s">
        <v>196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</row>
    <row r="274" spans="1:29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6"/>
        <v>0.97612804954178845</v>
      </c>
      <c r="N274" s="3">
        <f t="shared" si="47"/>
        <v>0.97612804954178845</v>
      </c>
      <c r="O274" s="3" t="s">
        <v>35</v>
      </c>
      <c r="P274" s="3" t="s">
        <v>35</v>
      </c>
      <c r="Q274" s="3" t="s">
        <v>197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</row>
    <row r="275" spans="1:29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6"/>
        <v>0.97512616297146681</v>
      </c>
      <c r="N275" s="3">
        <f t="shared" si="47"/>
        <v>0.97512616297146681</v>
      </c>
      <c r="O275" s="3" t="s">
        <v>35</v>
      </c>
      <c r="P275" s="3" t="s">
        <v>35</v>
      </c>
      <c r="Q275" s="3" t="s">
        <v>198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</row>
    <row r="276" spans="1:29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6"/>
        <v>0.97510224582047789</v>
      </c>
      <c r="N276" s="3">
        <f t="shared" si="47"/>
        <v>0.97510224582047789</v>
      </c>
      <c r="O276" s="3" t="s">
        <v>35</v>
      </c>
      <c r="P276" s="3" t="s">
        <v>35</v>
      </c>
      <c r="Q276" s="3" t="s">
        <v>198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</row>
    <row r="277" spans="1:29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6"/>
        <v>1.0202251822842863</v>
      </c>
      <c r="N277" s="3">
        <f t="shared" si="47"/>
        <v>1.0202251822842863</v>
      </c>
      <c r="O277" s="3" t="s">
        <v>35</v>
      </c>
      <c r="P277" s="3" t="s">
        <v>35</v>
      </c>
      <c r="Q277" s="3" t="s">
        <v>199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</row>
    <row r="278" spans="1:29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6"/>
        <v>1.0246037437254272</v>
      </c>
      <c r="N278" s="3">
        <f t="shared" si="47"/>
        <v>1.0246037437254272</v>
      </c>
      <c r="O278" s="3" t="s">
        <v>35</v>
      </c>
      <c r="P278" s="3" t="s">
        <v>35</v>
      </c>
      <c r="Q278" s="3" t="s">
        <v>200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</row>
    <row r="279" spans="1:29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6"/>
        <v>1.0245952787304076</v>
      </c>
      <c r="N279" s="3">
        <f t="shared" si="47"/>
        <v>1.0245952787304076</v>
      </c>
      <c r="O279" s="3" t="s">
        <v>35</v>
      </c>
      <c r="P279" s="3" t="s">
        <v>35</v>
      </c>
      <c r="Q279" s="3" t="s">
        <v>200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</row>
    <row r="280" spans="1:29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6"/>
        <v>1.0584120321790835</v>
      </c>
      <c r="N280" s="3">
        <f t="shared" si="47"/>
        <v>1.0584120321790835</v>
      </c>
      <c r="O280" s="3" t="s">
        <v>35</v>
      </c>
      <c r="P280" s="3" t="s">
        <v>35</v>
      </c>
      <c r="Q280" s="3" t="s">
        <v>413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</row>
    <row r="281" spans="1:29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6"/>
        <v>1.02031875181617</v>
      </c>
      <c r="N281" s="3">
        <f t="shared" si="47"/>
        <v>1.02031875181617</v>
      </c>
      <c r="O281" s="3" t="s">
        <v>35</v>
      </c>
      <c r="P281" s="3" t="s">
        <v>35</v>
      </c>
      <c r="Q281" s="3" t="s">
        <v>413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</row>
    <row r="282" spans="1:29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6"/>
        <v>1.02031875181617</v>
      </c>
      <c r="N282" s="3">
        <f t="shared" si="47"/>
        <v>1.02031875181617</v>
      </c>
      <c r="O282" s="3" t="s">
        <v>35</v>
      </c>
      <c r="P282" s="3" t="s">
        <v>35</v>
      </c>
      <c r="Q282" s="3" t="str">
        <f>A282&amp;"-"&amp;TEXT(F282,"yyyy-mm-dd")</f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</row>
    <row r="283" spans="1:29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">
        <v>203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75</v>
      </c>
      <c r="Z283" s="3" t="s">
        <v>86</v>
      </c>
      <c r="AA283" s="3" t="s">
        <v>204</v>
      </c>
      <c r="AB283" s="3" t="s">
        <v>65</v>
      </c>
      <c r="AC283" s="3" t="s">
        <v>31</v>
      </c>
    </row>
    <row r="284" spans="1:29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8">+K284/L284</f>
        <v>1</v>
      </c>
      <c r="N284" s="3">
        <f t="shared" ref="N284:N293" si="49">+K284/L284</f>
        <v>1</v>
      </c>
      <c r="O284" s="3" t="s">
        <v>35</v>
      </c>
      <c r="P284" s="3" t="s">
        <v>245</v>
      </c>
      <c r="Q284" s="3" t="s">
        <v>205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75</v>
      </c>
      <c r="Z284" s="3" t="s">
        <v>86</v>
      </c>
      <c r="AA284" s="3" t="s">
        <v>204</v>
      </c>
      <c r="AB284" s="3" t="s">
        <v>65</v>
      </c>
      <c r="AC284" s="3" t="s">
        <v>31</v>
      </c>
    </row>
    <row r="285" spans="1:29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8"/>
        <v>1</v>
      </c>
      <c r="N285" s="3">
        <f t="shared" si="49"/>
        <v>1</v>
      </c>
      <c r="O285" s="3" t="s">
        <v>35</v>
      </c>
      <c r="P285" s="3" t="s">
        <v>35</v>
      </c>
      <c r="Q285" s="3" t="s">
        <v>205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75</v>
      </c>
      <c r="Z285" s="3" t="s">
        <v>86</v>
      </c>
      <c r="AA285" s="3" t="s">
        <v>204</v>
      </c>
      <c r="AB285" s="3" t="s">
        <v>65</v>
      </c>
      <c r="AC285" s="3" t="s">
        <v>31</v>
      </c>
    </row>
    <row r="286" spans="1:29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8"/>
        <v>0.94454939437715302</v>
      </c>
      <c r="N286" s="3">
        <f t="shared" si="49"/>
        <v>0.94454939437715302</v>
      </c>
      <c r="O286" s="3" t="s">
        <v>35</v>
      </c>
      <c r="P286" s="3" t="s">
        <v>245</v>
      </c>
      <c r="Q286" s="3" t="s">
        <v>206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75</v>
      </c>
      <c r="Z286" s="3" t="s">
        <v>86</v>
      </c>
      <c r="AA286" s="3" t="s">
        <v>204</v>
      </c>
      <c r="AB286" s="3" t="s">
        <v>65</v>
      </c>
      <c r="AC286" s="3" t="s">
        <v>31</v>
      </c>
    </row>
    <row r="287" spans="1:29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8"/>
        <v>1.0059171597633136</v>
      </c>
      <c r="N287" s="3">
        <f t="shared" si="49"/>
        <v>1.0059171597633136</v>
      </c>
      <c r="O287" s="3" t="s">
        <v>35</v>
      </c>
      <c r="P287" s="3" t="s">
        <v>245</v>
      </c>
      <c r="Q287" s="3" t="s">
        <v>207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75</v>
      </c>
      <c r="Z287" s="3" t="s">
        <v>86</v>
      </c>
      <c r="AA287" s="3" t="s">
        <v>204</v>
      </c>
      <c r="AB287" s="3" t="s">
        <v>65</v>
      </c>
      <c r="AC287" s="3" t="s">
        <v>31</v>
      </c>
    </row>
    <row r="288" spans="1:29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8"/>
        <v>1.0059171597633136</v>
      </c>
      <c r="N288" s="3">
        <f t="shared" si="49"/>
        <v>1.0059171597633136</v>
      </c>
      <c r="O288" s="3" t="s">
        <v>35</v>
      </c>
      <c r="P288" s="3" t="s">
        <v>245</v>
      </c>
      <c r="Q288" s="3" t="s">
        <v>207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75</v>
      </c>
      <c r="Z288" s="3" t="s">
        <v>86</v>
      </c>
      <c r="AA288" s="3" t="s">
        <v>204</v>
      </c>
      <c r="AB288" s="3" t="s">
        <v>65</v>
      </c>
      <c r="AC288" s="3" t="s">
        <v>31</v>
      </c>
    </row>
    <row r="289" spans="1:29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8"/>
        <v>0.89659294680215174</v>
      </c>
      <c r="N289" s="3">
        <f t="shared" si="49"/>
        <v>0.89659294680215174</v>
      </c>
      <c r="O289" s="3" t="s">
        <v>35</v>
      </c>
      <c r="P289" s="3" t="s">
        <v>245</v>
      </c>
      <c r="Q289" s="3" t="s">
        <v>208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75</v>
      </c>
      <c r="Z289" s="3" t="s">
        <v>86</v>
      </c>
      <c r="AA289" s="3" t="s">
        <v>204</v>
      </c>
      <c r="AB289" s="3" t="s">
        <v>65</v>
      </c>
      <c r="AC289" s="3" t="s">
        <v>31</v>
      </c>
    </row>
    <row r="290" spans="1:29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8"/>
        <v>0.90711175616835982</v>
      </c>
      <c r="N290" s="3">
        <f t="shared" si="49"/>
        <v>0.90711175616835982</v>
      </c>
      <c r="O290" s="3" t="s">
        <v>35</v>
      </c>
      <c r="P290" s="3" t="s">
        <v>245</v>
      </c>
      <c r="Q290" s="3" t="s">
        <v>209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75</v>
      </c>
      <c r="Z290" s="3" t="s">
        <v>86</v>
      </c>
      <c r="AA290" s="3" t="s">
        <v>204</v>
      </c>
      <c r="AB290" s="3" t="s">
        <v>65</v>
      </c>
      <c r="AC290" s="3" t="s">
        <v>31</v>
      </c>
    </row>
    <row r="291" spans="1:29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8"/>
        <v>0.90711175616835982</v>
      </c>
      <c r="N291" s="3">
        <f t="shared" si="49"/>
        <v>0.90711175616835982</v>
      </c>
      <c r="O291" s="3" t="s">
        <v>35</v>
      </c>
      <c r="P291" s="3" t="s">
        <v>245</v>
      </c>
      <c r="Q291" s="3" t="s">
        <v>209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75</v>
      </c>
      <c r="Z291" s="3" t="s">
        <v>86</v>
      </c>
      <c r="AA291" s="3" t="s">
        <v>204</v>
      </c>
      <c r="AB291" s="3" t="s">
        <v>65</v>
      </c>
      <c r="AC291" s="3" t="s">
        <v>31</v>
      </c>
    </row>
    <row r="292" spans="1:29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8"/>
        <v>0.96222380612972191</v>
      </c>
      <c r="N292" s="3">
        <f t="shared" si="49"/>
        <v>0.96222380612972191</v>
      </c>
      <c r="O292" s="3" t="s">
        <v>35</v>
      </c>
      <c r="P292" s="3" t="s">
        <v>245</v>
      </c>
      <c r="Q292" s="3" t="s">
        <v>410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75</v>
      </c>
      <c r="Z292" s="3" t="s">
        <v>86</v>
      </c>
      <c r="AA292" s="3" t="s">
        <v>204</v>
      </c>
      <c r="AB292" s="3" t="s">
        <v>65</v>
      </c>
      <c r="AC292" s="3" t="s">
        <v>31</v>
      </c>
    </row>
    <row r="293" spans="1:29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8"/>
        <v>0.97814273638449456</v>
      </c>
      <c r="N293" s="3">
        <f t="shared" si="49"/>
        <v>0.97814273638449456</v>
      </c>
      <c r="O293" s="3" t="s">
        <v>35</v>
      </c>
      <c r="P293" s="3" t="s">
        <v>245</v>
      </c>
      <c r="Q293" s="3" t="s">
        <v>514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75</v>
      </c>
      <c r="Z293" s="3" t="s">
        <v>86</v>
      </c>
      <c r="AA293" s="3" t="s">
        <v>204</v>
      </c>
      <c r="AB293" s="3" t="s">
        <v>65</v>
      </c>
      <c r="AC293" s="3" t="s">
        <v>31</v>
      </c>
    </row>
    <row r="294" spans="1:29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">
        <v>211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/>
      <c r="Z294" s="3" t="s">
        <v>86</v>
      </c>
      <c r="AA294" s="3" t="s">
        <v>204</v>
      </c>
      <c r="AB294" s="3" t="s">
        <v>65</v>
      </c>
      <c r="AC294" s="3" t="s">
        <v>31</v>
      </c>
    </row>
    <row r="295" spans="1:29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50">+K295/L295</f>
        <v>1.1597762314094691</v>
      </c>
      <c r="N295" s="3">
        <f t="shared" ref="N295:N301" si="51">+K295/L295</f>
        <v>1.1597762314094691</v>
      </c>
      <c r="O295" s="3" t="s">
        <v>35</v>
      </c>
      <c r="P295" s="3" t="s">
        <v>245</v>
      </c>
      <c r="Q295" s="3" t="s">
        <v>212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/>
      <c r="Z295" s="3" t="s">
        <v>86</v>
      </c>
      <c r="AA295" s="3" t="s">
        <v>204</v>
      </c>
      <c r="AB295" s="3" t="s">
        <v>65</v>
      </c>
      <c r="AC295" s="3" t="s">
        <v>31</v>
      </c>
    </row>
    <row r="296" spans="1:29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50"/>
        <v>1.1597762314094691</v>
      </c>
      <c r="N296" s="3">
        <f t="shared" si="51"/>
        <v>1.1597762314094691</v>
      </c>
      <c r="O296" s="3" t="s">
        <v>35</v>
      </c>
      <c r="P296" s="3" t="s">
        <v>245</v>
      </c>
      <c r="Q296" s="3" t="s">
        <v>212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/>
      <c r="Z296" s="3" t="s">
        <v>86</v>
      </c>
      <c r="AA296" s="3" t="s">
        <v>204</v>
      </c>
      <c r="AB296" s="3" t="s">
        <v>65</v>
      </c>
      <c r="AC296" s="3" t="s">
        <v>31</v>
      </c>
    </row>
    <row r="297" spans="1:29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50"/>
        <v>1.0255689800505758</v>
      </c>
      <c r="N297" s="3">
        <f t="shared" si="51"/>
        <v>1.0255689800505758</v>
      </c>
      <c r="O297" s="3" t="s">
        <v>35</v>
      </c>
      <c r="P297" s="3" t="s">
        <v>245</v>
      </c>
      <c r="Q297" s="3" t="s">
        <v>213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/>
      <c r="Z297" s="3" t="s">
        <v>86</v>
      </c>
      <c r="AA297" s="3" t="s">
        <v>204</v>
      </c>
      <c r="AB297" s="3" t="s">
        <v>65</v>
      </c>
      <c r="AC297" s="3" t="s">
        <v>31</v>
      </c>
    </row>
    <row r="298" spans="1:29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50"/>
        <v>1.0247052217855139</v>
      </c>
      <c r="N298" s="3">
        <f t="shared" si="51"/>
        <v>1.0247052217855139</v>
      </c>
      <c r="O298" s="3" t="s">
        <v>35</v>
      </c>
      <c r="P298" s="3" t="s">
        <v>245</v>
      </c>
      <c r="Q298" s="3" t="s">
        <v>214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/>
      <c r="Z298" s="3" t="s">
        <v>86</v>
      </c>
      <c r="AA298" s="3" t="s">
        <v>204</v>
      </c>
      <c r="AB298" s="3" t="s">
        <v>65</v>
      </c>
      <c r="AC298" s="3" t="s">
        <v>31</v>
      </c>
    </row>
    <row r="299" spans="1:29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50"/>
        <v>1.0247052217855139</v>
      </c>
      <c r="N299" s="3">
        <f t="shared" si="51"/>
        <v>1.0247052217855139</v>
      </c>
      <c r="O299" s="3" t="s">
        <v>35</v>
      </c>
      <c r="P299" s="3" t="s">
        <v>245</v>
      </c>
      <c r="Q299" s="3" t="s">
        <v>214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/>
      <c r="Z299" s="3" t="s">
        <v>86</v>
      </c>
      <c r="AA299" s="3" t="s">
        <v>204</v>
      </c>
      <c r="AB299" s="3" t="s">
        <v>65</v>
      </c>
      <c r="AC299" s="3" t="s">
        <v>31</v>
      </c>
    </row>
    <row r="300" spans="1:29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50"/>
        <v>1.0232021905173656</v>
      </c>
      <c r="N300" s="3">
        <f t="shared" si="51"/>
        <v>1.0232021905173656</v>
      </c>
      <c r="O300" s="3" t="s">
        <v>35</v>
      </c>
      <c r="P300" s="3" t="s">
        <v>245</v>
      </c>
      <c r="Q300" s="3" t="s">
        <v>434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/>
      <c r="Z300" s="3" t="s">
        <v>86</v>
      </c>
      <c r="AA300" s="3" t="s">
        <v>204</v>
      </c>
      <c r="AB300" s="3" t="s">
        <v>65</v>
      </c>
      <c r="AC300" s="3" t="s">
        <v>31</v>
      </c>
    </row>
    <row r="301" spans="1:29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50"/>
        <v>1.0380116959064327</v>
      </c>
      <c r="N301" s="3">
        <f t="shared" si="51"/>
        <v>1.0380116959064327</v>
      </c>
      <c r="O301" s="3" t="s">
        <v>35</v>
      </c>
      <c r="P301" s="3" t="s">
        <v>245</v>
      </c>
      <c r="Q301" s="3" t="s">
        <v>515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/>
      <c r="Z301" s="3" t="s">
        <v>86</v>
      </c>
      <c r="AA301" s="3" t="s">
        <v>204</v>
      </c>
      <c r="AB301" s="3" t="s">
        <v>65</v>
      </c>
      <c r="AC301" s="3" t="s">
        <v>31</v>
      </c>
    </row>
    <row r="302" spans="1:29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">
        <v>217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</row>
    <row r="303" spans="1:29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">
        <v>217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</row>
    <row r="304" spans="1:29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">
        <v>220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</row>
    <row r="305" spans="1:29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">
        <v>221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</row>
    <row r="306" spans="1:29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">
        <v>221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</row>
    <row r="307" spans="1:29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">
        <v>222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</row>
    <row r="308" spans="1:29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">
        <v>223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</row>
    <row r="309" spans="1:29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">
        <v>223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</row>
    <row r="310" spans="1:29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">
        <v>409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</row>
    <row r="311" spans="1:29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">
        <v>409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</row>
    <row r="312" spans="1:29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">
        <v>225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</row>
    <row r="313" spans="1:29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">
        <v>226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</row>
    <row r="314" spans="1:29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">
        <v>226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</row>
    <row r="315" spans="1:29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">
        <v>227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</row>
    <row r="316" spans="1:29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">
        <v>228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</row>
    <row r="317" spans="1:29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">
        <v>228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</row>
    <row r="318" spans="1:29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">
        <v>229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</row>
    <row r="319" spans="1:29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">
        <v>230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</row>
    <row r="320" spans="1:29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">
        <v>230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</row>
    <row r="321" spans="1:29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">
        <v>408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</row>
    <row r="322" spans="1:29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">
        <v>408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</row>
    <row r="323" spans="1:29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">
        <v>234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</row>
    <row r="324" spans="1:29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">
        <v>234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</row>
    <row r="325" spans="1:29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">
        <v>238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</row>
    <row r="326" spans="1:29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">
        <v>238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</row>
    <row r="327" spans="1:29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">
        <v>430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</row>
    <row r="328" spans="1:29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">
        <v>430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</row>
    <row r="329" spans="1:29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">
        <v>240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241</v>
      </c>
      <c r="Z329" s="3" t="s">
        <v>134</v>
      </c>
      <c r="AA329" s="3" t="s">
        <v>135</v>
      </c>
      <c r="AB329" s="3" t="s">
        <v>65</v>
      </c>
      <c r="AC329" s="3" t="s">
        <v>66</v>
      </c>
    </row>
    <row r="330" spans="1:29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">
        <v>242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241</v>
      </c>
      <c r="Z330" s="3" t="s">
        <v>134</v>
      </c>
      <c r="AA330" s="3" t="s">
        <v>135</v>
      </c>
      <c r="AB330" s="3" t="s">
        <v>65</v>
      </c>
      <c r="AC330" s="3" t="s">
        <v>66</v>
      </c>
    </row>
    <row r="331" spans="1:29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">
        <v>242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241</v>
      </c>
      <c r="Z331" s="3" t="s">
        <v>134</v>
      </c>
      <c r="AA331" s="3" t="s">
        <v>135</v>
      </c>
      <c r="AB331" s="3" t="s">
        <v>65</v>
      </c>
      <c r="AC331" s="3" t="s">
        <v>66</v>
      </c>
    </row>
    <row r="332" spans="1:29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">
        <v>243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241</v>
      </c>
      <c r="Z332" s="3" t="s">
        <v>134</v>
      </c>
      <c r="AA332" s="3" t="s">
        <v>135</v>
      </c>
      <c r="AB332" s="3" t="s">
        <v>65</v>
      </c>
      <c r="AC332" s="3" t="s">
        <v>66</v>
      </c>
    </row>
    <row r="333" spans="1:29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">
        <v>244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241</v>
      </c>
      <c r="Z333" s="3" t="s">
        <v>134</v>
      </c>
      <c r="AA333" s="3" t="s">
        <v>135</v>
      </c>
      <c r="AB333" s="3" t="s">
        <v>65</v>
      </c>
      <c r="AC333" s="3" t="s">
        <v>66</v>
      </c>
    </row>
    <row r="334" spans="1:29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">
        <v>244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241</v>
      </c>
      <c r="Z334" s="3" t="s">
        <v>134</v>
      </c>
      <c r="AA334" s="3" t="s">
        <v>135</v>
      </c>
      <c r="AB334" s="3" t="s">
        <v>65</v>
      </c>
      <c r="AC334" s="3" t="s">
        <v>66</v>
      </c>
    </row>
    <row r="335" spans="1:29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">
        <v>246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241</v>
      </c>
      <c r="Z335" s="3" t="s">
        <v>134</v>
      </c>
      <c r="AA335" s="3" t="s">
        <v>135</v>
      </c>
      <c r="AB335" s="3" t="s">
        <v>65</v>
      </c>
      <c r="AC335" s="3" t="s">
        <v>66</v>
      </c>
    </row>
    <row r="336" spans="1:29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">
        <v>247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241</v>
      </c>
      <c r="Z336" s="3" t="s">
        <v>134</v>
      </c>
      <c r="AA336" s="3" t="s">
        <v>135</v>
      </c>
      <c r="AB336" s="3" t="s">
        <v>65</v>
      </c>
      <c r="AC336" s="3" t="s">
        <v>66</v>
      </c>
    </row>
    <row r="337" spans="1:29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">
        <v>247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241</v>
      </c>
      <c r="Z337" s="3" t="s">
        <v>134</v>
      </c>
      <c r="AA337" s="3" t="s">
        <v>135</v>
      </c>
      <c r="AB337" s="3" t="s">
        <v>65</v>
      </c>
      <c r="AC337" s="3" t="s">
        <v>66</v>
      </c>
    </row>
    <row r="338" spans="1:29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">
        <v>431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241</v>
      </c>
      <c r="Z338" s="3" t="s">
        <v>134</v>
      </c>
      <c r="AA338" s="3" t="s">
        <v>135</v>
      </c>
      <c r="AB338" s="3" t="s">
        <v>65</v>
      </c>
      <c r="AC338" s="3" t="s">
        <v>66</v>
      </c>
    </row>
    <row r="339" spans="1:29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">
        <v>431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241</v>
      </c>
      <c r="Z339" s="3" t="s">
        <v>134</v>
      </c>
      <c r="AA339" s="3" t="s">
        <v>135</v>
      </c>
      <c r="AB339" s="3" t="s">
        <v>65</v>
      </c>
      <c r="AC339" s="3" t="s">
        <v>66</v>
      </c>
    </row>
    <row r="340" spans="1:29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">
        <v>448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241</v>
      </c>
      <c r="Z340" s="3" t="s">
        <v>134</v>
      </c>
      <c r="AA340" s="3" t="s">
        <v>250</v>
      </c>
      <c r="AB340" s="3" t="s">
        <v>43</v>
      </c>
      <c r="AC340" s="3" t="s">
        <v>66</v>
      </c>
    </row>
    <row r="341" spans="1:29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">
        <v>249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241</v>
      </c>
      <c r="Z341" s="3" t="s">
        <v>134</v>
      </c>
      <c r="AA341" s="3" t="s">
        <v>250</v>
      </c>
      <c r="AB341" s="3" t="s">
        <v>43</v>
      </c>
      <c r="AC341" s="3" t="s">
        <v>66</v>
      </c>
    </row>
    <row r="342" spans="1:29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">
        <v>249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241</v>
      </c>
      <c r="Z342" s="3" t="s">
        <v>134</v>
      </c>
      <c r="AA342" s="3" t="s">
        <v>250</v>
      </c>
      <c r="AB342" s="3" t="s">
        <v>43</v>
      </c>
      <c r="AC342" s="3" t="s">
        <v>66</v>
      </c>
    </row>
    <row r="343" spans="1:29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">
        <v>251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241</v>
      </c>
      <c r="Z343" s="3" t="s">
        <v>134</v>
      </c>
      <c r="AA343" s="3" t="s">
        <v>250</v>
      </c>
      <c r="AB343" s="3" t="s">
        <v>43</v>
      </c>
      <c r="AC343" s="3" t="s">
        <v>66</v>
      </c>
    </row>
    <row r="344" spans="1:29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">
        <v>251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241</v>
      </c>
      <c r="Z344" s="3" t="s">
        <v>134</v>
      </c>
      <c r="AA344" s="3" t="s">
        <v>250</v>
      </c>
      <c r="AB344" s="3" t="s">
        <v>43</v>
      </c>
      <c r="AC344" s="3" t="s">
        <v>66</v>
      </c>
    </row>
    <row r="345" spans="1:29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">
        <v>504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241</v>
      </c>
      <c r="Z345" s="3" t="s">
        <v>134</v>
      </c>
      <c r="AA345" s="3" t="s">
        <v>250</v>
      </c>
      <c r="AB345" s="3" t="s">
        <v>43</v>
      </c>
      <c r="AC345" s="3" t="s">
        <v>66</v>
      </c>
    </row>
    <row r="346" spans="1:29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">
        <v>253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/>
      <c r="Z346" s="3" t="s">
        <v>134</v>
      </c>
      <c r="AA346" s="3" t="s">
        <v>135</v>
      </c>
      <c r="AB346" s="3" t="s">
        <v>43</v>
      </c>
      <c r="AC346" s="3" t="s">
        <v>66</v>
      </c>
    </row>
    <row r="347" spans="1:29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">
        <v>253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/>
      <c r="Z347" s="3" t="s">
        <v>134</v>
      </c>
      <c r="AA347" s="3" t="s">
        <v>135</v>
      </c>
      <c r="AB347" s="3" t="s">
        <v>43</v>
      </c>
      <c r="AC347" s="3" t="s">
        <v>66</v>
      </c>
    </row>
    <row r="348" spans="1:29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">
        <v>254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/>
      <c r="Z348" s="3" t="s">
        <v>134</v>
      </c>
      <c r="AA348" s="3" t="s">
        <v>135</v>
      </c>
      <c r="AB348" s="3" t="s">
        <v>43</v>
      </c>
      <c r="AC348" s="3" t="s">
        <v>66</v>
      </c>
    </row>
    <row r="349" spans="1:29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">
        <v>254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/>
      <c r="Z349" s="3" t="s">
        <v>134</v>
      </c>
      <c r="AA349" s="3" t="s">
        <v>135</v>
      </c>
      <c r="AB349" s="3" t="s">
        <v>43</v>
      </c>
      <c r="AC349" s="3" t="s">
        <v>66</v>
      </c>
    </row>
    <row r="350" spans="1:29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">
        <v>466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/>
      <c r="Z350" s="3" t="s">
        <v>134</v>
      </c>
      <c r="AA350" s="3" t="s">
        <v>135</v>
      </c>
      <c r="AB350" s="3" t="s">
        <v>43</v>
      </c>
      <c r="AC350" s="3" t="s">
        <v>66</v>
      </c>
    </row>
    <row r="351" spans="1:29" x14ac:dyDescent="0.3">
      <c r="A351" s="3">
        <v>339</v>
      </c>
      <c r="B351" s="3" t="s">
        <v>505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">
        <v>506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75</v>
      </c>
      <c r="Z351" s="3" t="s">
        <v>86</v>
      </c>
      <c r="AA351" s="3" t="s">
        <v>87</v>
      </c>
      <c r="AB351" s="3" t="s">
        <v>43</v>
      </c>
      <c r="AC351" s="3" t="s">
        <v>66</v>
      </c>
    </row>
    <row r="352" spans="1:29" x14ac:dyDescent="0.3">
      <c r="A352" s="3">
        <v>339</v>
      </c>
      <c r="B352" s="3" t="s">
        <v>505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">
        <v>506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75</v>
      </c>
      <c r="Z352" s="3" t="s">
        <v>86</v>
      </c>
      <c r="AA352" s="3" t="s">
        <v>87</v>
      </c>
      <c r="AB352" s="3" t="s">
        <v>43</v>
      </c>
      <c r="AC352" s="3" t="s">
        <v>66</v>
      </c>
    </row>
    <row r="353" spans="1:29" x14ac:dyDescent="0.3">
      <c r="A353" s="3">
        <v>339</v>
      </c>
      <c r="B353" s="3" t="s">
        <v>505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">
        <v>257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75</v>
      </c>
      <c r="Z353" s="3" t="s">
        <v>86</v>
      </c>
      <c r="AA353" s="3" t="s">
        <v>87</v>
      </c>
      <c r="AB353" s="3" t="s">
        <v>43</v>
      </c>
      <c r="AC353" s="3" t="s">
        <v>66</v>
      </c>
    </row>
    <row r="354" spans="1:29" x14ac:dyDescent="0.3">
      <c r="A354" s="3">
        <v>339</v>
      </c>
      <c r="B354" s="3" t="s">
        <v>505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">
        <v>257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75</v>
      </c>
      <c r="Z354" s="3" t="s">
        <v>86</v>
      </c>
      <c r="AA354" s="3" t="s">
        <v>87</v>
      </c>
      <c r="AB354" s="3" t="s">
        <v>43</v>
      </c>
      <c r="AC354" s="3" t="s">
        <v>66</v>
      </c>
    </row>
    <row r="355" spans="1:29" x14ac:dyDescent="0.3">
      <c r="A355" s="3">
        <v>339</v>
      </c>
      <c r="B355" s="3" t="s">
        <v>505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">
        <v>258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75</v>
      </c>
      <c r="Z355" s="3" t="s">
        <v>86</v>
      </c>
      <c r="AA355" s="3" t="s">
        <v>87</v>
      </c>
      <c r="AB355" s="3" t="s">
        <v>43</v>
      </c>
      <c r="AC355" s="3" t="s">
        <v>66</v>
      </c>
    </row>
    <row r="356" spans="1:29" x14ac:dyDescent="0.3">
      <c r="A356" s="3">
        <v>339</v>
      </c>
      <c r="B356" s="3" t="s">
        <v>505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">
        <v>258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75</v>
      </c>
      <c r="Z356" s="3" t="s">
        <v>86</v>
      </c>
      <c r="AA356" s="3" t="s">
        <v>87</v>
      </c>
      <c r="AB356" s="3" t="s">
        <v>43</v>
      </c>
      <c r="AC356" s="3" t="s">
        <v>66</v>
      </c>
    </row>
    <row r="357" spans="1:29" x14ac:dyDescent="0.3">
      <c r="A357" s="3">
        <v>339</v>
      </c>
      <c r="B357" s="3" t="s">
        <v>505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">
        <v>407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75</v>
      </c>
      <c r="Z357" s="3" t="s">
        <v>86</v>
      </c>
      <c r="AA357" s="3" t="s">
        <v>87</v>
      </c>
      <c r="AB357" s="3" t="s">
        <v>43</v>
      </c>
      <c r="AC357" s="3" t="s">
        <v>66</v>
      </c>
    </row>
    <row r="358" spans="1:29" x14ac:dyDescent="0.3">
      <c r="A358" s="3">
        <v>339</v>
      </c>
      <c r="B358" s="3" t="s">
        <v>505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">
        <v>407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75</v>
      </c>
      <c r="Z358" s="3" t="s">
        <v>86</v>
      </c>
      <c r="AA358" s="3" t="s">
        <v>87</v>
      </c>
      <c r="AB358" s="3" t="s">
        <v>43</v>
      </c>
      <c r="AC358" s="3" t="s">
        <v>66</v>
      </c>
    </row>
    <row r="359" spans="1:29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>A359&amp;"-"&amp;TEXT(F359,"yyyy-mm-dd")</f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</row>
    <row r="360" spans="1:29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">
        <v>268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</row>
    <row r="361" spans="1:29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">
        <v>268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</row>
    <row r="362" spans="1:29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">
        <v>461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</row>
    <row r="363" spans="1:29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">
        <v>461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</row>
    <row r="364" spans="1:29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">
        <v>272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</row>
    <row r="365" spans="1:29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">
        <v>276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</row>
    <row r="366" spans="1:29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">
        <v>276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</row>
    <row r="367" spans="1:29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">
        <v>277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</row>
    <row r="368" spans="1:29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1" si="52">+L368/K368</f>
        <v>0.98094276519214996</v>
      </c>
      <c r="N368" s="3">
        <f t="shared" ref="N368:N371" si="53">+L368/K368</f>
        <v>0.98094276519214996</v>
      </c>
      <c r="O368" s="3" t="s">
        <v>35</v>
      </c>
      <c r="P368" s="3" t="s">
        <v>35</v>
      </c>
      <c r="Q368" s="3" t="s">
        <v>278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</row>
    <row r="369" spans="1:29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2"/>
        <v>1.119505269136114</v>
      </c>
      <c r="N369" s="3">
        <f t="shared" si="53"/>
        <v>1.119505269136114</v>
      </c>
      <c r="O369" s="3" t="s">
        <v>35</v>
      </c>
      <c r="P369" s="3" t="s">
        <v>35</v>
      </c>
      <c r="Q369" s="3" t="s">
        <v>278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</row>
    <row r="370" spans="1:29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2"/>
        <v>0.93885032603143126</v>
      </c>
      <c r="N370" s="3">
        <f t="shared" si="53"/>
        <v>0.93885032603143126</v>
      </c>
      <c r="O370" s="3" t="s">
        <v>35</v>
      </c>
      <c r="P370" s="3" t="s">
        <v>35</v>
      </c>
      <c r="Q370" s="3" t="s">
        <v>424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</row>
    <row r="371" spans="1:29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2"/>
        <v>0.78106093994150405</v>
      </c>
      <c r="N371" s="3">
        <f t="shared" si="53"/>
        <v>0.78106093994150405</v>
      </c>
      <c r="O371" s="3" t="s">
        <v>35</v>
      </c>
      <c r="P371" s="3" t="s">
        <v>35</v>
      </c>
      <c r="Q371" s="3" t="s">
        <v>516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</row>
    <row r="372" spans="1:29" x14ac:dyDescent="0.3">
      <c r="A372" s="3">
        <v>367</v>
      </c>
      <c r="B372" s="3" t="s">
        <v>500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ref="M372:M377" si="54">+L372/K372</f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">
        <v>450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</row>
    <row r="373" spans="1:29" x14ac:dyDescent="0.3">
      <c r="A373" s="3">
        <v>367</v>
      </c>
      <c r="B373" s="3" t="s">
        <v>500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4"/>
        <v>1.25</v>
      </c>
      <c r="N373" s="3">
        <f t="shared" ref="N373:N377" si="55">+L373/K373</f>
        <v>1.25</v>
      </c>
      <c r="O373" s="3" t="s">
        <v>58</v>
      </c>
      <c r="P373" s="3" t="s">
        <v>58</v>
      </c>
      <c r="Q373" s="3" t="s">
        <v>280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</row>
    <row r="374" spans="1:29" x14ac:dyDescent="0.3">
      <c r="A374" s="3">
        <v>367</v>
      </c>
      <c r="B374" s="3" t="s">
        <v>500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4"/>
        <v>1.25</v>
      </c>
      <c r="N374" s="3">
        <f t="shared" si="55"/>
        <v>1.25</v>
      </c>
      <c r="O374" s="3" t="s">
        <v>58</v>
      </c>
      <c r="P374" s="3" t="s">
        <v>58</v>
      </c>
      <c r="Q374" s="3" t="s">
        <v>280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</row>
    <row r="375" spans="1:29" x14ac:dyDescent="0.3">
      <c r="A375" s="3">
        <v>367</v>
      </c>
      <c r="B375" s="3" t="s">
        <v>500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4"/>
        <v>0.99199999999999999</v>
      </c>
      <c r="N375" s="3">
        <f t="shared" si="55"/>
        <v>0.99199999999999999</v>
      </c>
      <c r="O375" s="3" t="s">
        <v>58</v>
      </c>
      <c r="P375" s="3" t="s">
        <v>58</v>
      </c>
      <c r="Q375" s="3" t="s">
        <v>282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</row>
    <row r="376" spans="1:29" x14ac:dyDescent="0.3">
      <c r="A376" s="3">
        <v>367</v>
      </c>
      <c r="B376" s="3" t="s">
        <v>500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4"/>
        <v>0.99199999999999999</v>
      </c>
      <c r="N376" s="3">
        <f t="shared" si="55"/>
        <v>0.99199999999999999</v>
      </c>
      <c r="O376" s="3" t="s">
        <v>58</v>
      </c>
      <c r="P376" s="3" t="s">
        <v>58</v>
      </c>
      <c r="Q376" s="3" t="s">
        <v>282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</row>
    <row r="377" spans="1:29" x14ac:dyDescent="0.3">
      <c r="A377" s="3">
        <v>367</v>
      </c>
      <c r="B377" s="3" t="s">
        <v>500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4"/>
        <v>0.76400000000000001</v>
      </c>
      <c r="N377" s="3">
        <f t="shared" si="55"/>
        <v>0.76400000000000001</v>
      </c>
      <c r="O377" s="3" t="s">
        <v>58</v>
      </c>
      <c r="P377" s="3" t="s">
        <v>58</v>
      </c>
      <c r="Q377" s="3" t="s">
        <v>499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</row>
    <row r="378" spans="1:29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">
        <v>285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</row>
    <row r="379" spans="1:29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">
        <v>286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</row>
    <row r="380" spans="1:29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">
        <v>286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</row>
    <row r="381" spans="1:29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86" si="56">+L381/K381</f>
        <v>0.76249999999999996</v>
      </c>
      <c r="O381" s="3" t="s">
        <v>35</v>
      </c>
      <c r="P381" s="3" t="s">
        <v>35</v>
      </c>
      <c r="Q381" s="3" t="s">
        <v>287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</row>
    <row r="382" spans="1:29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7">+L382/K382</f>
        <v>0.71296296296296291</v>
      </c>
      <c r="N382" s="3">
        <f t="shared" si="56"/>
        <v>0.71296296296296291</v>
      </c>
      <c r="O382" s="3" t="s">
        <v>35</v>
      </c>
      <c r="P382" s="3" t="s">
        <v>35</v>
      </c>
      <c r="Q382" s="3" t="s">
        <v>288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</row>
    <row r="383" spans="1:29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7"/>
        <v>0.73404255319148937</v>
      </c>
      <c r="N383" s="3">
        <f t="shared" si="56"/>
        <v>0.73404255319148937</v>
      </c>
      <c r="O383" s="3" t="s">
        <v>35</v>
      </c>
      <c r="P383" s="3" t="s">
        <v>35</v>
      </c>
      <c r="Q383" s="3" t="s">
        <v>288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</row>
    <row r="384" spans="1:29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7"/>
        <v>0.88888888888888884</v>
      </c>
      <c r="N384" s="3">
        <f t="shared" si="56"/>
        <v>0.88888888888888884</v>
      </c>
      <c r="O384" s="3" t="s">
        <v>35</v>
      </c>
      <c r="P384" s="3" t="s">
        <v>35</v>
      </c>
      <c r="Q384" s="3" t="s">
        <v>428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</row>
    <row r="385" spans="1:29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7"/>
        <v>1.0825688073394495</v>
      </c>
      <c r="N385" s="3">
        <f t="shared" si="56"/>
        <v>1.0825688073394495</v>
      </c>
      <c r="O385" s="3" t="s">
        <v>35</v>
      </c>
      <c r="P385" s="3" t="s">
        <v>35</v>
      </c>
      <c r="Q385" s="3" t="s">
        <v>517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</row>
    <row r="386" spans="1:29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6"/>
        <v>1.5027390438247012</v>
      </c>
      <c r="O386" s="3" t="s">
        <v>143</v>
      </c>
      <c r="P386" s="3" t="s">
        <v>143</v>
      </c>
      <c r="Q386" s="3" t="s">
        <v>291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</row>
    <row r="387" spans="1:29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8">+L387/K387</f>
        <v>1.5027390438247012</v>
      </c>
      <c r="N387" s="3">
        <f t="shared" ref="N387:N393" si="59">+L387/K387</f>
        <v>1.5027390438247012</v>
      </c>
      <c r="O387" s="3" t="s">
        <v>143</v>
      </c>
      <c r="P387" s="3" t="s">
        <v>143</v>
      </c>
      <c r="Q387" s="3" t="s">
        <v>291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</row>
    <row r="388" spans="1:29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8"/>
        <v>1.0126417845079374</v>
      </c>
      <c r="N388" s="3">
        <f t="shared" si="59"/>
        <v>1.0126417845079374</v>
      </c>
      <c r="O388" s="3" t="s">
        <v>143</v>
      </c>
      <c r="P388" s="3" t="s">
        <v>143</v>
      </c>
      <c r="Q388" s="3" t="s">
        <v>293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</row>
    <row r="389" spans="1:29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8"/>
        <v>1.0126417845079394</v>
      </c>
      <c r="N389" s="3">
        <f t="shared" si="59"/>
        <v>1.0126417845079394</v>
      </c>
      <c r="O389" s="3" t="s">
        <v>143</v>
      </c>
      <c r="P389" s="3" t="s">
        <v>143</v>
      </c>
      <c r="Q389" s="3" t="s">
        <v>293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</row>
    <row r="390" spans="1:29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8"/>
        <v>1.0909960747143497</v>
      </c>
      <c r="N390" s="3">
        <f t="shared" si="59"/>
        <v>1.0909960747143497</v>
      </c>
      <c r="O390" s="3" t="s">
        <v>143</v>
      </c>
      <c r="P390" s="3" t="s">
        <v>143</v>
      </c>
      <c r="Q390" s="3" t="s">
        <v>295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</row>
    <row r="391" spans="1:29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8"/>
        <v>1.0909960747143497</v>
      </c>
      <c r="N391" s="3">
        <f t="shared" si="59"/>
        <v>1.0909960747143497</v>
      </c>
      <c r="O391" s="3" t="s">
        <v>143</v>
      </c>
      <c r="P391" s="3" t="s">
        <v>143</v>
      </c>
      <c r="Q391" s="3" t="s">
        <v>295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</row>
    <row r="392" spans="1:29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8"/>
        <v>1.0000124185469585</v>
      </c>
      <c r="N392" s="3">
        <f t="shared" si="59"/>
        <v>1.0000124185469585</v>
      </c>
      <c r="O392" s="3" t="s">
        <v>143</v>
      </c>
      <c r="P392" s="3" t="s">
        <v>143</v>
      </c>
      <c r="Q392" s="3" t="s">
        <v>498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</row>
    <row r="393" spans="1:29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8"/>
        <v>1.0000124185469585</v>
      </c>
      <c r="N393" s="3">
        <f t="shared" si="59"/>
        <v>1.0000124185469585</v>
      </c>
      <c r="O393" s="3" t="s">
        <v>143</v>
      </c>
      <c r="P393" s="3" t="s">
        <v>143</v>
      </c>
      <c r="Q393" s="3" t="s">
        <v>498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</row>
    <row r="394" spans="1:29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">
        <v>298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</row>
    <row r="395" spans="1:29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">
        <v>298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</row>
    <row r="396" spans="1:29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">
        <v>300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</row>
    <row r="397" spans="1:29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">
        <v>300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</row>
    <row r="398" spans="1:29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">
        <v>497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</row>
    <row r="399" spans="1:29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60">YEAR(F399)</f>
        <v>2018</v>
      </c>
      <c r="H399" s="3" t="str">
        <f t="shared" ref="H399:H410" si="61">PROPER(TEXT(F399,"mmmm"))</f>
        <v>Junio</v>
      </c>
      <c r="I399" s="3" t="str">
        <f t="shared" ref="I399:I410" si="62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ref="Q399:Q410" si="63">A399&amp;"-"&amp;TEXT(F399,"yyyy-mm-dd")</f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</row>
    <row r="400" spans="1:29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60"/>
        <v>2018</v>
      </c>
      <c r="H400" s="3" t="str">
        <f t="shared" si="61"/>
        <v>Diciembre</v>
      </c>
      <c r="I400" s="3" t="str">
        <f t="shared" si="62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63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</row>
    <row r="401" spans="1:29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60"/>
        <v>2018</v>
      </c>
      <c r="H401" s="3" t="str">
        <f t="shared" si="61"/>
        <v>Diciembre</v>
      </c>
      <c r="I401" s="3" t="str">
        <f t="shared" si="62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63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</row>
    <row r="402" spans="1:29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60"/>
        <v>2019</v>
      </c>
      <c r="H402" s="3" t="str">
        <f t="shared" si="61"/>
        <v>Junio</v>
      </c>
      <c r="I402" s="3" t="str">
        <f t="shared" si="62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63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</row>
    <row r="403" spans="1:29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60"/>
        <v>2019</v>
      </c>
      <c r="H403" s="3" t="str">
        <f t="shared" si="61"/>
        <v>Diciembre</v>
      </c>
      <c r="I403" s="3" t="str">
        <f t="shared" si="62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63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</row>
    <row r="404" spans="1:29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60"/>
        <v>2019</v>
      </c>
      <c r="H404" s="3" t="str">
        <f t="shared" si="61"/>
        <v>Diciembre</v>
      </c>
      <c r="I404" s="3" t="str">
        <f t="shared" si="62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63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</row>
    <row r="405" spans="1:29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60"/>
        <v>2020</v>
      </c>
      <c r="H405" s="3" t="str">
        <f t="shared" si="61"/>
        <v>Junio</v>
      </c>
      <c r="I405" s="3" t="str">
        <f t="shared" si="62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63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</row>
    <row r="406" spans="1:29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60"/>
        <v>2020</v>
      </c>
      <c r="H406" s="3" t="str">
        <f t="shared" si="61"/>
        <v>Diciembre</v>
      </c>
      <c r="I406" s="3" t="str">
        <f t="shared" si="62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63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</row>
    <row r="407" spans="1:29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60"/>
        <v>2020</v>
      </c>
      <c r="H407" s="3" t="str">
        <f t="shared" si="61"/>
        <v>Diciembre</v>
      </c>
      <c r="I407" s="3" t="str">
        <f t="shared" si="62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63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</row>
    <row r="408" spans="1:29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60"/>
        <v>2021</v>
      </c>
      <c r="H408" s="3" t="str">
        <f t="shared" si="61"/>
        <v>Junio</v>
      </c>
      <c r="I408" s="3" t="str">
        <f t="shared" si="62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63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</row>
    <row r="409" spans="1:29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60"/>
        <v>2021</v>
      </c>
      <c r="H409" s="3" t="str">
        <f t="shared" si="61"/>
        <v>Diciembre</v>
      </c>
      <c r="I409" s="3" t="str">
        <f t="shared" si="62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63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</row>
    <row r="410" spans="1:29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60"/>
        <v>2021</v>
      </c>
      <c r="H410" s="3" t="str">
        <f t="shared" si="61"/>
        <v>Diciembre</v>
      </c>
      <c r="I410" s="3" t="str">
        <f t="shared" si="62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63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</row>
    <row r="411" spans="1:29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">
        <v>303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</row>
    <row r="412" spans="1:29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4">+L412/K412</f>
        <v>1.0419930374238469</v>
      </c>
      <c r="N412" s="3">
        <f t="shared" ref="N412:N421" si="65">+L412/K412</f>
        <v>1.0419930374238469</v>
      </c>
      <c r="O412" s="3" t="s">
        <v>35</v>
      </c>
      <c r="P412" s="3" t="s">
        <v>35</v>
      </c>
      <c r="Q412" s="3" t="s">
        <v>304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</row>
    <row r="413" spans="1:29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4"/>
        <v>1.0295000000000001</v>
      </c>
      <c r="N413" s="3">
        <f t="shared" si="65"/>
        <v>1.0295000000000001</v>
      </c>
      <c r="O413" s="3" t="s">
        <v>35</v>
      </c>
      <c r="P413" s="3" t="s">
        <v>35</v>
      </c>
      <c r="Q413" s="3" t="s">
        <v>304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</row>
    <row r="414" spans="1:29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4"/>
        <v>1.0207749381698268</v>
      </c>
      <c r="N414" s="3">
        <f t="shared" si="65"/>
        <v>1.0207749381698268</v>
      </c>
      <c r="O414" s="3" t="s">
        <v>35</v>
      </c>
      <c r="P414" s="3" t="s">
        <v>35</v>
      </c>
      <c r="Q414" s="3" t="s">
        <v>305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</row>
    <row r="415" spans="1:29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4"/>
        <v>1.0738153098420413</v>
      </c>
      <c r="N415" s="3">
        <f t="shared" si="65"/>
        <v>1.0738153098420413</v>
      </c>
      <c r="O415" s="3" t="s">
        <v>35</v>
      </c>
      <c r="P415" s="3" t="s">
        <v>35</v>
      </c>
      <c r="Q415" s="3" t="s">
        <v>306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</row>
    <row r="416" spans="1:29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4"/>
        <v>1.0445787512496592</v>
      </c>
      <c r="N416" s="3">
        <f t="shared" si="65"/>
        <v>1.0445787512496592</v>
      </c>
      <c r="O416" s="3" t="s">
        <v>35</v>
      </c>
      <c r="P416" s="3" t="s">
        <v>35</v>
      </c>
      <c r="Q416" s="3" t="s">
        <v>306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</row>
    <row r="417" spans="1:29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4"/>
        <v>0.95562913907284763</v>
      </c>
      <c r="N417" s="3">
        <f t="shared" si="65"/>
        <v>0.95562913907284763</v>
      </c>
      <c r="O417" s="3" t="s">
        <v>35</v>
      </c>
      <c r="P417" s="3" t="s">
        <v>35</v>
      </c>
      <c r="Q417" s="3" t="s">
        <v>307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</row>
    <row r="418" spans="1:29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4"/>
        <v>0.99007025761124123</v>
      </c>
      <c r="N418" s="3">
        <f t="shared" si="65"/>
        <v>0.99007025761124123</v>
      </c>
      <c r="O418" s="3" t="s">
        <v>35</v>
      </c>
      <c r="P418" s="3" t="s">
        <v>35</v>
      </c>
      <c r="Q418" s="3" t="s">
        <v>308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</row>
    <row r="419" spans="1:29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4"/>
        <v>0.97078096023078508</v>
      </c>
      <c r="N419" s="3">
        <f t="shared" si="65"/>
        <v>0.97078096023078508</v>
      </c>
      <c r="O419" s="3" t="s">
        <v>35</v>
      </c>
      <c r="P419" s="3" t="s">
        <v>35</v>
      </c>
      <c r="Q419" s="3" t="s">
        <v>308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</row>
    <row r="420" spans="1:29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4"/>
        <v>1.0390917775001838</v>
      </c>
      <c r="N420" s="3">
        <f t="shared" si="65"/>
        <v>1.0390917775001838</v>
      </c>
      <c r="O420" s="3" t="s">
        <v>35</v>
      </c>
      <c r="P420" s="3" t="s">
        <v>35</v>
      </c>
      <c r="Q420" s="3" t="s">
        <v>412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</row>
    <row r="421" spans="1:29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4"/>
        <v>1.0241401216081314</v>
      </c>
      <c r="N421" s="3">
        <f t="shared" si="65"/>
        <v>1.0241401216081314</v>
      </c>
      <c r="O421" s="3" t="s">
        <v>35</v>
      </c>
      <c r="P421" s="3" t="s">
        <v>35</v>
      </c>
      <c r="Q421" s="3" t="str">
        <f>A421&amp;"-"&amp;TEXT(F421,"yyyy-mm-dd")</f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</row>
    <row r="422" spans="1:29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">
        <v>315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</row>
    <row r="423" spans="1:29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6">L423/K423</f>
        <v>0.75108988032332902</v>
      </c>
      <c r="N423" s="3">
        <f t="shared" ref="N423:N428" si="67">L423/K423</f>
        <v>0.75108988032332902</v>
      </c>
      <c r="O423" s="3" t="s">
        <v>143</v>
      </c>
      <c r="P423" s="3" t="s">
        <v>143</v>
      </c>
      <c r="Q423" s="3" t="s">
        <v>315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</row>
    <row r="424" spans="1:29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6"/>
        <v>1.2553149921891629</v>
      </c>
      <c r="N424" s="3">
        <f t="shared" si="67"/>
        <v>1.2553149921891629</v>
      </c>
      <c r="O424" s="3" t="s">
        <v>143</v>
      </c>
      <c r="P424" s="3" t="s">
        <v>143</v>
      </c>
      <c r="Q424" s="3" t="s">
        <v>317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</row>
    <row r="425" spans="1:29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6"/>
        <v>1.2553149921891629</v>
      </c>
      <c r="N425" s="3">
        <f t="shared" si="67"/>
        <v>1.2553149921891629</v>
      </c>
      <c r="O425" s="3" t="s">
        <v>143</v>
      </c>
      <c r="P425" s="3" t="s">
        <v>143</v>
      </c>
      <c r="Q425" s="3" t="s">
        <v>317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</row>
    <row r="426" spans="1:29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6"/>
        <v>0.85398321724869886</v>
      </c>
      <c r="N426" s="3">
        <f t="shared" si="67"/>
        <v>0.85398321724869886</v>
      </c>
      <c r="O426" s="3" t="s">
        <v>143</v>
      </c>
      <c r="P426" s="3" t="s">
        <v>143</v>
      </c>
      <c r="Q426" s="3" t="s">
        <v>319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</row>
    <row r="427" spans="1:29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6"/>
        <v>0.85398321724869886</v>
      </c>
      <c r="N427" s="3">
        <f t="shared" si="67"/>
        <v>0.85398321724869886</v>
      </c>
      <c r="O427" s="3" t="s">
        <v>143</v>
      </c>
      <c r="P427" s="3" t="s">
        <v>143</v>
      </c>
      <c r="Q427" s="3" t="s">
        <v>319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</row>
    <row r="428" spans="1:29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6"/>
        <v>1.0174699697553735</v>
      </c>
      <c r="N428" s="3">
        <f t="shared" si="67"/>
        <v>1.0174699697553735</v>
      </c>
      <c r="O428" s="3" t="s">
        <v>143</v>
      </c>
      <c r="P428" s="3" t="s">
        <v>143</v>
      </c>
      <c r="Q428" s="3" t="s">
        <v>486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</row>
    <row r="429" spans="1:29" x14ac:dyDescent="0.3">
      <c r="A429" s="3">
        <v>386.1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8">+L429/K429</f>
        <v>1</v>
      </c>
      <c r="O429" s="3" t="s">
        <v>143</v>
      </c>
      <c r="P429" s="3" t="s">
        <v>143</v>
      </c>
      <c r="Q429" s="3" t="s">
        <v>491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</row>
    <row r="430" spans="1:29" x14ac:dyDescent="0.3">
      <c r="A430" s="3">
        <v>386.1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8"/>
        <v>1</v>
      </c>
      <c r="O430" s="3" t="s">
        <v>143</v>
      </c>
      <c r="P430" s="3" t="s">
        <v>143</v>
      </c>
      <c r="Q430" s="3" t="s">
        <v>491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</row>
    <row r="431" spans="1:29" x14ac:dyDescent="0.3">
      <c r="A431" s="3">
        <v>386.1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8"/>
        <v>2.7839074929774967</v>
      </c>
      <c r="O431" s="3" t="s">
        <v>143</v>
      </c>
      <c r="P431" s="3" t="s">
        <v>143</v>
      </c>
      <c r="Q431" s="3" t="s">
        <v>379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</row>
    <row r="432" spans="1:29" x14ac:dyDescent="0.3">
      <c r="A432" s="3">
        <v>386.1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9">IF(+L432/K432&gt;1.3,1.3,L432/K432)</f>
        <v>1.3</v>
      </c>
      <c r="N432" s="3">
        <f t="shared" si="68"/>
        <v>2.7839074929774967</v>
      </c>
      <c r="O432" s="3" t="s">
        <v>143</v>
      </c>
      <c r="P432" s="3" t="s">
        <v>143</v>
      </c>
      <c r="Q432" s="3" t="s">
        <v>379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</row>
    <row r="433" spans="1:29" x14ac:dyDescent="0.3">
      <c r="A433" s="3">
        <v>386.1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9"/>
        <v>1.3</v>
      </c>
      <c r="N433" s="3">
        <f t="shared" si="68"/>
        <v>1.3708904125402521</v>
      </c>
      <c r="O433" s="3" t="s">
        <v>143</v>
      </c>
      <c r="P433" s="3" t="s">
        <v>143</v>
      </c>
      <c r="Q433" s="3" t="s">
        <v>381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</row>
    <row r="434" spans="1:29" x14ac:dyDescent="0.3">
      <c r="A434" s="3">
        <v>386.1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9"/>
        <v>1.3</v>
      </c>
      <c r="N434" s="3">
        <f t="shared" si="68"/>
        <v>1.3708904125402521</v>
      </c>
      <c r="O434" s="3" t="s">
        <v>143</v>
      </c>
      <c r="P434" s="3" t="s">
        <v>143</v>
      </c>
      <c r="Q434" s="3" t="s">
        <v>381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</row>
    <row r="435" spans="1:29" x14ac:dyDescent="0.3">
      <c r="A435" s="3">
        <v>386.1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9"/>
        <v>0.75875626783059102</v>
      </c>
      <c r="N435" s="3">
        <f t="shared" si="68"/>
        <v>0.75875626783059102</v>
      </c>
      <c r="O435" s="3" t="s">
        <v>143</v>
      </c>
      <c r="P435" s="3" t="s">
        <v>143</v>
      </c>
      <c r="Q435" s="3" t="s">
        <v>490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</row>
    <row r="436" spans="1:29" x14ac:dyDescent="0.3">
      <c r="A436" s="3">
        <v>386.2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">
        <v>384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</row>
    <row r="437" spans="1:29" x14ac:dyDescent="0.3">
      <c r="A437" s="3">
        <v>386.2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70">L437/K437</f>
        <v>1</v>
      </c>
      <c r="O437" s="3" t="s">
        <v>143</v>
      </c>
      <c r="P437" s="3" t="s">
        <v>143</v>
      </c>
      <c r="Q437" s="3" t="s">
        <v>384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</row>
    <row r="438" spans="1:29" x14ac:dyDescent="0.3">
      <c r="A438" s="3">
        <v>386.2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71">L438/K438</f>
        <v>1.393450174618678</v>
      </c>
      <c r="N438" s="3">
        <f t="shared" si="70"/>
        <v>1.393450174618678</v>
      </c>
      <c r="O438" s="3" t="s">
        <v>143</v>
      </c>
      <c r="P438" s="3" t="s">
        <v>143</v>
      </c>
      <c r="Q438" s="3" t="s">
        <v>384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</row>
    <row r="439" spans="1:29" x14ac:dyDescent="0.3">
      <c r="A439" s="3">
        <v>386.2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71"/>
        <v>1.393450174618678</v>
      </c>
      <c r="N439" s="3">
        <f t="shared" si="70"/>
        <v>1.393450174618678</v>
      </c>
      <c r="O439" s="3" t="s">
        <v>143</v>
      </c>
      <c r="P439" s="3" t="s">
        <v>143</v>
      </c>
      <c r="Q439" s="3" t="s">
        <v>384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</row>
    <row r="440" spans="1:29" x14ac:dyDescent="0.3">
      <c r="A440" s="3">
        <v>386.2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71"/>
        <v>0.54086603411912804</v>
      </c>
      <c r="N440" s="3">
        <f t="shared" si="70"/>
        <v>0.54086603411912804</v>
      </c>
      <c r="O440" s="3" t="s">
        <v>143</v>
      </c>
      <c r="P440" s="3" t="s">
        <v>143</v>
      </c>
      <c r="Q440" s="3" t="s">
        <v>386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</row>
    <row r="441" spans="1:29" x14ac:dyDescent="0.3">
      <c r="A441" s="3">
        <v>386.2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71"/>
        <v>0.54086603411912804</v>
      </c>
      <c r="N441" s="3">
        <f t="shared" si="70"/>
        <v>0.54086603411912804</v>
      </c>
      <c r="O441" s="3" t="s">
        <v>143</v>
      </c>
      <c r="P441" s="3" t="s">
        <v>143</v>
      </c>
      <c r="Q441" s="3" t="s">
        <v>386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</row>
    <row r="442" spans="1:29" x14ac:dyDescent="0.3">
      <c r="A442" s="3">
        <v>386.2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71"/>
        <v>1.0487700727767424</v>
      </c>
      <c r="N442" s="3">
        <f t="shared" si="70"/>
        <v>1.0487700727767424</v>
      </c>
      <c r="O442" s="3" t="s">
        <v>143</v>
      </c>
      <c r="P442" s="3" t="s">
        <v>143</v>
      </c>
      <c r="Q442" s="3" t="s">
        <v>489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</row>
    <row r="443" spans="1:29" x14ac:dyDescent="0.3">
      <c r="A443" s="3">
        <v>386.2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71"/>
        <v>1.0487700727767424</v>
      </c>
      <c r="N443" s="3">
        <f t="shared" si="70"/>
        <v>1.0487700727767424</v>
      </c>
      <c r="O443" s="3" t="s">
        <v>143</v>
      </c>
      <c r="P443" s="3" t="s">
        <v>143</v>
      </c>
      <c r="Q443" s="3" t="s">
        <v>489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</row>
    <row r="444" spans="1:29" x14ac:dyDescent="0.3">
      <c r="A444" s="3">
        <v>386.3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">
        <v>493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</row>
    <row r="445" spans="1:29" x14ac:dyDescent="0.3">
      <c r="A445" s="3">
        <v>386.3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72">IF(L445/K445&gt;1.3,1.3,L445/K445)</f>
        <v>1</v>
      </c>
      <c r="N445" s="3">
        <f t="shared" ref="N445:N451" si="73">L445/K445</f>
        <v>1</v>
      </c>
      <c r="O445" s="3" t="s">
        <v>143</v>
      </c>
      <c r="P445" s="3" t="s">
        <v>143</v>
      </c>
      <c r="Q445" s="3" t="s">
        <v>493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</row>
    <row r="446" spans="1:29" x14ac:dyDescent="0.3">
      <c r="A446" s="3">
        <v>386.3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72"/>
        <v>0.71558444628256934</v>
      </c>
      <c r="N446" s="3">
        <f t="shared" si="73"/>
        <v>0.71558444628256934</v>
      </c>
      <c r="O446" s="3" t="s">
        <v>143</v>
      </c>
      <c r="P446" s="3" t="s">
        <v>143</v>
      </c>
      <c r="Q446" s="3" t="s">
        <v>389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</row>
    <row r="447" spans="1:29" x14ac:dyDescent="0.3">
      <c r="A447" s="3">
        <v>386.3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72"/>
        <v>0.71558444628256934</v>
      </c>
      <c r="N447" s="3">
        <f t="shared" si="73"/>
        <v>0.71558444628256934</v>
      </c>
      <c r="O447" s="3" t="s">
        <v>143</v>
      </c>
      <c r="P447" s="3" t="s">
        <v>143</v>
      </c>
      <c r="Q447" s="3" t="s">
        <v>389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</row>
    <row r="448" spans="1:29" x14ac:dyDescent="0.3">
      <c r="A448" s="3">
        <v>386.3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72"/>
        <v>1.0013905729387031</v>
      </c>
      <c r="N448" s="3">
        <f t="shared" si="73"/>
        <v>1.0013905729387031</v>
      </c>
      <c r="O448" s="3" t="s">
        <v>143</v>
      </c>
      <c r="P448" s="3" t="s">
        <v>143</v>
      </c>
      <c r="Q448" s="3" t="s">
        <v>391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</row>
    <row r="449" spans="1:29" x14ac:dyDescent="0.3">
      <c r="A449" s="3">
        <v>386.3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72"/>
        <v>1.0013905729387031</v>
      </c>
      <c r="N449" s="3">
        <f t="shared" si="73"/>
        <v>1.0013905729387031</v>
      </c>
      <c r="O449" s="3" t="s">
        <v>143</v>
      </c>
      <c r="P449" s="3" t="s">
        <v>143</v>
      </c>
      <c r="Q449" s="3" t="s">
        <v>391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</row>
    <row r="450" spans="1:29" x14ac:dyDescent="0.3">
      <c r="A450" s="3">
        <v>386.3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72"/>
        <v>1.1634261619768094</v>
      </c>
      <c r="N450" s="3">
        <f t="shared" si="73"/>
        <v>1.1634261619768094</v>
      </c>
      <c r="O450" s="3" t="s">
        <v>143</v>
      </c>
      <c r="P450" s="3" t="s">
        <v>143</v>
      </c>
      <c r="Q450" s="3" t="s">
        <v>492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</row>
    <row r="451" spans="1:29" x14ac:dyDescent="0.3">
      <c r="A451" s="3">
        <v>386.3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72"/>
        <v>1.1634261619768094</v>
      </c>
      <c r="N451" s="3">
        <f t="shared" si="73"/>
        <v>1.1634261619768094</v>
      </c>
      <c r="O451" s="3" t="s">
        <v>143</v>
      </c>
      <c r="P451" s="3" t="s">
        <v>143</v>
      </c>
      <c r="Q451" s="3" t="s">
        <v>492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</row>
    <row r="452" spans="1:29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">
        <v>321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</row>
    <row r="453" spans="1:29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4">+L453/K453</f>
        <v>0.88636363636363624</v>
      </c>
      <c r="N453" s="3">
        <f t="shared" ref="N453:N458" si="75">+L453/K453</f>
        <v>0.88636363636363624</v>
      </c>
      <c r="O453" s="3" t="s">
        <v>245</v>
      </c>
      <c r="P453" s="3" t="s">
        <v>245</v>
      </c>
      <c r="Q453" s="3" t="s">
        <v>321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</row>
    <row r="454" spans="1:29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4"/>
        <v>0.94047619047619047</v>
      </c>
      <c r="N454" s="3">
        <f t="shared" si="75"/>
        <v>0.94047619047619047</v>
      </c>
      <c r="O454" s="3" t="s">
        <v>245</v>
      </c>
      <c r="P454" s="3" t="s">
        <v>245</v>
      </c>
      <c r="Q454" s="3" t="s">
        <v>323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</row>
    <row r="455" spans="1:29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4"/>
        <v>0.94047619047619047</v>
      </c>
      <c r="N455" s="3">
        <f t="shared" si="75"/>
        <v>0.94047619047619047</v>
      </c>
      <c r="O455" s="3" t="s">
        <v>245</v>
      </c>
      <c r="P455" s="3" t="s">
        <v>245</v>
      </c>
      <c r="Q455" s="3" t="s">
        <v>323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</row>
    <row r="456" spans="1:29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4"/>
        <v>1.4939759036144578</v>
      </c>
      <c r="N456" s="3">
        <f t="shared" si="75"/>
        <v>1.4939759036144578</v>
      </c>
      <c r="O456" s="3" t="s">
        <v>245</v>
      </c>
      <c r="P456" s="3" t="s">
        <v>245</v>
      </c>
      <c r="Q456" s="3" t="s">
        <v>324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</row>
    <row r="457" spans="1:29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4"/>
        <v>1.4939759036144578</v>
      </c>
      <c r="N457" s="3">
        <f t="shared" si="75"/>
        <v>1.4939759036144578</v>
      </c>
      <c r="O457" s="3" t="s">
        <v>245</v>
      </c>
      <c r="P457" s="3" t="s">
        <v>245</v>
      </c>
      <c r="Q457" s="3" t="s">
        <v>324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</row>
    <row r="458" spans="1:29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4"/>
        <v>1.2583333333333333</v>
      </c>
      <c r="N458" s="3">
        <f t="shared" si="75"/>
        <v>1.2583333333333333</v>
      </c>
      <c r="O458" s="3" t="s">
        <v>245</v>
      </c>
      <c r="P458" s="3" t="s">
        <v>245</v>
      </c>
      <c r="Q458" s="3" t="s">
        <v>455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</row>
    <row r="459" spans="1:29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">
        <v>326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</row>
    <row r="460" spans="1:29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6">+L460/K460</f>
        <v>0.76923076923076927</v>
      </c>
      <c r="N460" s="3">
        <f t="shared" ref="N460:N465" si="77">+L460/K460</f>
        <v>0.76923076923076927</v>
      </c>
      <c r="O460" s="3" t="s">
        <v>245</v>
      </c>
      <c r="P460" s="3" t="s">
        <v>35</v>
      </c>
      <c r="Q460" s="3" t="s">
        <v>326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</row>
    <row r="461" spans="1:29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6"/>
        <v>1</v>
      </c>
      <c r="N461" s="3">
        <f t="shared" si="77"/>
        <v>1</v>
      </c>
      <c r="O461" s="3" t="s">
        <v>35</v>
      </c>
      <c r="P461" s="3" t="s">
        <v>35</v>
      </c>
      <c r="Q461" s="3" t="s">
        <v>327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</row>
    <row r="462" spans="1:29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6"/>
        <v>1</v>
      </c>
      <c r="N462" s="3">
        <f t="shared" si="77"/>
        <v>1</v>
      </c>
      <c r="O462" s="3" t="s">
        <v>35</v>
      </c>
      <c r="P462" s="3" t="s">
        <v>35</v>
      </c>
      <c r="Q462" s="3" t="s">
        <v>327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</row>
    <row r="463" spans="1:29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6"/>
        <v>1.2857142857142858</v>
      </c>
      <c r="N463" s="3">
        <f t="shared" si="77"/>
        <v>1.2857142857142858</v>
      </c>
      <c r="O463" s="3" t="s">
        <v>35</v>
      </c>
      <c r="P463" s="3" t="s">
        <v>35</v>
      </c>
      <c r="Q463" s="3" t="s">
        <v>328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</row>
    <row r="464" spans="1:29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6"/>
        <v>1.2857142857142858</v>
      </c>
      <c r="N464" s="3">
        <f t="shared" si="77"/>
        <v>1.2857142857142858</v>
      </c>
      <c r="O464" s="3" t="s">
        <v>35</v>
      </c>
      <c r="P464" s="3" t="s">
        <v>35</v>
      </c>
      <c r="Q464" s="3" t="s">
        <v>328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</row>
    <row r="465" spans="1:29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6"/>
        <v>1.2222222222222223</v>
      </c>
      <c r="N465" s="3">
        <f t="shared" si="77"/>
        <v>1.2222222222222223</v>
      </c>
      <c r="O465" s="3" t="s">
        <v>35</v>
      </c>
      <c r="P465" s="3" t="s">
        <v>35</v>
      </c>
      <c r="Q465" s="3" t="s">
        <v>495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</row>
    <row r="466" spans="1:29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">
        <v>449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</row>
    <row r="467" spans="1:29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">
        <v>449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</row>
    <row r="468" spans="1:29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">
        <v>330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</row>
    <row r="469" spans="1:29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">
        <v>330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</row>
    <row r="470" spans="1:29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">
        <v>454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</row>
    <row r="471" spans="1:29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">
        <v>451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</row>
    <row r="472" spans="1:29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7" si="78">+L472/K472</f>
        <v>1.7424000000000002</v>
      </c>
      <c r="O472" s="3" t="s">
        <v>35</v>
      </c>
      <c r="P472" s="3" t="s">
        <v>245</v>
      </c>
      <c r="Q472" s="3" t="s">
        <v>451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</row>
    <row r="473" spans="1:29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8"/>
        <v>1.27</v>
      </c>
      <c r="O473" s="3" t="s">
        <v>35</v>
      </c>
      <c r="P473" s="3" t="s">
        <v>245</v>
      </c>
      <c r="Q473" s="3" t="s">
        <v>452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</row>
    <row r="474" spans="1:29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8"/>
        <v>1.27</v>
      </c>
      <c r="O474" s="3" t="s">
        <v>35</v>
      </c>
      <c r="P474" s="3" t="s">
        <v>245</v>
      </c>
      <c r="Q474" s="3" t="s">
        <v>452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</row>
    <row r="475" spans="1:29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8"/>
        <v>1.0759999999999998</v>
      </c>
      <c r="O475" s="3" t="s">
        <v>35</v>
      </c>
      <c r="P475" s="3" t="s">
        <v>245</v>
      </c>
      <c r="Q475" s="3" t="s">
        <v>344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</row>
    <row r="476" spans="1:29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8"/>
        <v>1.0759999999999998</v>
      </c>
      <c r="O476" s="3" t="s">
        <v>35</v>
      </c>
      <c r="P476" s="3" t="s">
        <v>245</v>
      </c>
      <c r="Q476" s="3" t="s">
        <v>344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</row>
    <row r="477" spans="1:29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9">+L477/K477</f>
        <v>1.0654545454545454</v>
      </c>
      <c r="N477" s="3">
        <f t="shared" si="78"/>
        <v>1.0654545454545454</v>
      </c>
      <c r="O477" s="3" t="s">
        <v>35</v>
      </c>
      <c r="P477" s="3" t="s">
        <v>245</v>
      </c>
      <c r="Q477" s="3" t="s">
        <v>457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</row>
    <row r="478" spans="1:29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9"/>
        <v>1.0366289952280319</v>
      </c>
      <c r="N478" s="3">
        <f t="shared" ref="N478:N479" si="80">+L478/K478</f>
        <v>1.0366289952280319</v>
      </c>
      <c r="O478" s="3" t="s">
        <v>143</v>
      </c>
      <c r="P478" s="3" t="s">
        <v>143</v>
      </c>
      <c r="Q478" s="3" t="str">
        <f>A478&amp;"-"&amp;TEXT(F478,"yyyy-mm-dd")</f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</row>
    <row r="479" spans="1:29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9"/>
        <v>1.0759165719522106</v>
      </c>
      <c r="N479" s="3">
        <f t="shared" si="80"/>
        <v>1.0759165719522106</v>
      </c>
      <c r="O479" s="3" t="s">
        <v>143</v>
      </c>
      <c r="P479" s="3" t="s">
        <v>143</v>
      </c>
      <c r="Q479" s="3" t="str">
        <f>A479&amp;"-"&amp;TEXT(F479,"yyyy-mm-dd")</f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</row>
    <row r="480" spans="1:29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">
        <v>510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75</v>
      </c>
      <c r="Z480" s="3" t="s">
        <v>76</v>
      </c>
      <c r="AA480" s="3" t="s">
        <v>77</v>
      </c>
      <c r="AB480" s="3" t="s">
        <v>43</v>
      </c>
      <c r="AC480" s="3" t="s">
        <v>31</v>
      </c>
    </row>
    <row r="481" spans="1:29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9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">
        <v>487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</row>
    <row r="482" spans="1:29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9"/>
        <v>1.175</v>
      </c>
      <c r="N482" s="3">
        <v>1.0625</v>
      </c>
      <c r="O482" s="3" t="s">
        <v>58</v>
      </c>
      <c r="P482" s="3" t="s">
        <v>58</v>
      </c>
      <c r="Q482" s="3" t="s">
        <v>488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/>
      <c r="Z482" s="3" t="s">
        <v>101</v>
      </c>
      <c r="AA482" s="3" t="s">
        <v>102</v>
      </c>
      <c r="AB482" s="3" t="s">
        <v>65</v>
      </c>
      <c r="AC482" s="3" t="s">
        <v>66</v>
      </c>
    </row>
    <row r="483" spans="1:29" x14ac:dyDescent="0.3">
      <c r="A483" s="3">
        <v>386.1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">
        <v>490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</row>
    <row r="484" spans="1:29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">
        <v>486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</row>
    <row r="485" spans="1:29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">
        <v>494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</row>
    <row r="486" spans="1:29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">
        <v>495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</row>
    <row r="487" spans="1:29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">
        <v>497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</row>
    <row r="488" spans="1:29" x14ac:dyDescent="0.3">
      <c r="A488" s="3">
        <v>367</v>
      </c>
      <c r="B488" s="3" t="s">
        <v>500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">
        <v>499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</row>
    <row r="489" spans="1:29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">
        <v>501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</row>
    <row r="490" spans="1:29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">
        <v>504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241</v>
      </c>
      <c r="Z490" s="3" t="s">
        <v>134</v>
      </c>
      <c r="AA490" s="3" t="s">
        <v>250</v>
      </c>
      <c r="AB490" s="3" t="s">
        <v>43</v>
      </c>
      <c r="AC490" s="3" t="s">
        <v>66</v>
      </c>
    </row>
    <row r="491" spans="1:29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">
        <v>503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</row>
    <row r="492" spans="1:29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">
        <v>507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75</v>
      </c>
      <c r="Z492" s="3" t="s">
        <v>76</v>
      </c>
      <c r="AA492" s="3" t="s">
        <v>77</v>
      </c>
      <c r="AB492" s="3" t="s">
        <v>78</v>
      </c>
      <c r="AC492" s="3" t="s">
        <v>66</v>
      </c>
    </row>
    <row r="493" spans="1:29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">
        <v>507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75</v>
      </c>
      <c r="Z493" s="3" t="s">
        <v>76</v>
      </c>
      <c r="AA493" s="3" t="s">
        <v>77</v>
      </c>
      <c r="AB493" s="3" t="s">
        <v>78</v>
      </c>
      <c r="AC493" s="3" t="s">
        <v>66</v>
      </c>
    </row>
    <row r="494" spans="1:29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">
        <v>511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</row>
    <row r="495" spans="1:29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81">+L495/K495</f>
        <v>1.0576470588235294</v>
      </c>
      <c r="N495" s="3">
        <f t="shared" ref="N495" si="82">+L495/K495</f>
        <v>1.0576470588235294</v>
      </c>
      <c r="O495" s="3" t="s">
        <v>58</v>
      </c>
      <c r="P495" s="3" t="s">
        <v>58</v>
      </c>
      <c r="Q495" s="3" t="s">
        <v>419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</row>
    <row r="496" spans="1:29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">
        <v>512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</row>
    <row r="497" spans="1:29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">
        <v>512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</row>
    <row r="498" spans="1:29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3">+L498/K498</f>
        <v>1.0011614401858304</v>
      </c>
      <c r="N498" s="3">
        <f t="shared" ref="N498" si="84">+L498/K498</f>
        <v>1.0011614401858304</v>
      </c>
      <c r="O498" s="3" t="s">
        <v>58</v>
      </c>
      <c r="P498" s="3" t="s">
        <v>58</v>
      </c>
      <c r="Q498" s="3" t="s">
        <v>421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</row>
    <row r="499" spans="1:29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5">+K499/L499</f>
        <v>0.97814273638449456</v>
      </c>
      <c r="N499" s="3">
        <f t="shared" ref="N499:N500" si="86">+K499/L499</f>
        <v>0.97814273638449456</v>
      </c>
      <c r="O499" s="3" t="s">
        <v>35</v>
      </c>
      <c r="P499" s="3" t="s">
        <v>245</v>
      </c>
      <c r="Q499" s="3" t="s">
        <v>514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75</v>
      </c>
      <c r="Z499" s="3" t="s">
        <v>86</v>
      </c>
      <c r="AA499" s="3" t="s">
        <v>204</v>
      </c>
      <c r="AB499" s="3" t="s">
        <v>65</v>
      </c>
      <c r="AC499" s="3" t="s">
        <v>31</v>
      </c>
    </row>
    <row r="500" spans="1:29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5"/>
        <v>1.0380116959064327</v>
      </c>
      <c r="N500" s="3">
        <f t="shared" si="86"/>
        <v>1.0380116959064327</v>
      </c>
      <c r="O500" s="3" t="s">
        <v>35</v>
      </c>
      <c r="P500" s="3" t="s">
        <v>245</v>
      </c>
      <c r="Q500" s="3" t="s">
        <v>515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/>
      <c r="Z500" s="3" t="s">
        <v>86</v>
      </c>
      <c r="AA500" s="3" t="s">
        <v>204</v>
      </c>
      <c r="AB500" s="3" t="s">
        <v>65</v>
      </c>
      <c r="AC500" s="3" t="s">
        <v>31</v>
      </c>
    </row>
    <row r="501" spans="1:29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7">+L501/K501</f>
        <v>0.84417707369256101</v>
      </c>
      <c r="N501" s="3">
        <f t="shared" ref="N501" si="88">+L501/K501</f>
        <v>0.84417707369256101</v>
      </c>
      <c r="O501" s="3" t="s">
        <v>35</v>
      </c>
      <c r="P501" s="3" t="s">
        <v>35</v>
      </c>
      <c r="Q501" s="3" t="s">
        <v>516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</row>
    <row r="502" spans="1:29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7"/>
        <v>1</v>
      </c>
      <c r="N502" s="3">
        <f>+L502/K502</f>
        <v>1</v>
      </c>
      <c r="O502" s="3" t="s">
        <v>35</v>
      </c>
      <c r="P502" s="3" t="s">
        <v>35</v>
      </c>
      <c r="Q502" s="3" t="s">
        <v>517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</row>
    <row r="503" spans="1:29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>A503&amp;"-"&amp;TEXT(F503,"yyyy-mm-dd")</f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</row>
    <row r="504" spans="1:29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518</v>
      </c>
      <c r="I504" s="3" t="s">
        <v>518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">
        <v>679</v>
      </c>
      <c r="R504" s="3">
        <v>0</v>
      </c>
      <c r="S504" s="3">
        <v>0</v>
      </c>
      <c r="T504" s="3" t="s">
        <v>518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</row>
    <row r="505" spans="1:29" x14ac:dyDescent="0.3">
      <c r="A505" s="3">
        <v>14.1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518</v>
      </c>
      <c r="I505" s="3" t="s">
        <v>518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">
        <v>680</v>
      </c>
      <c r="R505" s="3">
        <v>0</v>
      </c>
      <c r="S505" s="3">
        <v>0</v>
      </c>
      <c r="T505" s="3" t="s">
        <v>518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</row>
    <row r="506" spans="1:29" x14ac:dyDescent="0.3">
      <c r="A506" s="3">
        <v>14.2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518</v>
      </c>
      <c r="I506" s="3" t="s">
        <v>518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">
        <v>711</v>
      </c>
      <c r="R506" s="3">
        <v>0</v>
      </c>
      <c r="S506" s="3">
        <v>0</v>
      </c>
      <c r="T506" s="3" t="s">
        <v>518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</row>
    <row r="507" spans="1:29" x14ac:dyDescent="0.3">
      <c r="A507" s="3">
        <v>14.3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518</v>
      </c>
      <c r="I507" s="3" t="s">
        <v>518</v>
      </c>
      <c r="J507" s="3"/>
      <c r="K507" s="3">
        <v>101379</v>
      </c>
      <c r="L507" s="3">
        <v>104367</v>
      </c>
      <c r="M507" s="3">
        <f t="shared" ref="M507:M508" si="89">+L507/K507</f>
        <v>1.0294735596129376</v>
      </c>
      <c r="N507" s="3">
        <f t="shared" ref="N507:N508" si="90">+L507/K507</f>
        <v>1.0294735596129376</v>
      </c>
      <c r="O507" s="3" t="s">
        <v>35</v>
      </c>
      <c r="P507" s="3" t="s">
        <v>35</v>
      </c>
      <c r="Q507" s="3" t="s">
        <v>681</v>
      </c>
      <c r="R507" s="3">
        <v>0</v>
      </c>
      <c r="S507" s="3">
        <v>0</v>
      </c>
      <c r="T507" s="3" t="s">
        <v>518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</row>
    <row r="508" spans="1:29" x14ac:dyDescent="0.3">
      <c r="A508" s="3">
        <v>14.4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518</v>
      </c>
      <c r="I508" s="3" t="s">
        <v>518</v>
      </c>
      <c r="J508" s="3"/>
      <c r="K508" s="3">
        <f>+K506+K507</f>
        <v>193788</v>
      </c>
      <c r="L508" s="3">
        <f>+L506+L507</f>
        <v>200331</v>
      </c>
      <c r="M508" s="3">
        <f t="shared" si="89"/>
        <v>1.033763700538733</v>
      </c>
      <c r="N508" s="3">
        <f t="shared" si="90"/>
        <v>1.033763700538733</v>
      </c>
      <c r="O508" s="3" t="s">
        <v>35</v>
      </c>
      <c r="P508" s="3" t="s">
        <v>35</v>
      </c>
      <c r="Q508" s="3" t="s">
        <v>682</v>
      </c>
      <c r="R508" s="3">
        <v>0</v>
      </c>
      <c r="S508" s="3">
        <v>0</v>
      </c>
      <c r="T508" s="3" t="s">
        <v>518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</row>
    <row r="509" spans="1:29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518</v>
      </c>
      <c r="I509" s="3" t="s">
        <v>518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">
        <v>683</v>
      </c>
      <c r="R509" s="3">
        <v>0</v>
      </c>
      <c r="S509" s="3">
        <v>1</v>
      </c>
      <c r="T509" s="3" t="s">
        <v>518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</row>
    <row r="510" spans="1:29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518</v>
      </c>
      <c r="I510" s="3" t="s">
        <v>518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">
        <v>668</v>
      </c>
      <c r="R510" s="3">
        <v>0</v>
      </c>
      <c r="S510" s="3">
        <v>0</v>
      </c>
      <c r="T510" s="3" t="s">
        <v>518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75</v>
      </c>
      <c r="Z510" s="3" t="s">
        <v>76</v>
      </c>
      <c r="AA510" s="3" t="s">
        <v>77</v>
      </c>
      <c r="AB510" s="3" t="s">
        <v>78</v>
      </c>
      <c r="AC510" s="3" t="s">
        <v>66</v>
      </c>
    </row>
    <row r="511" spans="1:29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">
        <v>509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</row>
    <row r="512" spans="1:29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518</v>
      </c>
      <c r="I512" s="3" t="s">
        <v>518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">
        <v>684</v>
      </c>
      <c r="R512" s="3">
        <v>0</v>
      </c>
      <c r="S512" s="3">
        <v>0</v>
      </c>
      <c r="T512" s="3" t="s">
        <v>518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</row>
    <row r="513" spans="1:29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518</v>
      </c>
      <c r="I513" s="3" t="s">
        <v>518</v>
      </c>
      <c r="J513" s="3"/>
      <c r="K513" s="3">
        <v>80</v>
      </c>
      <c r="L513" s="3">
        <v>94</v>
      </c>
      <c r="M513" s="3">
        <f t="shared" ref="M513" si="91">+L513/K513</f>
        <v>1.175</v>
      </c>
      <c r="N513" s="3">
        <v>1.0625</v>
      </c>
      <c r="O513" s="3" t="s">
        <v>58</v>
      </c>
      <c r="P513" s="3" t="s">
        <v>58</v>
      </c>
      <c r="Q513" s="3" t="s">
        <v>685</v>
      </c>
      <c r="R513" s="3">
        <v>0</v>
      </c>
      <c r="S513" s="3">
        <v>0</v>
      </c>
      <c r="T513" s="3" t="s">
        <v>518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/>
      <c r="Z513" s="3" t="s">
        <v>101</v>
      </c>
      <c r="AA513" s="3" t="s">
        <v>102</v>
      </c>
      <c r="AB513" s="3" t="s">
        <v>65</v>
      </c>
      <c r="AC513" s="3" t="s">
        <v>66</v>
      </c>
    </row>
    <row r="514" spans="1:29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518</v>
      </c>
      <c r="I514" s="3" t="s">
        <v>518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">
        <v>686</v>
      </c>
      <c r="R514" s="3">
        <v>0</v>
      </c>
      <c r="S514" s="3">
        <v>1</v>
      </c>
      <c r="T514" s="3" t="s">
        <v>518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75</v>
      </c>
      <c r="Z514" s="3" t="s">
        <v>76</v>
      </c>
      <c r="AA514" s="3" t="s">
        <v>77</v>
      </c>
      <c r="AB514" s="3" t="s">
        <v>43</v>
      </c>
      <c r="AC514" s="3" t="s">
        <v>31</v>
      </c>
    </row>
    <row r="515" spans="1:29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518</v>
      </c>
      <c r="I515" s="3" t="s">
        <v>518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">
        <v>687</v>
      </c>
      <c r="R515" s="3">
        <v>1</v>
      </c>
      <c r="S515" s="3">
        <v>1</v>
      </c>
      <c r="T515" s="3" t="s">
        <v>518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</row>
    <row r="516" spans="1:29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518</v>
      </c>
      <c r="I516" s="3" t="s">
        <v>518</v>
      </c>
      <c r="J516" s="3"/>
      <c r="K516" s="3">
        <v>85</v>
      </c>
      <c r="L516" s="3">
        <v>89.9</v>
      </c>
      <c r="M516" s="3">
        <f t="shared" ref="M516" si="92">+L516/K516</f>
        <v>1.0576470588235294</v>
      </c>
      <c r="N516" s="3">
        <f t="shared" ref="N516" si="93">+L516/K516</f>
        <v>1.0576470588235294</v>
      </c>
      <c r="O516" s="3" t="s">
        <v>58</v>
      </c>
      <c r="P516" s="3" t="s">
        <v>58</v>
      </c>
      <c r="Q516" s="3" t="s">
        <v>712</v>
      </c>
      <c r="R516" s="3">
        <v>0</v>
      </c>
      <c r="S516" s="3">
        <v>0</v>
      </c>
      <c r="T516" s="3" t="s">
        <v>518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</row>
    <row r="517" spans="1:29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518</v>
      </c>
      <c r="I517" s="3" t="s">
        <v>518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">
        <v>688</v>
      </c>
      <c r="R517" s="3">
        <v>0</v>
      </c>
      <c r="S517" s="3">
        <v>1</v>
      </c>
      <c r="T517" s="3" t="s">
        <v>518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</row>
    <row r="518" spans="1:29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518</v>
      </c>
      <c r="I518" s="3" t="s">
        <v>518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">
        <v>689</v>
      </c>
      <c r="R518" s="3">
        <v>1</v>
      </c>
      <c r="S518" s="3">
        <v>1</v>
      </c>
      <c r="T518" s="3" t="s">
        <v>518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</row>
    <row r="519" spans="1:29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518</v>
      </c>
      <c r="I519" s="3" t="s">
        <v>518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4">+L519/K519</f>
        <v>1.053296418682687</v>
      </c>
      <c r="N519" s="3">
        <f t="shared" ref="N519" si="95">+L519/K519</f>
        <v>1.053296418682687</v>
      </c>
      <c r="O519" s="3" t="s">
        <v>143</v>
      </c>
      <c r="P519" s="3" t="s">
        <v>143</v>
      </c>
      <c r="Q519" s="3" t="str">
        <f>A519&amp;"-"&amp;TEXT(F519,"yyyy-mm-dd")</f>
        <v>203-2026-01-01</v>
      </c>
      <c r="R519" s="3">
        <v>0</v>
      </c>
      <c r="S519" s="3">
        <v>0</v>
      </c>
      <c r="T519" s="3" t="s">
        <v>518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</row>
    <row r="520" spans="1:29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518</v>
      </c>
      <c r="I520" s="3" t="s">
        <v>518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">
        <v>690</v>
      </c>
      <c r="R520" s="3">
        <v>0</v>
      </c>
      <c r="S520" s="3">
        <v>0</v>
      </c>
      <c r="T520" s="3" t="s">
        <v>518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</row>
    <row r="521" spans="1:29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518</v>
      </c>
      <c r="I521" s="3" t="s">
        <v>518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">
        <v>713</v>
      </c>
      <c r="R521" s="3">
        <v>0</v>
      </c>
      <c r="S521" s="3">
        <v>0</v>
      </c>
      <c r="T521" s="3" t="s">
        <v>518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</row>
    <row r="522" spans="1:29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518</v>
      </c>
      <c r="I522" s="3" t="s">
        <v>518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">
        <v>691</v>
      </c>
      <c r="R522" s="3">
        <v>0</v>
      </c>
      <c r="S522" s="3">
        <v>0</v>
      </c>
      <c r="T522" s="3" t="s">
        <v>518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</row>
    <row r="523" spans="1:29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518</v>
      </c>
      <c r="I523" s="3" t="s">
        <v>518</v>
      </c>
      <c r="J523" s="3"/>
      <c r="K523" s="3">
        <v>86.1</v>
      </c>
      <c r="L523" s="3">
        <v>86.2</v>
      </c>
      <c r="M523" s="3">
        <f t="shared" ref="M523:M524" si="96">+L523/K523</f>
        <v>1.0011614401858304</v>
      </c>
      <c r="N523" s="3">
        <f t="shared" ref="N523:N524" si="97">+L523/K523</f>
        <v>1.0011614401858304</v>
      </c>
      <c r="O523" s="3" t="s">
        <v>58</v>
      </c>
      <c r="P523" s="3" t="s">
        <v>58</v>
      </c>
      <c r="Q523" s="3" t="s">
        <v>714</v>
      </c>
      <c r="R523" s="3">
        <v>1</v>
      </c>
      <c r="S523" s="3">
        <v>1</v>
      </c>
      <c r="T523" s="3" t="s">
        <v>518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</row>
    <row r="524" spans="1:29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518</v>
      </c>
      <c r="I524" s="3" t="s">
        <v>518</v>
      </c>
      <c r="J524" s="3"/>
      <c r="K524" s="3">
        <v>44737</v>
      </c>
      <c r="L524" s="11">
        <v>45646</v>
      </c>
      <c r="M524" s="3">
        <f t="shared" si="96"/>
        <v>1.02031875181617</v>
      </c>
      <c r="N524" s="3">
        <f t="shared" si="97"/>
        <v>1.02031875181617</v>
      </c>
      <c r="O524" s="3" t="s">
        <v>35</v>
      </c>
      <c r="P524" s="3" t="s">
        <v>35</v>
      </c>
      <c r="Q524" s="3" t="str">
        <f>A524&amp;"-"&amp;TEXT(F524,"yyyy-mm-dd")</f>
        <v>274-2026-01-01</v>
      </c>
      <c r="R524" s="3">
        <v>0</v>
      </c>
      <c r="S524" s="3">
        <v>0</v>
      </c>
      <c r="T524" s="3" t="s">
        <v>518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</row>
    <row r="525" spans="1:29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518</v>
      </c>
      <c r="I525" s="3" t="s">
        <v>518</v>
      </c>
      <c r="J525" s="3"/>
      <c r="K525" s="3">
        <v>81</v>
      </c>
      <c r="L525" s="3">
        <v>82.81</v>
      </c>
      <c r="M525" s="3">
        <f t="shared" ref="M525:M526" si="98">+K525/L525</f>
        <v>0.97814273638449456</v>
      </c>
      <c r="N525" s="3">
        <f t="shared" ref="N525:N526" si="99">+K525/L525</f>
        <v>0.97814273638449456</v>
      </c>
      <c r="O525" s="3" t="s">
        <v>35</v>
      </c>
      <c r="P525" s="3" t="s">
        <v>245</v>
      </c>
      <c r="Q525" s="3" t="s">
        <v>692</v>
      </c>
      <c r="R525" s="3">
        <v>0</v>
      </c>
      <c r="S525" s="3">
        <v>1</v>
      </c>
      <c r="T525" s="3" t="s">
        <v>518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75</v>
      </c>
      <c r="Z525" s="3" t="s">
        <v>86</v>
      </c>
      <c r="AA525" s="3" t="s">
        <v>204</v>
      </c>
      <c r="AB525" s="3" t="s">
        <v>65</v>
      </c>
      <c r="AC525" s="3" t="s">
        <v>31</v>
      </c>
    </row>
    <row r="526" spans="1:29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518</v>
      </c>
      <c r="I526" s="3" t="s">
        <v>518</v>
      </c>
      <c r="J526" s="3"/>
      <c r="K526" s="3">
        <v>71</v>
      </c>
      <c r="L526" s="3">
        <v>68.400000000000006</v>
      </c>
      <c r="M526" s="3">
        <f t="shared" si="98"/>
        <v>1.0380116959064327</v>
      </c>
      <c r="N526" s="3">
        <f t="shared" si="99"/>
        <v>1.0380116959064327</v>
      </c>
      <c r="O526" s="3" t="s">
        <v>35</v>
      </c>
      <c r="P526" s="3" t="s">
        <v>245</v>
      </c>
      <c r="Q526" s="3" t="s">
        <v>693</v>
      </c>
      <c r="R526" s="3">
        <v>1</v>
      </c>
      <c r="S526" s="3">
        <v>1</v>
      </c>
      <c r="T526" s="3" t="s">
        <v>518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/>
      <c r="Z526" s="3" t="s">
        <v>86</v>
      </c>
      <c r="AA526" s="3" t="s">
        <v>204</v>
      </c>
      <c r="AB526" s="3" t="s">
        <v>65</v>
      </c>
      <c r="AC526" s="3" t="s">
        <v>31</v>
      </c>
    </row>
    <row r="527" spans="1:29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518</v>
      </c>
      <c r="I527" s="3" t="s">
        <v>518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">
        <v>715</v>
      </c>
      <c r="R527" s="3">
        <v>2</v>
      </c>
      <c r="S527" s="3">
        <v>2</v>
      </c>
      <c r="T527" s="3" t="s">
        <v>518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241</v>
      </c>
      <c r="Z527" s="3" t="s">
        <v>134</v>
      </c>
      <c r="AA527" s="3" t="s">
        <v>135</v>
      </c>
      <c r="AB527" s="3" t="s">
        <v>65</v>
      </c>
      <c r="AC527" s="3" t="s">
        <v>66</v>
      </c>
    </row>
    <row r="528" spans="1:29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518</v>
      </c>
      <c r="I528" s="3" t="s">
        <v>518</v>
      </c>
      <c r="J528" s="3"/>
      <c r="K528" s="3">
        <f>+K369+K501</f>
        <v>162432</v>
      </c>
      <c r="L528" s="3">
        <f>+L369+L501</f>
        <v>158937</v>
      </c>
      <c r="M528" s="3">
        <f t="shared" ref="M528" si="100">+L528/K528</f>
        <v>0.97848330378250592</v>
      </c>
      <c r="N528" s="3">
        <f t="shared" ref="N528" si="101">+L528/K528</f>
        <v>0.97848330378250592</v>
      </c>
      <c r="O528" s="3" t="s">
        <v>35</v>
      </c>
      <c r="P528" s="3" t="s">
        <v>35</v>
      </c>
      <c r="Q528" s="3" t="s">
        <v>694</v>
      </c>
      <c r="R528" s="3">
        <v>0</v>
      </c>
      <c r="S528" s="3">
        <v>0</v>
      </c>
      <c r="T528" s="3" t="s">
        <v>518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</row>
    <row r="529" spans="1:29" x14ac:dyDescent="0.3">
      <c r="A529" s="3">
        <v>367</v>
      </c>
      <c r="B529" s="3" t="s">
        <v>500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518</v>
      </c>
      <c r="I529" s="3" t="s">
        <v>518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">
        <v>695</v>
      </c>
      <c r="R529" s="3">
        <v>1</v>
      </c>
      <c r="S529" s="3">
        <v>2</v>
      </c>
      <c r="T529" s="3" t="s">
        <v>518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</row>
    <row r="530" spans="1:29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518</v>
      </c>
      <c r="I530" s="3" t="s">
        <v>518</v>
      </c>
      <c r="J530" s="3"/>
      <c r="K530" s="3">
        <f>+K502+K383</f>
        <v>378</v>
      </c>
      <c r="L530" s="3">
        <f>+L502+L383</f>
        <v>328</v>
      </c>
      <c r="M530" s="3">
        <f t="shared" ref="M530:M531" si="102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">
        <v>696</v>
      </c>
      <c r="R530" s="3">
        <v>0</v>
      </c>
      <c r="S530" s="3">
        <v>0</v>
      </c>
      <c r="T530" s="3" t="s">
        <v>518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</row>
    <row r="531" spans="1:29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518</v>
      </c>
      <c r="I531" s="3" t="s">
        <v>518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2"/>
        <v>1.1072715709372378</v>
      </c>
      <c r="N531" s="3">
        <f t="shared" ref="N531" si="103">+L531/K531</f>
        <v>1.1072715709372378</v>
      </c>
      <c r="O531" s="3" t="s">
        <v>143</v>
      </c>
      <c r="P531" s="3" t="s">
        <v>143</v>
      </c>
      <c r="Q531" s="3" t="s">
        <v>697</v>
      </c>
      <c r="R531" s="3">
        <v>0</v>
      </c>
      <c r="S531" s="3">
        <v>0</v>
      </c>
      <c r="T531" s="3" t="s">
        <v>518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</row>
    <row r="532" spans="1:29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518</v>
      </c>
      <c r="I532" s="3" t="s">
        <v>518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>A532&amp;"-"&amp;TEXT(F532,"yyyy-mm-dd")</f>
        <v>379-2026-01-01</v>
      </c>
      <c r="R532" s="3">
        <v>0</v>
      </c>
      <c r="S532" s="3">
        <v>0</v>
      </c>
      <c r="T532" s="3" t="s">
        <v>518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</row>
    <row r="533" spans="1:29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518</v>
      </c>
      <c r="I533" s="3" t="s">
        <v>518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">
        <v>698</v>
      </c>
      <c r="R533" s="3">
        <v>0</v>
      </c>
      <c r="S533" s="3">
        <v>0</v>
      </c>
      <c r="T533" s="3" t="s">
        <v>518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</row>
    <row r="534" spans="1:29" x14ac:dyDescent="0.3">
      <c r="A534" s="3">
        <v>386.1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518</v>
      </c>
      <c r="I534" s="3" t="s">
        <v>518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">
        <v>699</v>
      </c>
      <c r="R534" s="3">
        <v>0</v>
      </c>
      <c r="S534" s="3">
        <v>0</v>
      </c>
      <c r="T534" s="3" t="s">
        <v>518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</row>
    <row r="535" spans="1:29" x14ac:dyDescent="0.3">
      <c r="A535" s="3">
        <v>386.2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518</v>
      </c>
      <c r="I535" s="3" t="s">
        <v>518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4">L535/K535</f>
        <v>0.98582632482354049</v>
      </c>
      <c r="N535" s="3">
        <f t="shared" ref="N535:N536" si="105">L535/K535</f>
        <v>0.98582632482354049</v>
      </c>
      <c r="O535" s="3" t="s">
        <v>143</v>
      </c>
      <c r="P535" s="3" t="s">
        <v>143</v>
      </c>
      <c r="Q535" s="3" t="s">
        <v>700</v>
      </c>
      <c r="R535" s="3">
        <v>0</v>
      </c>
      <c r="S535" s="3">
        <v>0</v>
      </c>
      <c r="T535" s="3" t="s">
        <v>518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</row>
    <row r="536" spans="1:29" x14ac:dyDescent="0.3">
      <c r="A536" s="3">
        <v>386.3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518</v>
      </c>
      <c r="I536" s="3" t="s">
        <v>518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6">IF(L536/K536&gt;1.3,1.3,L536/K536)</f>
        <v>0.96428454116397888</v>
      </c>
      <c r="N536" s="3">
        <f t="shared" si="105"/>
        <v>0.96428454116397888</v>
      </c>
      <c r="O536" s="3" t="s">
        <v>143</v>
      </c>
      <c r="P536" s="3" t="s">
        <v>143</v>
      </c>
      <c r="Q536" s="3" t="s">
        <v>701</v>
      </c>
      <c r="R536" s="3">
        <v>0</v>
      </c>
      <c r="S536" s="3">
        <v>0</v>
      </c>
      <c r="T536" s="3" t="s">
        <v>518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</row>
    <row r="537" spans="1:29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518</v>
      </c>
      <c r="I537" s="3" t="s">
        <v>518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">
        <v>702</v>
      </c>
      <c r="R537" s="3">
        <v>1</v>
      </c>
      <c r="S537" s="3">
        <v>1</v>
      </c>
      <c r="T537" s="3" t="s">
        <v>518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</row>
    <row r="538" spans="1:29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518</v>
      </c>
      <c r="I538" s="3" t="s">
        <v>518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">
        <v>703</v>
      </c>
      <c r="R538" s="3">
        <v>0</v>
      </c>
      <c r="S538" s="3">
        <v>0</v>
      </c>
      <c r="T538" s="3" t="s">
        <v>518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</row>
    <row r="539" spans="1:29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518</v>
      </c>
      <c r="I539" s="3" t="s">
        <v>518</v>
      </c>
      <c r="J539" s="3"/>
      <c r="K539" s="3">
        <v>55</v>
      </c>
      <c r="L539" s="3">
        <v>58.6</v>
      </c>
      <c r="M539" s="3">
        <f t="shared" ref="M539" si="107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">
        <v>704</v>
      </c>
      <c r="R539" s="3">
        <v>1</v>
      </c>
      <c r="S539" s="3">
        <v>1</v>
      </c>
      <c r="T539" s="3" t="s">
        <v>518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</row>
    <row r="540" spans="1:29" x14ac:dyDescent="0.3">
      <c r="A540" s="3">
        <v>1</v>
      </c>
      <c r="B540" s="3" t="s">
        <v>662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">
        <v>567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</row>
    <row r="541" spans="1:29" x14ac:dyDescent="0.3">
      <c r="A541" s="3">
        <v>2</v>
      </c>
      <c r="B541" s="3" t="s">
        <v>524</v>
      </c>
      <c r="C541" s="3" t="s">
        <v>556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2" si="108">IF(L541/K541&gt;1,1,L541/K541)</f>
        <v>1</v>
      </c>
      <c r="N541" s="3">
        <f t="shared" ref="N541:N601" si="109">IF(L541/K541&gt;1,1,L541/K541)</f>
        <v>1</v>
      </c>
      <c r="O541" s="3" t="s">
        <v>58</v>
      </c>
      <c r="P541" s="3" t="s">
        <v>58</v>
      </c>
      <c r="Q541" s="3" t="s">
        <v>568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556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626</v>
      </c>
      <c r="AB541" s="3" t="s">
        <v>43</v>
      </c>
      <c r="AC541" s="3" t="s">
        <v>66</v>
      </c>
    </row>
    <row r="542" spans="1:29" x14ac:dyDescent="0.3">
      <c r="A542" s="3">
        <v>2</v>
      </c>
      <c r="B542" s="3" t="s">
        <v>524</v>
      </c>
      <c r="C542" s="3" t="s">
        <v>556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8"/>
        <v>1</v>
      </c>
      <c r="N542" s="3">
        <f t="shared" si="109"/>
        <v>1</v>
      </c>
      <c r="O542" s="3" t="s">
        <v>58</v>
      </c>
      <c r="P542" s="3" t="s">
        <v>58</v>
      </c>
      <c r="Q542" s="3" t="s">
        <v>569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556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626</v>
      </c>
      <c r="AB542" s="3" t="s">
        <v>43</v>
      </c>
      <c r="AC542" s="3" t="s">
        <v>66</v>
      </c>
    </row>
    <row r="543" spans="1:29" x14ac:dyDescent="0.3">
      <c r="A543" s="3">
        <v>3</v>
      </c>
      <c r="B543" s="3" t="s">
        <v>525</v>
      </c>
      <c r="C543" s="3" t="s">
        <v>557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8"/>
        <v>1</v>
      </c>
      <c r="N543" s="3">
        <f t="shared" si="109"/>
        <v>1</v>
      </c>
      <c r="O543" s="3" t="s">
        <v>58</v>
      </c>
      <c r="P543" s="3" t="s">
        <v>58</v>
      </c>
      <c r="Q543" s="3" t="s">
        <v>570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557</v>
      </c>
      <c r="W543" s="3" t="s">
        <v>60</v>
      </c>
      <c r="X543" s="3" t="s">
        <v>262</v>
      </c>
      <c r="Y543" s="3" t="s">
        <v>627</v>
      </c>
      <c r="Z543" s="3" t="s">
        <v>101</v>
      </c>
      <c r="AA543" s="3" t="s">
        <v>628</v>
      </c>
      <c r="AB543" s="3" t="s">
        <v>43</v>
      </c>
      <c r="AC543" s="3" t="s">
        <v>66</v>
      </c>
    </row>
    <row r="544" spans="1:29" x14ac:dyDescent="0.3">
      <c r="A544" s="3">
        <v>4</v>
      </c>
      <c r="B544" s="3" t="s">
        <v>526</v>
      </c>
      <c r="C544" s="3" t="s">
        <v>556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8"/>
        <v>0.94871794871794868</v>
      </c>
      <c r="N544" s="3">
        <f t="shared" si="109"/>
        <v>0.94871794871794868</v>
      </c>
      <c r="O544" s="3"/>
      <c r="P544" s="3"/>
      <c r="Q544" s="3" t="s">
        <v>571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556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</row>
    <row r="545" spans="1:29" x14ac:dyDescent="0.3">
      <c r="A545" s="3">
        <v>4</v>
      </c>
      <c r="B545" s="3" t="s">
        <v>526</v>
      </c>
      <c r="C545" s="3" t="s">
        <v>558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8"/>
        <v>1</v>
      </c>
      <c r="N545" s="3">
        <f t="shared" si="109"/>
        <v>1</v>
      </c>
      <c r="O545" s="3"/>
      <c r="P545" s="3"/>
      <c r="Q545" s="3" t="s">
        <v>572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558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</row>
    <row r="546" spans="1:29" x14ac:dyDescent="0.3">
      <c r="A546" s="3">
        <v>5</v>
      </c>
      <c r="B546" s="3" t="s">
        <v>527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8"/>
        <v>0.94871794871794868</v>
      </c>
      <c r="N546" s="3">
        <f t="shared" si="109"/>
        <v>0.94871794871794868</v>
      </c>
      <c r="O546" s="3" t="s">
        <v>58</v>
      </c>
      <c r="P546" s="3" t="s">
        <v>58</v>
      </c>
      <c r="Q546" s="3" t="s">
        <v>573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/>
      <c r="Z546" s="3" t="s">
        <v>41</v>
      </c>
      <c r="AA546" s="3" t="s">
        <v>124</v>
      </c>
      <c r="AB546" s="3" t="s">
        <v>43</v>
      </c>
      <c r="AC546" s="3" t="s">
        <v>66</v>
      </c>
    </row>
    <row r="547" spans="1:29" x14ac:dyDescent="0.3">
      <c r="A547" s="3">
        <v>5</v>
      </c>
      <c r="B547" s="3" t="s">
        <v>527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8"/>
        <v>1</v>
      </c>
      <c r="N547" s="3">
        <f t="shared" si="109"/>
        <v>1</v>
      </c>
      <c r="O547" s="3" t="s">
        <v>58</v>
      </c>
      <c r="P547" s="3" t="s">
        <v>58</v>
      </c>
      <c r="Q547" s="3" t="s">
        <v>574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/>
      <c r="Z547" s="3" t="s">
        <v>41</v>
      </c>
      <c r="AA547" s="3" t="s">
        <v>124</v>
      </c>
      <c r="AB547" s="3" t="s">
        <v>43</v>
      </c>
      <c r="AC547" s="3" t="s">
        <v>66</v>
      </c>
    </row>
    <row r="548" spans="1:29" x14ac:dyDescent="0.3">
      <c r="A548" s="3">
        <v>6</v>
      </c>
      <c r="B548" s="3" t="s">
        <v>528</v>
      </c>
      <c r="C548" s="3" t="s">
        <v>559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8"/>
        <v>0.96938775510204078</v>
      </c>
      <c r="N548" s="3">
        <f t="shared" si="109"/>
        <v>0.96938775510204078</v>
      </c>
      <c r="O548" s="3" t="s">
        <v>58</v>
      </c>
      <c r="P548" s="3" t="s">
        <v>58</v>
      </c>
      <c r="Q548" s="3" t="s">
        <v>575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559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</row>
    <row r="549" spans="1:29" x14ac:dyDescent="0.3">
      <c r="A549" s="3">
        <v>6</v>
      </c>
      <c r="B549" s="3" t="s">
        <v>528</v>
      </c>
      <c r="C549" s="3" t="s">
        <v>559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8"/>
        <v>1</v>
      </c>
      <c r="N549" s="3">
        <f t="shared" si="109"/>
        <v>1</v>
      </c>
      <c r="O549" s="3" t="s">
        <v>58</v>
      </c>
      <c r="P549" s="3" t="s">
        <v>58</v>
      </c>
      <c r="Q549" s="3" t="s">
        <v>576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559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</row>
    <row r="550" spans="1:29" x14ac:dyDescent="0.3">
      <c r="A550" s="3">
        <v>7</v>
      </c>
      <c r="B550" s="3" t="s">
        <v>529</v>
      </c>
      <c r="C550" s="3" t="s">
        <v>559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8"/>
        <v>0.8571428571428571</v>
      </c>
      <c r="N550" s="3">
        <f t="shared" si="109"/>
        <v>0.8571428571428571</v>
      </c>
      <c r="O550" s="3" t="s">
        <v>58</v>
      </c>
      <c r="P550" s="3" t="s">
        <v>58</v>
      </c>
      <c r="Q550" s="3" t="s">
        <v>577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559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</row>
    <row r="551" spans="1:29" x14ac:dyDescent="0.3">
      <c r="A551" s="3">
        <v>7</v>
      </c>
      <c r="B551" s="3" t="s">
        <v>529</v>
      </c>
      <c r="C551" s="3" t="s">
        <v>559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8"/>
        <v>1</v>
      </c>
      <c r="N551" s="3">
        <f t="shared" si="109"/>
        <v>1</v>
      </c>
      <c r="O551" s="3" t="s">
        <v>58</v>
      </c>
      <c r="P551" s="3" t="s">
        <v>58</v>
      </c>
      <c r="Q551" s="3" t="s">
        <v>578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559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</row>
    <row r="552" spans="1:29" x14ac:dyDescent="0.3">
      <c r="A552" s="3">
        <v>8</v>
      </c>
      <c r="B552" s="3" t="s">
        <v>530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8"/>
        <v>1</v>
      </c>
      <c r="N552" s="3">
        <f t="shared" si="109"/>
        <v>1</v>
      </c>
      <c r="O552" s="3"/>
      <c r="P552" s="3"/>
      <c r="Q552" s="3" t="s">
        <v>579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/>
      <c r="Z552" s="3" t="s">
        <v>101</v>
      </c>
      <c r="AA552" s="3" t="s">
        <v>264</v>
      </c>
      <c r="AB552" s="3" t="s">
        <v>43</v>
      </c>
      <c r="AC552" s="3" t="s">
        <v>66</v>
      </c>
    </row>
    <row r="553" spans="1:29" x14ac:dyDescent="0.3">
      <c r="A553" s="3">
        <v>9</v>
      </c>
      <c r="B553" s="3" t="s">
        <v>666</v>
      </c>
      <c r="C553" s="3" t="s">
        <v>559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8"/>
        <v>0.96938775510204078</v>
      </c>
      <c r="N553" s="3">
        <f t="shared" si="109"/>
        <v>0.96938775510204078</v>
      </c>
      <c r="O553" s="3" t="s">
        <v>58</v>
      </c>
      <c r="P553" s="3" t="s">
        <v>58</v>
      </c>
      <c r="Q553" s="3" t="s">
        <v>580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559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</row>
    <row r="554" spans="1:29" x14ac:dyDescent="0.3">
      <c r="A554" s="3">
        <v>9</v>
      </c>
      <c r="B554" s="3" t="s">
        <v>666</v>
      </c>
      <c r="C554" s="3" t="s">
        <v>559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8"/>
        <v>1</v>
      </c>
      <c r="N554" s="3">
        <f t="shared" si="109"/>
        <v>1</v>
      </c>
      <c r="O554" s="3" t="s">
        <v>58</v>
      </c>
      <c r="P554" s="3" t="s">
        <v>58</v>
      </c>
      <c r="Q554" s="3" t="s">
        <v>581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559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</row>
    <row r="555" spans="1:29" x14ac:dyDescent="0.3">
      <c r="A555" s="3">
        <v>10</v>
      </c>
      <c r="B555" s="3" t="s">
        <v>531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8"/>
        <v>1</v>
      </c>
      <c r="N555" s="3">
        <f t="shared" si="109"/>
        <v>1</v>
      </c>
      <c r="O555" s="3">
        <v>0</v>
      </c>
      <c r="P555" s="3">
        <v>0</v>
      </c>
      <c r="Q555" s="3" t="s">
        <v>582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75</v>
      </c>
      <c r="Z555" s="3" t="s">
        <v>86</v>
      </c>
      <c r="AA555" s="3" t="s">
        <v>87</v>
      </c>
      <c r="AB555" s="3" t="s">
        <v>43</v>
      </c>
      <c r="AC555" s="3" t="s">
        <v>66</v>
      </c>
    </row>
    <row r="556" spans="1:29" x14ac:dyDescent="0.3">
      <c r="A556" s="3">
        <v>10</v>
      </c>
      <c r="B556" s="3" t="s">
        <v>531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8"/>
        <v>1</v>
      </c>
      <c r="N556" s="3">
        <f t="shared" si="109"/>
        <v>1</v>
      </c>
      <c r="O556" s="3">
        <v>0</v>
      </c>
      <c r="P556" s="3">
        <v>0</v>
      </c>
      <c r="Q556" s="3" t="s">
        <v>583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75</v>
      </c>
      <c r="Z556" s="3" t="s">
        <v>86</v>
      </c>
      <c r="AA556" s="3" t="s">
        <v>87</v>
      </c>
      <c r="AB556" s="3" t="s">
        <v>43</v>
      </c>
      <c r="AC556" s="3" t="s">
        <v>66</v>
      </c>
    </row>
    <row r="557" spans="1:29" x14ac:dyDescent="0.3">
      <c r="A557" s="3">
        <v>11</v>
      </c>
      <c r="B557" s="3" t="s">
        <v>663</v>
      </c>
      <c r="C557" s="3" t="s">
        <v>560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/>
      <c r="K557" s="9">
        <v>56</v>
      </c>
      <c r="L557" s="9">
        <v>56</v>
      </c>
      <c r="M557" s="3">
        <f t="shared" si="108"/>
        <v>1</v>
      </c>
      <c r="N557" s="3">
        <f t="shared" si="109"/>
        <v>1</v>
      </c>
      <c r="O557" s="3" t="s">
        <v>58</v>
      </c>
      <c r="P557" s="3" t="s">
        <v>58</v>
      </c>
      <c r="Q557" s="3" t="s">
        <v>584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560</v>
      </c>
      <c r="W557" s="3" t="s">
        <v>312</v>
      </c>
      <c r="X557" s="3" t="s">
        <v>629</v>
      </c>
      <c r="Y557" s="3" t="s">
        <v>630</v>
      </c>
      <c r="Z557" s="3" t="s">
        <v>86</v>
      </c>
      <c r="AA557" s="3" t="s">
        <v>87</v>
      </c>
      <c r="AB557" s="3" t="s">
        <v>43</v>
      </c>
      <c r="AC557" s="3" t="s">
        <v>66</v>
      </c>
    </row>
    <row r="558" spans="1:29" x14ac:dyDescent="0.3">
      <c r="A558" s="3">
        <v>12</v>
      </c>
      <c r="B558" s="3" t="s">
        <v>648</v>
      </c>
      <c r="C558" s="3" t="s">
        <v>560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8"/>
        <v>0.7846153846153846</v>
      </c>
      <c r="N558" s="3">
        <f t="shared" si="109"/>
        <v>0.7846153846153846</v>
      </c>
      <c r="O558" s="3"/>
      <c r="P558" s="3"/>
      <c r="Q558" s="3" t="s">
        <v>585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560</v>
      </c>
      <c r="W558" s="3" t="s">
        <v>312</v>
      </c>
      <c r="X558" s="3" t="s">
        <v>629</v>
      </c>
      <c r="Y558" s="3" t="s">
        <v>631</v>
      </c>
      <c r="Z558" s="3" t="s">
        <v>86</v>
      </c>
      <c r="AA558" s="3" t="s">
        <v>87</v>
      </c>
      <c r="AB558" s="3" t="s">
        <v>43</v>
      </c>
      <c r="AC558" s="3" t="s">
        <v>66</v>
      </c>
    </row>
    <row r="559" spans="1:29" x14ac:dyDescent="0.3">
      <c r="A559" s="3">
        <v>12</v>
      </c>
      <c r="B559" s="3" t="s">
        <v>648</v>
      </c>
      <c r="C559" s="3" t="s">
        <v>560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8"/>
        <v>0.73684210526315785</v>
      </c>
      <c r="N559" s="3">
        <f t="shared" si="109"/>
        <v>0.73684210526315785</v>
      </c>
      <c r="O559" s="3"/>
      <c r="P559" s="3"/>
      <c r="Q559" s="3" t="s">
        <v>586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560</v>
      </c>
      <c r="W559" s="3" t="s">
        <v>312</v>
      </c>
      <c r="X559" s="3" t="s">
        <v>629</v>
      </c>
      <c r="Y559" s="3" t="s">
        <v>631</v>
      </c>
      <c r="Z559" s="3" t="s">
        <v>86</v>
      </c>
      <c r="AA559" s="3" t="s">
        <v>87</v>
      </c>
      <c r="AB559" s="3" t="s">
        <v>43</v>
      </c>
      <c r="AC559" s="3" t="s">
        <v>66</v>
      </c>
    </row>
    <row r="560" spans="1:29" x14ac:dyDescent="0.3">
      <c r="A560" s="3">
        <v>13</v>
      </c>
      <c r="B560" s="3" t="s">
        <v>652</v>
      </c>
      <c r="C560" s="3" t="s">
        <v>561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8"/>
        <v>0.99</v>
      </c>
      <c r="N560" s="3">
        <f t="shared" si="109"/>
        <v>0.99</v>
      </c>
      <c r="O560" s="3" t="s">
        <v>58</v>
      </c>
      <c r="P560" s="3" t="s">
        <v>58</v>
      </c>
      <c r="Q560" s="3" t="s">
        <v>587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561</v>
      </c>
      <c r="W560" s="3" t="s">
        <v>112</v>
      </c>
      <c r="X560" s="3" t="s">
        <v>113</v>
      </c>
      <c r="Y560" s="3" t="s">
        <v>632</v>
      </c>
      <c r="Z560" s="3" t="s">
        <v>86</v>
      </c>
      <c r="AA560" s="3" t="s">
        <v>87</v>
      </c>
      <c r="AB560" s="3" t="s">
        <v>43</v>
      </c>
      <c r="AC560" s="3" t="s">
        <v>66</v>
      </c>
    </row>
    <row r="561" spans="1:29" x14ac:dyDescent="0.3">
      <c r="A561" s="3">
        <v>13</v>
      </c>
      <c r="B561" s="3" t="s">
        <v>652</v>
      </c>
      <c r="C561" s="3" t="s">
        <v>561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8"/>
        <v>1</v>
      </c>
      <c r="N561" s="3">
        <f t="shared" si="109"/>
        <v>1</v>
      </c>
      <c r="O561" s="3" t="s">
        <v>58</v>
      </c>
      <c r="P561" s="3" t="s">
        <v>58</v>
      </c>
      <c r="Q561" s="3" t="s">
        <v>588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561</v>
      </c>
      <c r="W561" s="3" t="s">
        <v>112</v>
      </c>
      <c r="X561" s="3" t="s">
        <v>113</v>
      </c>
      <c r="Y561" s="3" t="s">
        <v>632</v>
      </c>
      <c r="Z561" s="3" t="s">
        <v>86</v>
      </c>
      <c r="AA561" s="3" t="s">
        <v>87</v>
      </c>
      <c r="AB561" s="3" t="s">
        <v>43</v>
      </c>
      <c r="AC561" s="3" t="s">
        <v>66</v>
      </c>
    </row>
    <row r="562" spans="1:29" x14ac:dyDescent="0.3">
      <c r="A562" s="5">
        <v>900</v>
      </c>
      <c r="B562" s="6" t="s">
        <v>654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8"/>
        <v>1</v>
      </c>
      <c r="N562" s="3">
        <f t="shared" si="109"/>
        <v>1</v>
      </c>
      <c r="O562" s="3" t="s">
        <v>58</v>
      </c>
      <c r="P562" s="3" t="s">
        <v>58</v>
      </c>
      <c r="Q562" s="3" t="s">
        <v>589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632</v>
      </c>
      <c r="Z562" s="3" t="s">
        <v>63</v>
      </c>
      <c r="AA562" s="3" t="s">
        <v>633</v>
      </c>
      <c r="AB562" s="3" t="s">
        <v>43</v>
      </c>
      <c r="AC562" s="3" t="s">
        <v>66</v>
      </c>
    </row>
    <row r="563" spans="1:29" x14ac:dyDescent="0.3">
      <c r="A563" s="5">
        <v>901</v>
      </c>
      <c r="B563" s="6" t="s">
        <v>532</v>
      </c>
      <c r="C563" s="3" t="s">
        <v>562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8"/>
        <v>0.87804878048780488</v>
      </c>
      <c r="N563" s="3">
        <f t="shared" si="109"/>
        <v>0.87804878048780488</v>
      </c>
      <c r="O563" s="3"/>
      <c r="P563" s="3"/>
      <c r="Q563" s="3" t="s">
        <v>590</v>
      </c>
      <c r="R563" s="3">
        <v>0</v>
      </c>
      <c r="S563" s="3">
        <v>0</v>
      </c>
      <c r="T563" s="3"/>
      <c r="U563" s="3" t="s">
        <v>37</v>
      </c>
      <c r="V563" s="3" t="s">
        <v>562</v>
      </c>
      <c r="W563" s="3" t="s">
        <v>312</v>
      </c>
      <c r="X563" s="3" t="s">
        <v>313</v>
      </c>
      <c r="Y563" s="3" t="s">
        <v>634</v>
      </c>
      <c r="Z563" s="3" t="s">
        <v>86</v>
      </c>
      <c r="AA563" s="3" t="s">
        <v>87</v>
      </c>
      <c r="AB563" s="3" t="s">
        <v>43</v>
      </c>
      <c r="AC563" s="3" t="s">
        <v>66</v>
      </c>
    </row>
    <row r="564" spans="1:29" x14ac:dyDescent="0.3">
      <c r="A564" s="5">
        <v>902</v>
      </c>
      <c r="B564" s="6" t="s">
        <v>533</v>
      </c>
      <c r="C564" s="3" t="s">
        <v>563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8"/>
        <v>1</v>
      </c>
      <c r="N564" s="3">
        <f t="shared" si="109"/>
        <v>1</v>
      </c>
      <c r="O564" s="3"/>
      <c r="P564" s="3"/>
      <c r="Q564" s="3" t="s">
        <v>591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563</v>
      </c>
      <c r="W564" s="3" t="s">
        <v>73</v>
      </c>
      <c r="X564" s="3" t="s">
        <v>74</v>
      </c>
      <c r="Y564" s="3" t="s">
        <v>75</v>
      </c>
      <c r="Z564" s="3" t="s">
        <v>76</v>
      </c>
      <c r="AA564" s="3" t="s">
        <v>77</v>
      </c>
      <c r="AB564" s="3" t="s">
        <v>43</v>
      </c>
      <c r="AC564" s="3" t="s">
        <v>66</v>
      </c>
    </row>
    <row r="565" spans="1:29" x14ac:dyDescent="0.3">
      <c r="A565" s="5">
        <v>903</v>
      </c>
      <c r="B565" s="6" t="s">
        <v>534</v>
      </c>
      <c r="C565" s="3" t="s">
        <v>564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8"/>
        <v>1</v>
      </c>
      <c r="N565" s="3">
        <f t="shared" si="109"/>
        <v>1</v>
      </c>
      <c r="O565" s="3"/>
      <c r="P565" s="3"/>
      <c r="Q565" s="3" t="s">
        <v>592</v>
      </c>
      <c r="R565" s="3">
        <v>0</v>
      </c>
      <c r="S565" s="3">
        <v>0</v>
      </c>
      <c r="T565" s="3"/>
      <c r="U565" s="3" t="s">
        <v>37</v>
      </c>
      <c r="V565" s="3" t="s">
        <v>564</v>
      </c>
      <c r="W565" s="3" t="s">
        <v>112</v>
      </c>
      <c r="X565" s="3" t="s">
        <v>113</v>
      </c>
      <c r="Y565" s="3" t="s">
        <v>635</v>
      </c>
      <c r="Z565" s="3" t="s">
        <v>101</v>
      </c>
      <c r="AA565" s="3" t="s">
        <v>264</v>
      </c>
      <c r="AB565" s="3" t="s">
        <v>43</v>
      </c>
      <c r="AC565" s="3" t="s">
        <v>66</v>
      </c>
    </row>
    <row r="566" spans="1:29" x14ac:dyDescent="0.3">
      <c r="A566" s="5">
        <v>905</v>
      </c>
      <c r="B566" s="6" t="s">
        <v>536</v>
      </c>
      <c r="C566" s="3" t="s">
        <v>562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8"/>
        <v>1</v>
      </c>
      <c r="N566" s="3">
        <f t="shared" si="109"/>
        <v>1</v>
      </c>
      <c r="O566" s="3" t="s">
        <v>58</v>
      </c>
      <c r="P566" s="3" t="s">
        <v>58</v>
      </c>
      <c r="Q566" s="3" t="s">
        <v>593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562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</row>
    <row r="567" spans="1:29" x14ac:dyDescent="0.3">
      <c r="A567" s="5">
        <v>906</v>
      </c>
      <c r="B567" s="6" t="s">
        <v>537</v>
      </c>
      <c r="C567" s="3" t="s">
        <v>562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8"/>
        <v>1</v>
      </c>
      <c r="N567" s="3">
        <f t="shared" si="109"/>
        <v>1</v>
      </c>
      <c r="O567" s="3" t="s">
        <v>58</v>
      </c>
      <c r="P567" s="3" t="s">
        <v>58</v>
      </c>
      <c r="Q567" s="3" t="s">
        <v>594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562</v>
      </c>
      <c r="W567" s="3" t="s">
        <v>73</v>
      </c>
      <c r="X567" s="3" t="s">
        <v>74</v>
      </c>
      <c r="Y567" s="3" t="s">
        <v>75</v>
      </c>
      <c r="Z567" s="3" t="s">
        <v>76</v>
      </c>
      <c r="AA567" s="3" t="s">
        <v>77</v>
      </c>
      <c r="AB567" s="3" t="s">
        <v>43</v>
      </c>
      <c r="AC567" s="3" t="s">
        <v>66</v>
      </c>
    </row>
    <row r="568" spans="1:29" x14ac:dyDescent="0.3">
      <c r="A568" s="5">
        <v>907</v>
      </c>
      <c r="B568" s="6" t="s">
        <v>538</v>
      </c>
      <c r="C568" s="3" t="s">
        <v>562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8"/>
        <v>1</v>
      </c>
      <c r="N568" s="3">
        <f t="shared" si="109"/>
        <v>1</v>
      </c>
      <c r="O568" s="3" t="s">
        <v>58</v>
      </c>
      <c r="P568" s="3" t="s">
        <v>58</v>
      </c>
      <c r="Q568" s="3" t="s">
        <v>595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562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</row>
    <row r="569" spans="1:29" x14ac:dyDescent="0.3">
      <c r="A569" s="5">
        <v>908</v>
      </c>
      <c r="B569" s="6" t="s">
        <v>539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8"/>
        <v>1</v>
      </c>
      <c r="N569" s="3">
        <f t="shared" si="109"/>
        <v>1</v>
      </c>
      <c r="O569" s="3" t="s">
        <v>58</v>
      </c>
      <c r="P569" s="3" t="s">
        <v>58</v>
      </c>
      <c r="Q569" s="3" t="s">
        <v>596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633</v>
      </c>
      <c r="AB569" s="3" t="s">
        <v>43</v>
      </c>
      <c r="AC569" s="3" t="s">
        <v>66</v>
      </c>
    </row>
    <row r="570" spans="1:29" x14ac:dyDescent="0.3">
      <c r="A570" s="3" t="s">
        <v>520</v>
      </c>
      <c r="B570" s="3" t="s">
        <v>521</v>
      </c>
      <c r="C570" s="3" t="s">
        <v>522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8"/>
        <v>1</v>
      </c>
      <c r="N570" s="3">
        <f t="shared" si="109"/>
        <v>1</v>
      </c>
      <c r="O570" s="3">
        <v>0</v>
      </c>
      <c r="P570" s="3">
        <v>0</v>
      </c>
      <c r="Q570" s="3" t="s">
        <v>597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522</v>
      </c>
      <c r="W570" s="3" t="s">
        <v>73</v>
      </c>
      <c r="X570" s="3" t="s">
        <v>74</v>
      </c>
      <c r="Y570" s="3" t="s">
        <v>75</v>
      </c>
      <c r="Z570" s="3" t="s">
        <v>86</v>
      </c>
      <c r="AA570" s="3" t="s">
        <v>87</v>
      </c>
      <c r="AB570" s="3" t="s">
        <v>43</v>
      </c>
      <c r="AC570" s="3" t="s">
        <v>66</v>
      </c>
    </row>
    <row r="571" spans="1:29" x14ac:dyDescent="0.3">
      <c r="A571" s="3" t="s">
        <v>520</v>
      </c>
      <c r="B571" s="3" t="s">
        <v>521</v>
      </c>
      <c r="C571" s="3" t="s">
        <v>522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8"/>
        <v>1</v>
      </c>
      <c r="N571" s="3">
        <f t="shared" si="109"/>
        <v>1</v>
      </c>
      <c r="O571" s="3">
        <v>0</v>
      </c>
      <c r="P571" s="3">
        <v>0</v>
      </c>
      <c r="Q571" s="3" t="s">
        <v>598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522</v>
      </c>
      <c r="W571" s="3" t="s">
        <v>73</v>
      </c>
      <c r="X571" s="3" t="s">
        <v>74</v>
      </c>
      <c r="Y571" s="3" t="s">
        <v>75</v>
      </c>
      <c r="Z571" s="3" t="s">
        <v>86</v>
      </c>
      <c r="AA571" s="3" t="s">
        <v>87</v>
      </c>
      <c r="AB571" s="3" t="s">
        <v>43</v>
      </c>
      <c r="AC571" s="3" t="s">
        <v>66</v>
      </c>
    </row>
    <row r="572" spans="1:29" x14ac:dyDescent="0.3">
      <c r="A572" s="3" t="s">
        <v>523</v>
      </c>
      <c r="B572" s="3" t="s">
        <v>653</v>
      </c>
      <c r="C572" s="3" t="s">
        <v>556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8"/>
        <v>1</v>
      </c>
      <c r="N572" s="3">
        <f t="shared" si="109"/>
        <v>1</v>
      </c>
      <c r="O572" s="3" t="s">
        <v>58</v>
      </c>
      <c r="P572" s="3" t="s">
        <v>58</v>
      </c>
      <c r="Q572" s="3" t="s">
        <v>599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556</v>
      </c>
      <c r="W572" s="3" t="s">
        <v>112</v>
      </c>
      <c r="X572" s="3" t="s">
        <v>113</v>
      </c>
      <c r="Y572" s="3" t="s">
        <v>632</v>
      </c>
      <c r="Z572" s="3" t="s">
        <v>63</v>
      </c>
      <c r="AA572" s="3" t="s">
        <v>334</v>
      </c>
      <c r="AB572" s="3" t="s">
        <v>43</v>
      </c>
      <c r="AC572" s="3" t="s">
        <v>66</v>
      </c>
    </row>
    <row r="573" spans="1:29" x14ac:dyDescent="0.3">
      <c r="A573" s="3" t="s">
        <v>523</v>
      </c>
      <c r="B573" s="3" t="s">
        <v>653</v>
      </c>
      <c r="C573" s="3" t="s">
        <v>556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8"/>
        <v>1</v>
      </c>
      <c r="N573" s="3">
        <f t="shared" si="109"/>
        <v>1</v>
      </c>
      <c r="O573" s="3" t="s">
        <v>58</v>
      </c>
      <c r="P573" s="3" t="s">
        <v>58</v>
      </c>
      <c r="Q573" s="3" t="s">
        <v>651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556</v>
      </c>
      <c r="W573" s="3" t="s">
        <v>112</v>
      </c>
      <c r="X573" s="3" t="s">
        <v>113</v>
      </c>
      <c r="Y573" s="3" t="s">
        <v>632</v>
      </c>
      <c r="Z573" s="3" t="s">
        <v>63</v>
      </c>
      <c r="AA573" s="3" t="s">
        <v>334</v>
      </c>
      <c r="AB573" s="3" t="s">
        <v>43</v>
      </c>
      <c r="AC573" s="3" t="s">
        <v>66</v>
      </c>
    </row>
    <row r="574" spans="1:29" x14ac:dyDescent="0.3">
      <c r="A574" s="3">
        <v>1</v>
      </c>
      <c r="B574" s="3" t="s">
        <v>662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518</v>
      </c>
      <c r="I574" s="3" t="s">
        <v>518</v>
      </c>
      <c r="J574" s="3"/>
      <c r="K574" s="9">
        <v>100</v>
      </c>
      <c r="L574" s="9">
        <v>100</v>
      </c>
      <c r="M574" s="3">
        <f t="shared" si="108"/>
        <v>1</v>
      </c>
      <c r="N574" s="3">
        <f t="shared" si="109"/>
        <v>1</v>
      </c>
      <c r="O574" s="3" t="s">
        <v>58</v>
      </c>
      <c r="P574" s="3" t="s">
        <v>58</v>
      </c>
      <c r="Q574" s="3" t="s">
        <v>600</v>
      </c>
      <c r="R574" s="3">
        <v>0</v>
      </c>
      <c r="S574" s="3">
        <v>0</v>
      </c>
      <c r="T574" s="3" t="s">
        <v>518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</row>
    <row r="575" spans="1:29" x14ac:dyDescent="0.3">
      <c r="A575" s="3">
        <v>2</v>
      </c>
      <c r="B575" s="3" t="s">
        <v>524</v>
      </c>
      <c r="C575" s="3" t="s">
        <v>556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518</v>
      </c>
      <c r="I575" s="3" t="s">
        <v>518</v>
      </c>
      <c r="J575" s="3"/>
      <c r="K575" s="3">
        <v>100</v>
      </c>
      <c r="L575" s="3">
        <v>100</v>
      </c>
      <c r="M575" s="3">
        <f t="shared" si="108"/>
        <v>1</v>
      </c>
      <c r="N575" s="3">
        <f t="shared" si="109"/>
        <v>1</v>
      </c>
      <c r="O575" s="3" t="s">
        <v>58</v>
      </c>
      <c r="P575" s="3" t="s">
        <v>58</v>
      </c>
      <c r="Q575" s="3" t="s">
        <v>601</v>
      </c>
      <c r="R575" s="3">
        <v>0</v>
      </c>
      <c r="S575" s="3">
        <v>0</v>
      </c>
      <c r="T575" s="3" t="s">
        <v>518</v>
      </c>
      <c r="U575" s="3" t="s">
        <v>37</v>
      </c>
      <c r="V575" s="3" t="s">
        <v>556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626</v>
      </c>
      <c r="AB575" s="3" t="s">
        <v>43</v>
      </c>
      <c r="AC575" s="3" t="s">
        <v>66</v>
      </c>
    </row>
    <row r="576" spans="1:29" x14ac:dyDescent="0.3">
      <c r="A576" s="3">
        <v>3</v>
      </c>
      <c r="B576" s="3" t="s">
        <v>525</v>
      </c>
      <c r="C576" s="3" t="s">
        <v>557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518</v>
      </c>
      <c r="I576" s="3" t="s">
        <v>518</v>
      </c>
      <c r="J576" s="3"/>
      <c r="K576" s="9">
        <v>100</v>
      </c>
      <c r="L576" s="9">
        <v>100</v>
      </c>
      <c r="M576" s="3">
        <f t="shared" si="108"/>
        <v>1</v>
      </c>
      <c r="N576" s="3">
        <f t="shared" si="109"/>
        <v>1</v>
      </c>
      <c r="O576" s="3" t="s">
        <v>58</v>
      </c>
      <c r="P576" s="3" t="s">
        <v>58</v>
      </c>
      <c r="Q576" s="3" t="s">
        <v>602</v>
      </c>
      <c r="R576" s="3">
        <v>0</v>
      </c>
      <c r="S576" s="3">
        <v>0</v>
      </c>
      <c r="T576" s="3" t="s">
        <v>518</v>
      </c>
      <c r="U576" s="3" t="s">
        <v>37</v>
      </c>
      <c r="V576" s="3" t="s">
        <v>557</v>
      </c>
      <c r="W576" s="3" t="s">
        <v>60</v>
      </c>
      <c r="X576" s="3" t="s">
        <v>262</v>
      </c>
      <c r="Y576" s="3" t="s">
        <v>627</v>
      </c>
      <c r="Z576" s="3" t="s">
        <v>101</v>
      </c>
      <c r="AA576" s="3" t="s">
        <v>628</v>
      </c>
      <c r="AB576" s="3" t="s">
        <v>43</v>
      </c>
      <c r="AC576" s="3" t="s">
        <v>66</v>
      </c>
    </row>
    <row r="577" spans="1:29" x14ac:dyDescent="0.3">
      <c r="A577" s="3">
        <v>4</v>
      </c>
      <c r="B577" s="3" t="s">
        <v>526</v>
      </c>
      <c r="C577" s="3" t="s">
        <v>558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518</v>
      </c>
      <c r="I577" s="3" t="s">
        <v>518</v>
      </c>
      <c r="J577" s="3"/>
      <c r="K577" s="9">
        <v>100</v>
      </c>
      <c r="L577" s="9">
        <v>100</v>
      </c>
      <c r="M577" s="3">
        <f t="shared" si="108"/>
        <v>1</v>
      </c>
      <c r="N577" s="3">
        <f t="shared" si="109"/>
        <v>1</v>
      </c>
      <c r="O577" s="3"/>
      <c r="P577" s="3"/>
      <c r="Q577" s="3" t="s">
        <v>647</v>
      </c>
      <c r="R577" s="3">
        <v>0</v>
      </c>
      <c r="S577" s="3">
        <v>0</v>
      </c>
      <c r="T577" s="3" t="s">
        <v>518</v>
      </c>
      <c r="U577" s="3" t="s">
        <v>37</v>
      </c>
      <c r="V577" s="3" t="s">
        <v>558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</row>
    <row r="578" spans="1:29" x14ac:dyDescent="0.3">
      <c r="A578" s="3">
        <v>6</v>
      </c>
      <c r="B578" s="3" t="s">
        <v>528</v>
      </c>
      <c r="C578" s="3" t="s">
        <v>559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518</v>
      </c>
      <c r="I578" s="3" t="s">
        <v>518</v>
      </c>
      <c r="J578" s="3"/>
      <c r="K578" s="9">
        <v>100</v>
      </c>
      <c r="L578" s="9">
        <v>100</v>
      </c>
      <c r="M578" s="3">
        <f t="shared" si="108"/>
        <v>1</v>
      </c>
      <c r="N578" s="3">
        <f t="shared" si="109"/>
        <v>1</v>
      </c>
      <c r="O578" s="3" t="s">
        <v>58</v>
      </c>
      <c r="P578" s="3" t="s">
        <v>58</v>
      </c>
      <c r="Q578" s="3" t="s">
        <v>603</v>
      </c>
      <c r="R578" s="3">
        <v>0</v>
      </c>
      <c r="S578" s="3">
        <v>0</v>
      </c>
      <c r="T578" s="3" t="s">
        <v>518</v>
      </c>
      <c r="U578" s="3" t="s">
        <v>37</v>
      </c>
      <c r="V578" s="3" t="s">
        <v>559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</row>
    <row r="579" spans="1:29" x14ac:dyDescent="0.3">
      <c r="A579" s="3">
        <v>7</v>
      </c>
      <c r="B579" s="3" t="s">
        <v>529</v>
      </c>
      <c r="C579" s="3" t="s">
        <v>559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518</v>
      </c>
      <c r="I579" s="3" t="s">
        <v>518</v>
      </c>
      <c r="J579" s="3"/>
      <c r="K579" s="9">
        <v>100</v>
      </c>
      <c r="L579" s="9">
        <v>100</v>
      </c>
      <c r="M579" s="3">
        <f t="shared" si="108"/>
        <v>1</v>
      </c>
      <c r="N579" s="3">
        <f t="shared" si="109"/>
        <v>1</v>
      </c>
      <c r="O579" s="3" t="s">
        <v>58</v>
      </c>
      <c r="P579" s="3" t="s">
        <v>58</v>
      </c>
      <c r="Q579" s="3" t="s">
        <v>604</v>
      </c>
      <c r="R579" s="3">
        <v>0</v>
      </c>
      <c r="S579" s="3">
        <v>0</v>
      </c>
      <c r="T579" s="3" t="s">
        <v>518</v>
      </c>
      <c r="U579" s="3" t="s">
        <v>37</v>
      </c>
      <c r="V579" s="3" t="s">
        <v>559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</row>
    <row r="580" spans="1:29" x14ac:dyDescent="0.3">
      <c r="A580" s="3">
        <v>9</v>
      </c>
      <c r="B580" s="3" t="s">
        <v>666</v>
      </c>
      <c r="C580" s="3" t="s">
        <v>559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518</v>
      </c>
      <c r="I580" s="3" t="s">
        <v>518</v>
      </c>
      <c r="J580" s="3"/>
      <c r="K580" s="9">
        <v>100</v>
      </c>
      <c r="L580" s="9">
        <v>100</v>
      </c>
      <c r="M580" s="3">
        <f t="shared" si="108"/>
        <v>1</v>
      </c>
      <c r="N580" s="3">
        <f t="shared" si="109"/>
        <v>1</v>
      </c>
      <c r="O580" s="3" t="s">
        <v>58</v>
      </c>
      <c r="P580" s="3" t="s">
        <v>58</v>
      </c>
      <c r="Q580" s="3" t="s">
        <v>605</v>
      </c>
      <c r="R580" s="3">
        <v>0</v>
      </c>
      <c r="S580" s="3">
        <v>0</v>
      </c>
      <c r="T580" s="3" t="s">
        <v>518</v>
      </c>
      <c r="U580" s="3" t="s">
        <v>37</v>
      </c>
      <c r="V580" s="3" t="s">
        <v>559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</row>
    <row r="581" spans="1:29" x14ac:dyDescent="0.3">
      <c r="A581" s="3">
        <v>10</v>
      </c>
      <c r="B581" s="3" t="s">
        <v>531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518</v>
      </c>
      <c r="I581" s="3" t="s">
        <v>518</v>
      </c>
      <c r="J581" s="3"/>
      <c r="K581" s="9">
        <v>100</v>
      </c>
      <c r="L581" s="9">
        <v>100</v>
      </c>
      <c r="M581" s="3">
        <f t="shared" si="108"/>
        <v>1</v>
      </c>
      <c r="N581" s="3">
        <f t="shared" si="109"/>
        <v>1</v>
      </c>
      <c r="O581" s="3">
        <v>0</v>
      </c>
      <c r="P581" s="3">
        <v>0</v>
      </c>
      <c r="Q581" s="3" t="s">
        <v>606</v>
      </c>
      <c r="R581" s="3">
        <v>0</v>
      </c>
      <c r="S581" s="3">
        <v>0</v>
      </c>
      <c r="T581" s="3" t="s">
        <v>518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75</v>
      </c>
      <c r="Z581" s="3" t="s">
        <v>86</v>
      </c>
      <c r="AA581" s="3" t="s">
        <v>87</v>
      </c>
      <c r="AB581" s="3" t="s">
        <v>43</v>
      </c>
      <c r="AC581" s="3" t="s">
        <v>66</v>
      </c>
    </row>
    <row r="582" spans="1:29" x14ac:dyDescent="0.3">
      <c r="A582" s="3">
        <v>11</v>
      </c>
      <c r="B582" s="3" t="s">
        <v>663</v>
      </c>
      <c r="C582" s="3" t="s">
        <v>560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518</v>
      </c>
      <c r="I582" s="3" t="s">
        <v>518</v>
      </c>
      <c r="J582" s="3"/>
      <c r="K582" s="9">
        <v>0</v>
      </c>
      <c r="L582" s="9">
        <v>0</v>
      </c>
      <c r="M582" s="3"/>
      <c r="N582" s="3"/>
      <c r="O582" s="3" t="s">
        <v>644</v>
      </c>
      <c r="P582" s="3" t="s">
        <v>644</v>
      </c>
      <c r="Q582" s="3" t="s">
        <v>607</v>
      </c>
      <c r="R582" s="3">
        <v>0</v>
      </c>
      <c r="S582" s="3">
        <v>0</v>
      </c>
      <c r="T582" s="3" t="s">
        <v>518</v>
      </c>
      <c r="U582" s="3" t="s">
        <v>37</v>
      </c>
      <c r="V582" s="3" t="s">
        <v>560</v>
      </c>
      <c r="W582" s="3" t="s">
        <v>312</v>
      </c>
      <c r="X582" s="3" t="s">
        <v>629</v>
      </c>
      <c r="Y582" s="3" t="s">
        <v>630</v>
      </c>
      <c r="Z582" s="3" t="s">
        <v>86</v>
      </c>
      <c r="AA582" s="3" t="s">
        <v>87</v>
      </c>
      <c r="AB582" s="3" t="s">
        <v>43</v>
      </c>
      <c r="AC582" s="3" t="s">
        <v>66</v>
      </c>
    </row>
    <row r="583" spans="1:29" x14ac:dyDescent="0.3">
      <c r="A583" s="3">
        <v>12</v>
      </c>
      <c r="B583" s="3" t="s">
        <v>648</v>
      </c>
      <c r="C583" s="3" t="s">
        <v>560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3"/>
      <c r="N583" s="3"/>
      <c r="O583" s="3" t="s">
        <v>644</v>
      </c>
      <c r="P583" s="3" t="s">
        <v>644</v>
      </c>
      <c r="Q583" s="3" t="s">
        <v>649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560</v>
      </c>
      <c r="W583" s="3" t="s">
        <v>312</v>
      </c>
      <c r="X583" s="3" t="s">
        <v>629</v>
      </c>
      <c r="Y583" s="3" t="s">
        <v>631</v>
      </c>
      <c r="Z583" s="3" t="s">
        <v>86</v>
      </c>
      <c r="AA583" s="3" t="s">
        <v>87</v>
      </c>
      <c r="AB583" s="3" t="s">
        <v>43</v>
      </c>
      <c r="AC583" s="3" t="s">
        <v>66</v>
      </c>
    </row>
    <row r="584" spans="1:29" x14ac:dyDescent="0.3">
      <c r="A584" s="3">
        <v>12</v>
      </c>
      <c r="B584" s="3" t="s">
        <v>648</v>
      </c>
      <c r="C584" s="3" t="s">
        <v>560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518</v>
      </c>
      <c r="I584" s="3" t="s">
        <v>518</v>
      </c>
      <c r="J584" s="3"/>
      <c r="K584" s="9"/>
      <c r="L584" s="9"/>
      <c r="M584" s="3"/>
      <c r="N584" s="3"/>
      <c r="O584" s="3"/>
      <c r="P584" s="3"/>
      <c r="Q584" s="3" t="s">
        <v>608</v>
      </c>
      <c r="R584" s="3">
        <v>0</v>
      </c>
      <c r="S584" s="3">
        <v>0</v>
      </c>
      <c r="T584" s="3" t="s">
        <v>518</v>
      </c>
      <c r="U584" s="3" t="s">
        <v>37</v>
      </c>
      <c r="V584" s="3" t="s">
        <v>560</v>
      </c>
      <c r="W584" s="3" t="s">
        <v>312</v>
      </c>
      <c r="X584" s="3" t="s">
        <v>629</v>
      </c>
      <c r="Y584" s="3" t="s">
        <v>631</v>
      </c>
      <c r="Z584" s="3" t="s">
        <v>86</v>
      </c>
      <c r="AA584" s="3" t="s">
        <v>87</v>
      </c>
      <c r="AB584" s="3" t="s">
        <v>43</v>
      </c>
      <c r="AC584" s="3" t="s">
        <v>66</v>
      </c>
    </row>
    <row r="585" spans="1:29" x14ac:dyDescent="0.3">
      <c r="A585" s="3">
        <v>13</v>
      </c>
      <c r="B585" s="3" t="s">
        <v>652</v>
      </c>
      <c r="C585" s="3" t="s">
        <v>561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518</v>
      </c>
      <c r="I585" s="3" t="s">
        <v>518</v>
      </c>
      <c r="J585" s="3"/>
      <c r="K585" s="3">
        <v>100</v>
      </c>
      <c r="L585" s="3">
        <v>100</v>
      </c>
      <c r="M585" s="3">
        <f t="shared" si="108"/>
        <v>1</v>
      </c>
      <c r="N585" s="3">
        <f t="shared" si="109"/>
        <v>1</v>
      </c>
      <c r="O585" s="3" t="s">
        <v>58</v>
      </c>
      <c r="P585" s="3" t="s">
        <v>58</v>
      </c>
      <c r="Q585" s="3" t="s">
        <v>609</v>
      </c>
      <c r="R585" s="3">
        <v>0</v>
      </c>
      <c r="S585" s="3">
        <v>0</v>
      </c>
      <c r="T585" s="3" t="s">
        <v>518</v>
      </c>
      <c r="U585" s="3" t="s">
        <v>37</v>
      </c>
      <c r="V585" s="3" t="s">
        <v>561</v>
      </c>
      <c r="W585" s="3" t="s">
        <v>112</v>
      </c>
      <c r="X585" s="3" t="s">
        <v>113</v>
      </c>
      <c r="Y585" s="3" t="s">
        <v>632</v>
      </c>
      <c r="Z585" s="3" t="s">
        <v>86</v>
      </c>
      <c r="AA585" s="3" t="s">
        <v>87</v>
      </c>
      <c r="AB585" s="3" t="s">
        <v>43</v>
      </c>
      <c r="AC585" s="3" t="s">
        <v>66</v>
      </c>
    </row>
    <row r="586" spans="1:29" x14ac:dyDescent="0.3">
      <c r="A586" s="3" t="s">
        <v>520</v>
      </c>
      <c r="B586" s="3" t="s">
        <v>521</v>
      </c>
      <c r="C586" s="3" t="s">
        <v>522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518</v>
      </c>
      <c r="I586" s="3" t="s">
        <v>518</v>
      </c>
      <c r="J586" s="3"/>
      <c r="K586" s="3">
        <v>100</v>
      </c>
      <c r="L586" s="3">
        <v>100</v>
      </c>
      <c r="M586" s="3">
        <f t="shared" si="108"/>
        <v>1</v>
      </c>
      <c r="N586" s="3">
        <f t="shared" si="109"/>
        <v>1</v>
      </c>
      <c r="O586" s="3">
        <v>0</v>
      </c>
      <c r="P586" s="3">
        <v>0</v>
      </c>
      <c r="Q586" s="3" t="s">
        <v>610</v>
      </c>
      <c r="R586" s="3">
        <v>0</v>
      </c>
      <c r="S586" s="3">
        <v>0</v>
      </c>
      <c r="T586" s="3" t="s">
        <v>518</v>
      </c>
      <c r="U586" s="3" t="s">
        <v>37</v>
      </c>
      <c r="V586" s="3" t="s">
        <v>522</v>
      </c>
      <c r="W586" s="3" t="s">
        <v>73</v>
      </c>
      <c r="X586" s="3" t="s">
        <v>74</v>
      </c>
      <c r="Y586" s="3" t="s">
        <v>75</v>
      </c>
      <c r="Z586" s="3" t="s">
        <v>86</v>
      </c>
      <c r="AA586" s="3" t="s">
        <v>87</v>
      </c>
      <c r="AB586" s="3" t="s">
        <v>43</v>
      </c>
      <c r="AC586" s="3" t="s">
        <v>66</v>
      </c>
    </row>
    <row r="587" spans="1:29" x14ac:dyDescent="0.3">
      <c r="A587" s="3" t="s">
        <v>523</v>
      </c>
      <c r="B587" s="3" t="s">
        <v>653</v>
      </c>
      <c r="C587" s="3" t="s">
        <v>556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518</v>
      </c>
      <c r="I587" s="3" t="s">
        <v>518</v>
      </c>
      <c r="J587" s="3"/>
      <c r="K587" s="3">
        <v>100</v>
      </c>
      <c r="L587" s="3">
        <v>100</v>
      </c>
      <c r="M587" s="3">
        <f t="shared" si="108"/>
        <v>1</v>
      </c>
      <c r="N587" s="3">
        <f t="shared" si="109"/>
        <v>1</v>
      </c>
      <c r="O587" s="3" t="s">
        <v>58</v>
      </c>
      <c r="P587" s="3" t="s">
        <v>58</v>
      </c>
      <c r="Q587" s="3" t="s">
        <v>611</v>
      </c>
      <c r="R587" s="3">
        <v>0</v>
      </c>
      <c r="S587" s="3">
        <v>0</v>
      </c>
      <c r="T587" s="3" t="s">
        <v>518</v>
      </c>
      <c r="U587" s="3" t="s">
        <v>37</v>
      </c>
      <c r="V587" s="3" t="s">
        <v>556</v>
      </c>
      <c r="W587" s="3" t="s">
        <v>112</v>
      </c>
      <c r="X587" s="3" t="s">
        <v>113</v>
      </c>
      <c r="Y587" s="3" t="s">
        <v>632</v>
      </c>
      <c r="Z587" s="3" t="s">
        <v>63</v>
      </c>
      <c r="AA587" s="3" t="s">
        <v>334</v>
      </c>
      <c r="AB587" s="3" t="s">
        <v>43</v>
      </c>
      <c r="AC587" s="3" t="s">
        <v>66</v>
      </c>
    </row>
    <row r="588" spans="1:29" x14ac:dyDescent="0.3">
      <c r="A588" s="5">
        <v>900</v>
      </c>
      <c r="B588" s="6" t="s">
        <v>654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518</v>
      </c>
      <c r="I588" s="3" t="s">
        <v>518</v>
      </c>
      <c r="J588" s="3"/>
      <c r="K588" s="10">
        <v>100</v>
      </c>
      <c r="L588" s="10">
        <v>100</v>
      </c>
      <c r="M588" s="3">
        <f t="shared" si="108"/>
        <v>1</v>
      </c>
      <c r="N588" s="3">
        <f t="shared" si="109"/>
        <v>1</v>
      </c>
      <c r="O588" s="3" t="s">
        <v>58</v>
      </c>
      <c r="P588" s="3" t="s">
        <v>58</v>
      </c>
      <c r="Q588" s="3" t="s">
        <v>612</v>
      </c>
      <c r="R588" s="3">
        <v>0</v>
      </c>
      <c r="S588" s="3">
        <v>0</v>
      </c>
      <c r="T588" s="3" t="s">
        <v>518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632</v>
      </c>
      <c r="Z588" s="3" t="s">
        <v>63</v>
      </c>
      <c r="AA588" s="3" t="s">
        <v>633</v>
      </c>
      <c r="AB588" s="3" t="s">
        <v>43</v>
      </c>
      <c r="AC588" s="3" t="s">
        <v>66</v>
      </c>
    </row>
    <row r="589" spans="1:29" x14ac:dyDescent="0.3">
      <c r="A589" s="5">
        <v>901</v>
      </c>
      <c r="B589" s="6" t="s">
        <v>532</v>
      </c>
      <c r="C589" s="3" t="s">
        <v>562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518</v>
      </c>
      <c r="I589" s="3" t="s">
        <v>518</v>
      </c>
      <c r="J589" s="3"/>
      <c r="K589" s="11"/>
      <c r="L589" s="11"/>
      <c r="M589" s="3"/>
      <c r="N589" s="3"/>
      <c r="O589" s="3" t="s">
        <v>644</v>
      </c>
      <c r="P589" s="3" t="s">
        <v>644</v>
      </c>
      <c r="Q589" s="3" t="s">
        <v>613</v>
      </c>
      <c r="R589" s="3">
        <v>0</v>
      </c>
      <c r="S589" s="3">
        <v>0</v>
      </c>
      <c r="T589" s="3" t="s">
        <v>518</v>
      </c>
      <c r="U589" s="3" t="s">
        <v>37</v>
      </c>
      <c r="V589" s="3" t="s">
        <v>562</v>
      </c>
      <c r="W589" s="3" t="s">
        <v>312</v>
      </c>
      <c r="X589" s="3" t="s">
        <v>313</v>
      </c>
      <c r="Y589" s="3" t="s">
        <v>634</v>
      </c>
      <c r="Z589" s="3" t="s">
        <v>86</v>
      </c>
      <c r="AA589" s="3" t="s">
        <v>87</v>
      </c>
      <c r="AB589" s="3" t="s">
        <v>43</v>
      </c>
      <c r="AC589" s="3" t="s">
        <v>66</v>
      </c>
    </row>
    <row r="590" spans="1:29" x14ac:dyDescent="0.3">
      <c r="A590" s="5">
        <v>902</v>
      </c>
      <c r="B590" s="6" t="s">
        <v>533</v>
      </c>
      <c r="C590" s="3" t="s">
        <v>563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518</v>
      </c>
      <c r="I590" s="3" t="s">
        <v>518</v>
      </c>
      <c r="J590" s="3"/>
      <c r="K590" s="10">
        <v>100</v>
      </c>
      <c r="L590" s="10">
        <v>100</v>
      </c>
      <c r="M590" s="3">
        <f t="shared" si="108"/>
        <v>1</v>
      </c>
      <c r="N590" s="3">
        <f t="shared" si="109"/>
        <v>1</v>
      </c>
      <c r="O590" s="3"/>
      <c r="P590" s="3"/>
      <c r="Q590" s="3" t="s">
        <v>614</v>
      </c>
      <c r="R590" s="3">
        <v>0</v>
      </c>
      <c r="S590" s="3">
        <v>0</v>
      </c>
      <c r="T590" s="3" t="s">
        <v>518</v>
      </c>
      <c r="U590" s="3" t="s">
        <v>37</v>
      </c>
      <c r="V590" s="3" t="s">
        <v>563</v>
      </c>
      <c r="W590" s="3" t="s">
        <v>73</v>
      </c>
      <c r="X590" s="3" t="s">
        <v>74</v>
      </c>
      <c r="Y590" s="3" t="s">
        <v>75</v>
      </c>
      <c r="Z590" s="3" t="s">
        <v>76</v>
      </c>
      <c r="AA590" s="3" t="s">
        <v>77</v>
      </c>
      <c r="AB590" s="3" t="s">
        <v>43</v>
      </c>
      <c r="AC590" s="3" t="s">
        <v>66</v>
      </c>
    </row>
    <row r="591" spans="1:29" x14ac:dyDescent="0.3">
      <c r="A591" s="5">
        <v>903</v>
      </c>
      <c r="B591" s="6" t="s">
        <v>534</v>
      </c>
      <c r="C591" s="3" t="s">
        <v>564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518</v>
      </c>
      <c r="I591" s="3" t="s">
        <v>518</v>
      </c>
      <c r="J591" s="3"/>
      <c r="K591" s="10">
        <v>49</v>
      </c>
      <c r="L591" s="10">
        <v>49</v>
      </c>
      <c r="M591" s="3">
        <f t="shared" si="108"/>
        <v>1</v>
      </c>
      <c r="N591" s="3">
        <f t="shared" si="109"/>
        <v>1</v>
      </c>
      <c r="O591" s="3"/>
      <c r="P591" s="3"/>
      <c r="Q591" s="3" t="s">
        <v>615</v>
      </c>
      <c r="R591" s="3">
        <v>0</v>
      </c>
      <c r="S591" s="3">
        <v>0</v>
      </c>
      <c r="T591" s="3" t="s">
        <v>518</v>
      </c>
      <c r="U591" s="3" t="s">
        <v>37</v>
      </c>
      <c r="V591" s="3" t="s">
        <v>564</v>
      </c>
      <c r="W591" s="3" t="s">
        <v>112</v>
      </c>
      <c r="X591" s="3" t="s">
        <v>113</v>
      </c>
      <c r="Y591" s="3" t="s">
        <v>635</v>
      </c>
      <c r="Z591" s="3" t="s">
        <v>101</v>
      </c>
      <c r="AA591" s="3" t="s">
        <v>264</v>
      </c>
      <c r="AB591" s="3" t="s">
        <v>43</v>
      </c>
      <c r="AC591" s="3" t="s">
        <v>66</v>
      </c>
    </row>
    <row r="592" spans="1:29" x14ac:dyDescent="0.3">
      <c r="A592" s="5">
        <v>904</v>
      </c>
      <c r="B592" s="6" t="s">
        <v>535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518</v>
      </c>
      <c r="I592" s="3" t="s">
        <v>518</v>
      </c>
      <c r="J592" s="3"/>
      <c r="K592" s="10">
        <v>100</v>
      </c>
      <c r="L592" s="10">
        <v>100</v>
      </c>
      <c r="M592" s="3">
        <f t="shared" si="108"/>
        <v>1</v>
      </c>
      <c r="N592" s="3">
        <f t="shared" si="109"/>
        <v>1</v>
      </c>
      <c r="O592" s="3" t="s">
        <v>58</v>
      </c>
      <c r="P592" s="3" t="s">
        <v>58</v>
      </c>
      <c r="Q592" s="3" t="s">
        <v>616</v>
      </c>
      <c r="R592" s="3">
        <v>0</v>
      </c>
      <c r="S592" s="3">
        <v>0</v>
      </c>
      <c r="T592" s="3" t="s">
        <v>518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636</v>
      </c>
      <c r="Z592" s="3" t="s">
        <v>76</v>
      </c>
      <c r="AA592" s="3" t="s">
        <v>77</v>
      </c>
      <c r="AB592" s="3" t="s">
        <v>43</v>
      </c>
      <c r="AC592" s="3" t="s">
        <v>66</v>
      </c>
    </row>
    <row r="593" spans="1:29" x14ac:dyDescent="0.3">
      <c r="A593" s="5">
        <v>905</v>
      </c>
      <c r="B593" s="6" t="s">
        <v>536</v>
      </c>
      <c r="C593" s="3" t="s">
        <v>562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518</v>
      </c>
      <c r="I593" s="3" t="s">
        <v>518</v>
      </c>
      <c r="J593" s="3"/>
      <c r="K593" s="10">
        <v>100</v>
      </c>
      <c r="L593" s="10">
        <v>100</v>
      </c>
      <c r="M593" s="3">
        <f t="shared" si="108"/>
        <v>1</v>
      </c>
      <c r="N593" s="3">
        <f t="shared" si="109"/>
        <v>1</v>
      </c>
      <c r="O593" s="3" t="s">
        <v>58</v>
      </c>
      <c r="P593" s="3" t="s">
        <v>58</v>
      </c>
      <c r="Q593" s="3" t="s">
        <v>617</v>
      </c>
      <c r="R593" s="3">
        <v>0</v>
      </c>
      <c r="S593" s="3">
        <v>0</v>
      </c>
      <c r="T593" s="3" t="s">
        <v>518</v>
      </c>
      <c r="U593" s="3" t="s">
        <v>37</v>
      </c>
      <c r="V593" s="3" t="s">
        <v>562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</row>
    <row r="594" spans="1:29" x14ac:dyDescent="0.3">
      <c r="A594" s="5">
        <v>906</v>
      </c>
      <c r="B594" s="6" t="s">
        <v>537</v>
      </c>
      <c r="C594" s="3" t="s">
        <v>562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518</v>
      </c>
      <c r="I594" s="3" t="s">
        <v>518</v>
      </c>
      <c r="J594" s="3"/>
      <c r="K594" s="10">
        <v>100</v>
      </c>
      <c r="L594" s="10">
        <v>100</v>
      </c>
      <c r="M594" s="3">
        <f t="shared" si="108"/>
        <v>1</v>
      </c>
      <c r="N594" s="3">
        <f t="shared" si="109"/>
        <v>1</v>
      </c>
      <c r="O594" s="3" t="s">
        <v>58</v>
      </c>
      <c r="P594" s="3" t="s">
        <v>58</v>
      </c>
      <c r="Q594" s="3" t="s">
        <v>618</v>
      </c>
      <c r="R594" s="3">
        <v>0</v>
      </c>
      <c r="S594" s="3">
        <v>0</v>
      </c>
      <c r="T594" s="3" t="s">
        <v>518</v>
      </c>
      <c r="U594" s="3" t="s">
        <v>37</v>
      </c>
      <c r="V594" s="3" t="s">
        <v>562</v>
      </c>
      <c r="W594" s="3" t="s">
        <v>73</v>
      </c>
      <c r="X594" s="3" t="s">
        <v>74</v>
      </c>
      <c r="Y594" s="3" t="s">
        <v>75</v>
      </c>
      <c r="Z594" s="3" t="s">
        <v>76</v>
      </c>
      <c r="AA594" s="3" t="s">
        <v>77</v>
      </c>
      <c r="AB594" s="3" t="s">
        <v>43</v>
      </c>
      <c r="AC594" s="3" t="s">
        <v>66</v>
      </c>
    </row>
    <row r="595" spans="1:29" x14ac:dyDescent="0.3">
      <c r="A595" s="5">
        <v>907</v>
      </c>
      <c r="B595" s="6" t="s">
        <v>538</v>
      </c>
      <c r="C595" s="3" t="s">
        <v>562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518</v>
      </c>
      <c r="I595" s="3" t="s">
        <v>518</v>
      </c>
      <c r="J595" s="3"/>
      <c r="K595" s="10">
        <v>100</v>
      </c>
      <c r="L595" s="10">
        <v>100</v>
      </c>
      <c r="M595" s="3">
        <f t="shared" si="108"/>
        <v>1</v>
      </c>
      <c r="N595" s="3">
        <f t="shared" si="109"/>
        <v>1</v>
      </c>
      <c r="O595" s="3" t="s">
        <v>58</v>
      </c>
      <c r="P595" s="3" t="s">
        <v>58</v>
      </c>
      <c r="Q595" s="3" t="s">
        <v>619</v>
      </c>
      <c r="R595" s="3">
        <v>0</v>
      </c>
      <c r="S595" s="3">
        <v>0</v>
      </c>
      <c r="T595" s="3" t="s">
        <v>518</v>
      </c>
      <c r="U595" s="3" t="s">
        <v>37</v>
      </c>
      <c r="V595" s="3" t="s">
        <v>562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</row>
    <row r="596" spans="1:29" x14ac:dyDescent="0.3">
      <c r="A596" s="5">
        <v>908</v>
      </c>
      <c r="B596" s="6" t="s">
        <v>539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518</v>
      </c>
      <c r="I596" s="3" t="s">
        <v>518</v>
      </c>
      <c r="J596" s="3"/>
      <c r="K596" s="10">
        <v>100</v>
      </c>
      <c r="L596" s="10">
        <v>100</v>
      </c>
      <c r="M596" s="3">
        <f t="shared" si="108"/>
        <v>1</v>
      </c>
      <c r="N596" s="3">
        <f t="shared" si="109"/>
        <v>1</v>
      </c>
      <c r="O596" s="3" t="s">
        <v>58</v>
      </c>
      <c r="P596" s="3" t="s">
        <v>58</v>
      </c>
      <c r="Q596" s="3" t="s">
        <v>620</v>
      </c>
      <c r="R596" s="3">
        <v>0</v>
      </c>
      <c r="S596" s="3">
        <v>0</v>
      </c>
      <c r="T596" s="3" t="s">
        <v>518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633</v>
      </c>
      <c r="AB596" s="3" t="s">
        <v>43</v>
      </c>
      <c r="AC596" s="3" t="s">
        <v>66</v>
      </c>
    </row>
    <row r="597" spans="1:29" x14ac:dyDescent="0.3">
      <c r="A597" s="3">
        <v>921</v>
      </c>
      <c r="B597" s="3" t="s">
        <v>540</v>
      </c>
      <c r="C597" s="3" t="s">
        <v>559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8"/>
        <v>1</v>
      </c>
      <c r="N597" s="3">
        <f t="shared" si="109"/>
        <v>1</v>
      </c>
      <c r="O597" s="3" t="s">
        <v>58</v>
      </c>
      <c r="P597" s="3" t="s">
        <v>58</v>
      </c>
      <c r="Q597" s="3" t="s">
        <v>621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559</v>
      </c>
      <c r="W597" s="3" t="s">
        <v>60</v>
      </c>
      <c r="X597" s="3" t="s">
        <v>262</v>
      </c>
      <c r="Y597" s="3" t="s">
        <v>637</v>
      </c>
      <c r="Z597" s="3"/>
      <c r="AA597" s="3"/>
      <c r="AB597" s="3" t="s">
        <v>43</v>
      </c>
      <c r="AC597" s="3" t="s">
        <v>66</v>
      </c>
    </row>
    <row r="598" spans="1:29" x14ac:dyDescent="0.3">
      <c r="A598" s="3">
        <v>925</v>
      </c>
      <c r="B598" s="3" t="s">
        <v>541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8"/>
        <v>1</v>
      </c>
      <c r="N598" s="3">
        <f t="shared" si="109"/>
        <v>1</v>
      </c>
      <c r="O598" s="3" t="s">
        <v>58</v>
      </c>
      <c r="P598" s="3" t="s">
        <v>58</v>
      </c>
      <c r="Q598" s="3" t="s">
        <v>622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</row>
    <row r="599" spans="1:29" x14ac:dyDescent="0.3">
      <c r="A599" s="3">
        <v>920</v>
      </c>
      <c r="B599" s="3" t="s">
        <v>542</v>
      </c>
      <c r="C599" s="3" t="s">
        <v>559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8"/>
        <v>1</v>
      </c>
      <c r="N599" s="3">
        <f t="shared" si="109"/>
        <v>1</v>
      </c>
      <c r="O599" s="3"/>
      <c r="P599" s="3"/>
      <c r="Q599" s="3" t="s">
        <v>623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559</v>
      </c>
      <c r="W599" s="3" t="s">
        <v>60</v>
      </c>
      <c r="X599" s="3" t="s">
        <v>262</v>
      </c>
      <c r="Y599" s="3" t="s">
        <v>637</v>
      </c>
      <c r="Z599" s="3"/>
      <c r="AA599" s="3"/>
      <c r="AB599" s="3" t="s">
        <v>43</v>
      </c>
      <c r="AC599" s="3" t="s">
        <v>66</v>
      </c>
    </row>
    <row r="600" spans="1:29" x14ac:dyDescent="0.3">
      <c r="A600" s="5">
        <v>903</v>
      </c>
      <c r="B600" s="6" t="s">
        <v>543</v>
      </c>
      <c r="C600" s="3" t="s">
        <v>564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8"/>
        <v>0.99</v>
      </c>
      <c r="N600" s="3">
        <f t="shared" si="109"/>
        <v>0.99</v>
      </c>
      <c r="O600" s="3" t="s">
        <v>58</v>
      </c>
      <c r="P600" s="3" t="s">
        <v>58</v>
      </c>
      <c r="Q600" s="3" t="s">
        <v>664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564</v>
      </c>
      <c r="W600" s="3" t="s">
        <v>112</v>
      </c>
      <c r="X600" s="3" t="s">
        <v>113</v>
      </c>
      <c r="Y600" s="3" t="s">
        <v>635</v>
      </c>
      <c r="Z600" s="3" t="s">
        <v>101</v>
      </c>
      <c r="AA600" s="3" t="s">
        <v>264</v>
      </c>
      <c r="AB600" s="3" t="s">
        <v>43</v>
      </c>
      <c r="AC600" s="3" t="s">
        <v>66</v>
      </c>
    </row>
    <row r="601" spans="1:29" x14ac:dyDescent="0.3">
      <c r="A601" s="3">
        <v>909</v>
      </c>
      <c r="B601" s="3" t="s">
        <v>544</v>
      </c>
      <c r="C601" s="3" t="s">
        <v>522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8"/>
        <v>1</v>
      </c>
      <c r="N601" s="3">
        <f t="shared" si="109"/>
        <v>1</v>
      </c>
      <c r="O601" s="3">
        <v>0</v>
      </c>
      <c r="P601" s="3">
        <v>0</v>
      </c>
      <c r="Q601" s="3" t="s">
        <v>638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522</v>
      </c>
      <c r="W601" s="3" t="s">
        <v>73</v>
      </c>
      <c r="X601" s="3" t="s">
        <v>74</v>
      </c>
      <c r="Y601" s="3" t="s">
        <v>75</v>
      </c>
      <c r="Z601" s="3" t="s">
        <v>86</v>
      </c>
      <c r="AA601" s="3" t="s">
        <v>87</v>
      </c>
      <c r="AB601" s="3" t="s">
        <v>43</v>
      </c>
      <c r="AC601" s="3" t="s">
        <v>66</v>
      </c>
    </row>
    <row r="602" spans="1:29" x14ac:dyDescent="0.3">
      <c r="A602" s="3">
        <v>910</v>
      </c>
      <c r="B602" s="3" t="s">
        <v>545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566</v>
      </c>
      <c r="I602" s="7" t="s">
        <v>465</v>
      </c>
      <c r="J602" s="3"/>
      <c r="K602" s="3">
        <v>76</v>
      </c>
      <c r="L602" s="3">
        <v>77</v>
      </c>
      <c r="M602" s="3">
        <f t="shared" si="108"/>
        <v>1</v>
      </c>
      <c r="N602" s="3">
        <f>IF(L602/K602&gt;1,1,L602/K602)</f>
        <v>1</v>
      </c>
      <c r="O602" s="3" t="s">
        <v>58</v>
      </c>
      <c r="P602" s="3" t="s">
        <v>58</v>
      </c>
      <c r="Q602" s="3" t="s">
        <v>655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75</v>
      </c>
      <c r="Z602" s="3" t="s">
        <v>86</v>
      </c>
      <c r="AA602" s="3" t="s">
        <v>87</v>
      </c>
      <c r="AB602" s="3" t="s">
        <v>43</v>
      </c>
      <c r="AC602" s="3" t="s">
        <v>66</v>
      </c>
    </row>
    <row r="603" spans="1:29" x14ac:dyDescent="0.3">
      <c r="A603" s="3">
        <v>911</v>
      </c>
      <c r="B603" s="3" t="s">
        <v>546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ref="M603:M616" si="110">IF(L603/K603&gt;1,1,L603/K603)</f>
        <v>1</v>
      </c>
      <c r="N603" s="3">
        <f>IF(L603/K603&gt;1,1,L603/K603)</f>
        <v>1</v>
      </c>
      <c r="O603" s="3" t="s">
        <v>58</v>
      </c>
      <c r="P603" s="3" t="s">
        <v>58</v>
      </c>
      <c r="Q603" s="3" t="s">
        <v>657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75</v>
      </c>
      <c r="Z603" s="3" t="s">
        <v>86</v>
      </c>
      <c r="AA603" s="3" t="s">
        <v>87</v>
      </c>
      <c r="AB603" s="3" t="s">
        <v>43</v>
      </c>
      <c r="AC603" s="3" t="s">
        <v>66</v>
      </c>
    </row>
    <row r="604" spans="1:29" x14ac:dyDescent="0.3">
      <c r="A604" s="3">
        <v>912</v>
      </c>
      <c r="B604" s="3" t="s">
        <v>547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10"/>
        <v>0.93333333333333335</v>
      </c>
      <c r="N604" s="3">
        <f t="shared" ref="N604:N616" si="111">IF(L604/K604&gt;1,1,L604/K604)</f>
        <v>0.93333333333333335</v>
      </c>
      <c r="O604" s="3" t="s">
        <v>58</v>
      </c>
      <c r="P604" s="3" t="s">
        <v>58</v>
      </c>
      <c r="Q604" s="3" t="s">
        <v>667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</row>
    <row r="605" spans="1:29" x14ac:dyDescent="0.3">
      <c r="A605" s="3">
        <v>913</v>
      </c>
      <c r="B605" s="3" t="s">
        <v>548</v>
      </c>
      <c r="C605" s="3" t="s">
        <v>560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si="110"/>
        <v>1</v>
      </c>
      <c r="N605" s="3">
        <f t="shared" si="111"/>
        <v>1</v>
      </c>
      <c r="O605" s="3">
        <v>0</v>
      </c>
      <c r="P605" s="3">
        <v>0</v>
      </c>
      <c r="Q605" s="3" t="s">
        <v>640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560</v>
      </c>
      <c r="W605" s="3" t="s">
        <v>60</v>
      </c>
      <c r="X605" s="3" t="s">
        <v>262</v>
      </c>
      <c r="Y605" s="3" t="s">
        <v>637</v>
      </c>
      <c r="Z605" s="3"/>
      <c r="AA605" s="3"/>
      <c r="AB605" s="3" t="s">
        <v>43</v>
      </c>
      <c r="AC605" s="3" t="s">
        <v>66</v>
      </c>
    </row>
    <row r="606" spans="1:29" x14ac:dyDescent="0.3">
      <c r="A606" s="3">
        <v>914</v>
      </c>
      <c r="B606" s="3" t="s">
        <v>549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0"/>
        <v>1</v>
      </c>
      <c r="N606" s="3">
        <f t="shared" si="111"/>
        <v>1</v>
      </c>
      <c r="O606" s="3">
        <v>0</v>
      </c>
      <c r="P606" s="3">
        <v>0</v>
      </c>
      <c r="Q606" s="3" t="s">
        <v>641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241</v>
      </c>
      <c r="Z606" s="3"/>
      <c r="AA606" s="3"/>
      <c r="AB606" s="3" t="s">
        <v>43</v>
      </c>
      <c r="AC606" s="3" t="s">
        <v>66</v>
      </c>
    </row>
    <row r="607" spans="1:29" x14ac:dyDescent="0.3">
      <c r="A607" s="3">
        <v>915</v>
      </c>
      <c r="B607" s="3" t="s">
        <v>550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0"/>
        <v>1</v>
      </c>
      <c r="N607" s="3">
        <f t="shared" si="111"/>
        <v>1</v>
      </c>
      <c r="O607" s="3" t="s">
        <v>58</v>
      </c>
      <c r="P607" s="3" t="s">
        <v>58</v>
      </c>
      <c r="Q607" s="3" t="s">
        <v>658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</row>
    <row r="608" spans="1:29" x14ac:dyDescent="0.3">
      <c r="A608" s="3">
        <v>916</v>
      </c>
      <c r="B608" s="3" t="s">
        <v>551</v>
      </c>
      <c r="C608" s="3" t="s">
        <v>557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0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">
        <v>660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557</v>
      </c>
      <c r="W608" s="3" t="s">
        <v>60</v>
      </c>
      <c r="X608" s="3" t="s">
        <v>262</v>
      </c>
      <c r="Y608" s="3" t="s">
        <v>637</v>
      </c>
      <c r="Z608" s="3"/>
      <c r="AA608" s="3"/>
      <c r="AB608" s="3" t="s">
        <v>43</v>
      </c>
      <c r="AC608" s="3" t="s">
        <v>66</v>
      </c>
    </row>
    <row r="609" spans="1:29" x14ac:dyDescent="0.3">
      <c r="A609" s="3">
        <v>917</v>
      </c>
      <c r="B609" s="3" t="s">
        <v>552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0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">
        <v>670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637</v>
      </c>
      <c r="Z609" s="3"/>
      <c r="AA609" s="3"/>
      <c r="AB609" s="3" t="s">
        <v>43</v>
      </c>
      <c r="AC609" s="3" t="s">
        <v>66</v>
      </c>
    </row>
    <row r="610" spans="1:29" x14ac:dyDescent="0.3">
      <c r="A610" s="3">
        <v>918</v>
      </c>
      <c r="B610" t="s">
        <v>673</v>
      </c>
      <c r="C610" s="3" t="s">
        <v>559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0"/>
        <v>1</v>
      </c>
      <c r="N610" s="3">
        <f t="shared" si="111"/>
        <v>1</v>
      </c>
      <c r="O610" s="3" t="s">
        <v>58</v>
      </c>
      <c r="P610" s="3" t="s">
        <v>58</v>
      </c>
      <c r="Q610" s="3" t="s">
        <v>674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559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</row>
    <row r="611" spans="1:29" x14ac:dyDescent="0.3">
      <c r="A611" s="3">
        <v>919</v>
      </c>
      <c r="B611" s="3" t="s">
        <v>553</v>
      </c>
      <c r="C611" s="3" t="s">
        <v>565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0"/>
        <v>0.96666666666666667</v>
      </c>
      <c r="N611" s="3">
        <f t="shared" si="111"/>
        <v>0.96666666666666667</v>
      </c>
      <c r="O611" s="3" t="s">
        <v>58</v>
      </c>
      <c r="P611" s="3" t="s">
        <v>58</v>
      </c>
      <c r="Q611" s="3" t="s">
        <v>675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565</v>
      </c>
      <c r="W611" s="3" t="s">
        <v>60</v>
      </c>
      <c r="X611" s="3" t="s">
        <v>262</v>
      </c>
      <c r="Y611" s="3" t="s">
        <v>637</v>
      </c>
      <c r="Z611" s="3"/>
      <c r="AA611" s="3"/>
      <c r="AB611" s="3" t="s">
        <v>43</v>
      </c>
      <c r="AC611" s="3" t="s">
        <v>66</v>
      </c>
    </row>
    <row r="612" spans="1:29" x14ac:dyDescent="0.3">
      <c r="A612" s="3">
        <v>922</v>
      </c>
      <c r="B612" s="3" t="s">
        <v>554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0"/>
        <v>0.99</v>
      </c>
      <c r="N612" s="3">
        <f t="shared" si="111"/>
        <v>0.99</v>
      </c>
      <c r="O612" s="3" t="s">
        <v>58</v>
      </c>
      <c r="P612" s="3" t="s">
        <v>58</v>
      </c>
      <c r="Q612" s="3" t="s">
        <v>625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</row>
    <row r="613" spans="1:29" x14ac:dyDescent="0.3">
      <c r="A613" s="3">
        <v>923</v>
      </c>
      <c r="B613" s="3" t="s">
        <v>555</v>
      </c>
      <c r="C613" s="3" t="s">
        <v>562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0"/>
        <v>1</v>
      </c>
      <c r="N613" s="3">
        <f t="shared" si="111"/>
        <v>1</v>
      </c>
      <c r="O613" s="3" t="s">
        <v>58</v>
      </c>
      <c r="P613" s="3" t="s">
        <v>58</v>
      </c>
      <c r="Q613" s="3" t="s">
        <v>646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562</v>
      </c>
      <c r="W613" s="3" t="s">
        <v>73</v>
      </c>
      <c r="X613" s="3" t="s">
        <v>74</v>
      </c>
      <c r="Y613" s="3" t="s">
        <v>75</v>
      </c>
      <c r="Z613" s="3"/>
      <c r="AA613" s="3"/>
      <c r="AB613" s="3" t="s">
        <v>43</v>
      </c>
      <c r="AC613" s="3" t="s">
        <v>66</v>
      </c>
    </row>
    <row r="614" spans="1:29" x14ac:dyDescent="0.3">
      <c r="A614" s="3">
        <v>924</v>
      </c>
      <c r="B614" s="3" t="s">
        <v>672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0"/>
        <v>0.94444444444444442</v>
      </c>
      <c r="N614" s="3">
        <f t="shared" si="111"/>
        <v>0.94444444444444442</v>
      </c>
      <c r="O614" s="3" t="s">
        <v>58</v>
      </c>
      <c r="P614" s="3" t="s">
        <v>58</v>
      </c>
      <c r="Q614" s="3" t="s">
        <v>671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</row>
    <row r="615" spans="1:29" x14ac:dyDescent="0.3">
      <c r="A615" s="5">
        <v>904</v>
      </c>
      <c r="B615" s="6" t="s">
        <v>535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0"/>
        <v>1</v>
      </c>
      <c r="N615" s="3">
        <f t="shared" si="111"/>
        <v>1</v>
      </c>
      <c r="O615" s="3" t="s">
        <v>58</v>
      </c>
      <c r="P615" s="3" t="s">
        <v>58</v>
      </c>
      <c r="Q615" s="3" t="s">
        <v>650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636</v>
      </c>
      <c r="Z615" s="3" t="s">
        <v>76</v>
      </c>
      <c r="AA615" s="3" t="s">
        <v>77</v>
      </c>
      <c r="AB615" s="3" t="s">
        <v>43</v>
      </c>
      <c r="AC615" s="3" t="s">
        <v>66</v>
      </c>
    </row>
    <row r="616" spans="1:29" x14ac:dyDescent="0.3">
      <c r="A616" s="3">
        <v>909</v>
      </c>
      <c r="B616" s="3" t="s">
        <v>544</v>
      </c>
      <c r="C616" s="3" t="s">
        <v>522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518</v>
      </c>
      <c r="I616" s="7" t="s">
        <v>518</v>
      </c>
      <c r="J616" s="3"/>
      <c r="K616" s="3">
        <v>100</v>
      </c>
      <c r="L616" s="3">
        <v>100</v>
      </c>
      <c r="M616" s="3">
        <f t="shared" si="110"/>
        <v>1</v>
      </c>
      <c r="N616" s="3">
        <f t="shared" si="111"/>
        <v>1</v>
      </c>
      <c r="O616" s="3">
        <v>0</v>
      </c>
      <c r="P616" s="3">
        <v>0</v>
      </c>
      <c r="Q616" s="3" t="s">
        <v>639</v>
      </c>
      <c r="R616" s="3">
        <v>0</v>
      </c>
      <c r="S616" s="3">
        <v>0</v>
      </c>
      <c r="T616" s="3" t="s">
        <v>518</v>
      </c>
      <c r="U616" s="3" t="s">
        <v>37</v>
      </c>
      <c r="V616" s="3" t="s">
        <v>522</v>
      </c>
      <c r="W616" s="3" t="s">
        <v>73</v>
      </c>
      <c r="X616" s="3" t="s">
        <v>74</v>
      </c>
      <c r="Y616" s="3" t="s">
        <v>75</v>
      </c>
      <c r="Z616" s="3" t="s">
        <v>86</v>
      </c>
      <c r="AA616" s="3" t="s">
        <v>87</v>
      </c>
      <c r="AB616" s="3" t="s">
        <v>43</v>
      </c>
      <c r="AC616" s="3" t="s">
        <v>66</v>
      </c>
    </row>
    <row r="617" spans="1:29" x14ac:dyDescent="0.3">
      <c r="A617" s="3">
        <v>913</v>
      </c>
      <c r="B617" s="3" t="s">
        <v>548</v>
      </c>
      <c r="C617" s="3" t="s">
        <v>560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518</v>
      </c>
      <c r="I617" s="7" t="s">
        <v>518</v>
      </c>
      <c r="J617" s="3"/>
      <c r="K617" s="3">
        <v>99</v>
      </c>
      <c r="L617" s="3">
        <v>99</v>
      </c>
      <c r="M617" s="3">
        <f t="shared" ref="M617:M636" si="112">IF(L617/K617&gt;1,1,L617/K617)</f>
        <v>1</v>
      </c>
      <c r="N617" s="3">
        <f t="shared" ref="N617:N621" si="113">IF(L617/K617&gt;1,1,L617/K617)</f>
        <v>1</v>
      </c>
      <c r="O617" s="3">
        <v>0</v>
      </c>
      <c r="P617" s="3">
        <v>0</v>
      </c>
      <c r="Q617" s="3" t="s">
        <v>705</v>
      </c>
      <c r="R617" s="3">
        <v>0</v>
      </c>
      <c r="S617" s="3">
        <v>0</v>
      </c>
      <c r="T617" s="3" t="s">
        <v>518</v>
      </c>
      <c r="U617" s="3" t="s">
        <v>37</v>
      </c>
      <c r="V617" s="3" t="s">
        <v>560</v>
      </c>
      <c r="W617" s="3" t="s">
        <v>60</v>
      </c>
      <c r="X617" s="3" t="s">
        <v>262</v>
      </c>
      <c r="Y617" s="3" t="s">
        <v>637</v>
      </c>
      <c r="Z617" s="3"/>
      <c r="AA617" s="3"/>
      <c r="AB617" s="3" t="s">
        <v>43</v>
      </c>
      <c r="AC617" s="3" t="s">
        <v>66</v>
      </c>
    </row>
    <row r="618" spans="1:29" x14ac:dyDescent="0.3">
      <c r="A618" s="3">
        <v>914</v>
      </c>
      <c r="B618" s="3" t="s">
        <v>549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518</v>
      </c>
      <c r="I618" s="7" t="s">
        <v>518</v>
      </c>
      <c r="J618" s="3"/>
      <c r="K618" s="3">
        <v>67</v>
      </c>
      <c r="L618" s="3">
        <v>67</v>
      </c>
      <c r="M618" s="3">
        <f t="shared" si="112"/>
        <v>1</v>
      </c>
      <c r="N618" s="3">
        <f t="shared" si="113"/>
        <v>1</v>
      </c>
      <c r="O618" s="3">
        <v>0</v>
      </c>
      <c r="P618" s="3">
        <v>0</v>
      </c>
      <c r="Q618" s="3" t="s">
        <v>642</v>
      </c>
      <c r="R618" s="3">
        <v>0</v>
      </c>
      <c r="S618" s="3">
        <v>0</v>
      </c>
      <c r="T618" s="3" t="s">
        <v>518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241</v>
      </c>
      <c r="Z618" s="3"/>
      <c r="AA618" s="3"/>
      <c r="AB618" s="3" t="s">
        <v>43</v>
      </c>
      <c r="AC618" s="3" t="s">
        <v>66</v>
      </c>
    </row>
    <row r="619" spans="1:29" x14ac:dyDescent="0.3">
      <c r="A619" s="3">
        <v>8</v>
      </c>
      <c r="B619" s="3" t="s">
        <v>530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518</v>
      </c>
      <c r="I619" s="7" t="s">
        <v>518</v>
      </c>
      <c r="J619" s="3"/>
      <c r="K619" s="9">
        <v>100</v>
      </c>
      <c r="L619" s="9">
        <v>100</v>
      </c>
      <c r="M619" s="3">
        <f t="shared" si="112"/>
        <v>1</v>
      </c>
      <c r="N619" s="3">
        <f t="shared" si="113"/>
        <v>1</v>
      </c>
      <c r="O619" s="3"/>
      <c r="P619" s="3"/>
      <c r="Q619" s="3" t="s">
        <v>643</v>
      </c>
      <c r="R619" s="3">
        <v>0</v>
      </c>
      <c r="S619" s="3">
        <v>0</v>
      </c>
      <c r="T619" s="3" t="s">
        <v>518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/>
      <c r="Z619" s="3" t="s">
        <v>101</v>
      </c>
      <c r="AA619" s="3" t="s">
        <v>264</v>
      </c>
      <c r="AB619" s="3" t="s">
        <v>43</v>
      </c>
      <c r="AC619" s="3" t="s">
        <v>66</v>
      </c>
    </row>
    <row r="620" spans="1:29" x14ac:dyDescent="0.3">
      <c r="A620" s="3">
        <v>923</v>
      </c>
      <c r="B620" s="3" t="s">
        <v>555</v>
      </c>
      <c r="C620" s="3" t="s">
        <v>562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518</v>
      </c>
      <c r="I620" s="7" t="s">
        <v>518</v>
      </c>
      <c r="J620" s="3"/>
      <c r="K620" s="3">
        <v>100</v>
      </c>
      <c r="L620" s="3">
        <v>100</v>
      </c>
      <c r="M620" s="3">
        <f t="shared" si="112"/>
        <v>1</v>
      </c>
      <c r="N620" s="3">
        <f t="shared" si="113"/>
        <v>1</v>
      </c>
      <c r="O620" s="3" t="s">
        <v>58</v>
      </c>
      <c r="P620" s="3" t="s">
        <v>58</v>
      </c>
      <c r="Q620" s="3" t="s">
        <v>645</v>
      </c>
      <c r="R620" s="3">
        <v>0</v>
      </c>
      <c r="S620" s="3">
        <v>0</v>
      </c>
      <c r="T620" s="3" t="s">
        <v>518</v>
      </c>
      <c r="U620" s="3" t="s">
        <v>37</v>
      </c>
      <c r="V620" s="3" t="s">
        <v>562</v>
      </c>
      <c r="W620" s="3" t="s">
        <v>73</v>
      </c>
      <c r="X620" s="3" t="s">
        <v>74</v>
      </c>
      <c r="Y620" s="3" t="s">
        <v>75</v>
      </c>
      <c r="Z620" s="3"/>
      <c r="AA620" s="3"/>
      <c r="AB620" s="3" t="s">
        <v>43</v>
      </c>
      <c r="AC620" s="3" t="s">
        <v>66</v>
      </c>
    </row>
    <row r="621" spans="1:29" x14ac:dyDescent="0.3">
      <c r="A621" s="3">
        <v>5</v>
      </c>
      <c r="B621" s="3" t="s">
        <v>527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518</v>
      </c>
      <c r="I621" s="7" t="s">
        <v>518</v>
      </c>
      <c r="J621" s="3"/>
      <c r="K621" s="9">
        <v>100</v>
      </c>
      <c r="L621" s="9">
        <v>100</v>
      </c>
      <c r="M621" s="3">
        <f t="shared" si="112"/>
        <v>1</v>
      </c>
      <c r="N621" s="3">
        <f t="shared" si="113"/>
        <v>1</v>
      </c>
      <c r="O621" s="3" t="s">
        <v>58</v>
      </c>
      <c r="P621" s="3" t="s">
        <v>58</v>
      </c>
      <c r="Q621" s="3" t="s">
        <v>716</v>
      </c>
      <c r="R621" s="3">
        <v>0</v>
      </c>
      <c r="S621" s="3">
        <v>0</v>
      </c>
      <c r="T621" s="3" t="s">
        <v>518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/>
      <c r="Z621" s="3" t="s">
        <v>41</v>
      </c>
      <c r="AA621" s="3" t="s">
        <v>124</v>
      </c>
      <c r="AB621" s="3" t="s">
        <v>43</v>
      </c>
      <c r="AC621" s="3" t="s">
        <v>66</v>
      </c>
    </row>
    <row r="622" spans="1:29" x14ac:dyDescent="0.3">
      <c r="A622" s="3">
        <v>910</v>
      </c>
      <c r="B622" s="3" t="s">
        <v>545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518</v>
      </c>
      <c r="I622" s="7" t="s">
        <v>518</v>
      </c>
      <c r="J622" s="3"/>
      <c r="K622" s="3">
        <v>76</v>
      </c>
      <c r="L622" s="3">
        <v>77</v>
      </c>
      <c r="M622" s="3">
        <f t="shared" si="112"/>
        <v>1</v>
      </c>
      <c r="N622" s="3">
        <f>IF(L622/K622&gt;1,1,L622/K622)</f>
        <v>1</v>
      </c>
      <c r="O622" s="3" t="s">
        <v>58</v>
      </c>
      <c r="P622" s="3" t="s">
        <v>58</v>
      </c>
      <c r="Q622" s="3" t="s">
        <v>656</v>
      </c>
      <c r="R622" s="3">
        <v>0</v>
      </c>
      <c r="S622" s="3">
        <v>0</v>
      </c>
      <c r="T622" s="3" t="s">
        <v>518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75</v>
      </c>
      <c r="Z622" s="3" t="s">
        <v>86</v>
      </c>
      <c r="AA622" s="3" t="s">
        <v>87</v>
      </c>
      <c r="AB622" s="3" t="s">
        <v>43</v>
      </c>
      <c r="AC622" s="3" t="s">
        <v>66</v>
      </c>
    </row>
    <row r="623" spans="1:29" x14ac:dyDescent="0.3">
      <c r="A623" s="3">
        <v>911</v>
      </c>
      <c r="B623" s="3" t="s">
        <v>546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518</v>
      </c>
      <c r="I623" s="7" t="s">
        <v>518</v>
      </c>
      <c r="J623" s="3"/>
      <c r="K623" s="3">
        <v>90</v>
      </c>
      <c r="L623" s="3">
        <v>91</v>
      </c>
      <c r="M623" s="3">
        <f t="shared" si="112"/>
        <v>1</v>
      </c>
      <c r="N623" s="3">
        <f>IF(L623/K623&gt;1,1,L623/K623)</f>
        <v>1</v>
      </c>
      <c r="O623" s="3" t="s">
        <v>58</v>
      </c>
      <c r="P623" s="3" t="s">
        <v>58</v>
      </c>
      <c r="Q623" s="3" t="s">
        <v>718</v>
      </c>
      <c r="R623" s="3">
        <v>0</v>
      </c>
      <c r="S623" s="3">
        <v>0</v>
      </c>
      <c r="T623" s="3" t="s">
        <v>518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75</v>
      </c>
      <c r="Z623" s="3" t="s">
        <v>86</v>
      </c>
      <c r="AA623" s="3" t="s">
        <v>87</v>
      </c>
      <c r="AB623" s="3" t="s">
        <v>43</v>
      </c>
      <c r="AC623" s="3" t="s">
        <v>66</v>
      </c>
    </row>
    <row r="624" spans="1:29" x14ac:dyDescent="0.3">
      <c r="A624" s="3">
        <v>915</v>
      </c>
      <c r="B624" s="3" t="s">
        <v>550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518</v>
      </c>
      <c r="I624" s="7" t="s">
        <v>518</v>
      </c>
      <c r="J624" s="3"/>
      <c r="K624" s="3">
        <v>5</v>
      </c>
      <c r="L624" s="3">
        <v>5</v>
      </c>
      <c r="M624" s="3">
        <f t="shared" si="112"/>
        <v>1</v>
      </c>
      <c r="N624" s="3">
        <f t="shared" ref="N624" si="114">IF(L624/K624&gt;1,1,L624/K624)</f>
        <v>1</v>
      </c>
      <c r="O624" s="3" t="s">
        <v>58</v>
      </c>
      <c r="P624" s="3" t="s">
        <v>58</v>
      </c>
      <c r="Q624" s="3" t="s">
        <v>659</v>
      </c>
      <c r="R624" s="3">
        <v>0</v>
      </c>
      <c r="S624" s="3">
        <v>0</v>
      </c>
      <c r="T624" s="3" t="s">
        <v>518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</row>
    <row r="625" spans="1:29" x14ac:dyDescent="0.3">
      <c r="A625" s="3">
        <v>916</v>
      </c>
      <c r="B625" s="3" t="s">
        <v>551</v>
      </c>
      <c r="C625" s="3" t="s">
        <v>557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518</v>
      </c>
      <c r="I625" s="7" t="s">
        <v>518</v>
      </c>
      <c r="J625" s="3"/>
      <c r="K625" s="3">
        <v>60</v>
      </c>
      <c r="L625" s="3">
        <v>57</v>
      </c>
      <c r="M625" s="3">
        <f t="shared" si="112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">
        <v>706</v>
      </c>
      <c r="R625" s="3">
        <v>0</v>
      </c>
      <c r="S625" s="3">
        <v>0</v>
      </c>
      <c r="T625" s="3" t="s">
        <v>518</v>
      </c>
      <c r="U625" s="3" t="s">
        <v>37</v>
      </c>
      <c r="V625" s="3" t="s">
        <v>557</v>
      </c>
      <c r="W625" s="3" t="s">
        <v>60</v>
      </c>
      <c r="X625" s="3" t="s">
        <v>262</v>
      </c>
      <c r="Y625" s="3" t="s">
        <v>637</v>
      </c>
      <c r="Z625" s="3"/>
      <c r="AA625" s="3"/>
      <c r="AB625" s="3" t="s">
        <v>43</v>
      </c>
      <c r="AC625" s="3" t="s">
        <v>66</v>
      </c>
    </row>
    <row r="626" spans="1:29" x14ac:dyDescent="0.3">
      <c r="A626" s="3">
        <v>920</v>
      </c>
      <c r="B626" s="3" t="s">
        <v>542</v>
      </c>
      <c r="C626" s="3" t="s">
        <v>559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518</v>
      </c>
      <c r="I626" s="7" t="s">
        <v>518</v>
      </c>
      <c r="J626" s="3"/>
      <c r="K626" s="3">
        <v>100</v>
      </c>
      <c r="L626" s="3">
        <v>100</v>
      </c>
      <c r="M626" s="3">
        <f t="shared" si="112"/>
        <v>1</v>
      </c>
      <c r="N626" s="3">
        <f t="shared" ref="N626:N631" si="115">IF(L626/K626&gt;1,1,L626/K626)</f>
        <v>1</v>
      </c>
      <c r="O626" s="3"/>
      <c r="P626" s="3"/>
      <c r="Q626" s="3" t="s">
        <v>661</v>
      </c>
      <c r="R626" s="3">
        <v>0</v>
      </c>
      <c r="S626" s="3">
        <v>0</v>
      </c>
      <c r="T626" s="3" t="s">
        <v>518</v>
      </c>
      <c r="U626" s="3" t="s">
        <v>37</v>
      </c>
      <c r="V626" s="3" t="s">
        <v>559</v>
      </c>
      <c r="W626" s="3" t="s">
        <v>60</v>
      </c>
      <c r="X626" s="3" t="s">
        <v>262</v>
      </c>
      <c r="Y626" s="3" t="s">
        <v>637</v>
      </c>
      <c r="Z626" s="3"/>
      <c r="AA626" s="3"/>
      <c r="AB626" s="3" t="s">
        <v>43</v>
      </c>
      <c r="AC626" s="3" t="s">
        <v>66</v>
      </c>
    </row>
    <row r="627" spans="1:29" x14ac:dyDescent="0.3">
      <c r="A627" s="5">
        <v>903</v>
      </c>
      <c r="B627" s="6" t="s">
        <v>543</v>
      </c>
      <c r="C627" s="3" t="s">
        <v>564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518</v>
      </c>
      <c r="I627" s="7" t="s">
        <v>518</v>
      </c>
      <c r="J627" s="3"/>
      <c r="K627" s="10">
        <v>100</v>
      </c>
      <c r="L627" s="10">
        <v>99</v>
      </c>
      <c r="M627" s="3">
        <f t="shared" si="112"/>
        <v>0.99</v>
      </c>
      <c r="N627" s="3">
        <f t="shared" si="115"/>
        <v>0.99</v>
      </c>
      <c r="O627" s="3" t="s">
        <v>58</v>
      </c>
      <c r="P627" s="3" t="s">
        <v>58</v>
      </c>
      <c r="Q627" s="3" t="s">
        <v>665</v>
      </c>
      <c r="R627" s="3">
        <v>0</v>
      </c>
      <c r="S627" s="3">
        <v>0</v>
      </c>
      <c r="T627" s="3" t="s">
        <v>518</v>
      </c>
      <c r="U627" s="3" t="s">
        <v>37</v>
      </c>
      <c r="V627" s="3" t="s">
        <v>564</v>
      </c>
      <c r="W627" s="3" t="s">
        <v>112</v>
      </c>
      <c r="X627" s="3" t="s">
        <v>113</v>
      </c>
      <c r="Y627" s="3" t="s">
        <v>635</v>
      </c>
      <c r="Z627" s="3" t="s">
        <v>101</v>
      </c>
      <c r="AA627" s="3" t="s">
        <v>264</v>
      </c>
      <c r="AB627" s="3" t="s">
        <v>43</v>
      </c>
      <c r="AC627" s="3" t="s">
        <v>66</v>
      </c>
    </row>
    <row r="628" spans="1:29" x14ac:dyDescent="0.3">
      <c r="A628" s="3">
        <v>912</v>
      </c>
      <c r="B628" s="3" t="s">
        <v>547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518</v>
      </c>
      <c r="I628" s="7" t="s">
        <v>518</v>
      </c>
      <c r="J628" s="3"/>
      <c r="K628" s="3">
        <v>75</v>
      </c>
      <c r="L628" s="3">
        <v>70</v>
      </c>
      <c r="M628" s="3">
        <f t="shared" si="112"/>
        <v>0.93333333333333335</v>
      </c>
      <c r="N628" s="3">
        <f t="shared" si="115"/>
        <v>0.93333333333333335</v>
      </c>
      <c r="O628" s="3" t="s">
        <v>58</v>
      </c>
      <c r="P628" s="3" t="s">
        <v>58</v>
      </c>
      <c r="Q628" s="3" t="s">
        <v>707</v>
      </c>
      <c r="R628" s="3">
        <v>0</v>
      </c>
      <c r="S628" s="3">
        <v>0</v>
      </c>
      <c r="T628" s="3" t="s">
        <v>518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</row>
    <row r="629" spans="1:29" x14ac:dyDescent="0.3">
      <c r="A629" s="3">
        <v>925</v>
      </c>
      <c r="B629" s="3" t="s">
        <v>541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518</v>
      </c>
      <c r="I629" s="7" t="s">
        <v>518</v>
      </c>
      <c r="J629" s="3"/>
      <c r="K629" s="11">
        <v>100</v>
      </c>
      <c r="L629" s="11">
        <v>100</v>
      </c>
      <c r="M629" s="3">
        <f t="shared" si="112"/>
        <v>1</v>
      </c>
      <c r="N629" s="3">
        <f t="shared" si="115"/>
        <v>1</v>
      </c>
      <c r="O629" s="3" t="s">
        <v>58</v>
      </c>
      <c r="P629" s="3" t="s">
        <v>58</v>
      </c>
      <c r="Q629" s="3" t="s">
        <v>708</v>
      </c>
      <c r="R629" s="3">
        <v>0</v>
      </c>
      <c r="S629" s="3">
        <v>0</v>
      </c>
      <c r="T629" s="3" t="s">
        <v>518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</row>
    <row r="630" spans="1:29" x14ac:dyDescent="0.3">
      <c r="A630" s="3">
        <v>921</v>
      </c>
      <c r="B630" s="3" t="s">
        <v>540</v>
      </c>
      <c r="C630" s="3" t="s">
        <v>559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518</v>
      </c>
      <c r="I630" s="7" t="s">
        <v>518</v>
      </c>
      <c r="J630" s="3"/>
      <c r="K630" s="3">
        <v>100</v>
      </c>
      <c r="L630" s="3">
        <v>100</v>
      </c>
      <c r="M630" s="3">
        <f t="shared" si="112"/>
        <v>1</v>
      </c>
      <c r="N630" s="3">
        <f t="shared" si="115"/>
        <v>1</v>
      </c>
      <c r="O630" s="3" t="s">
        <v>58</v>
      </c>
      <c r="P630" s="3" t="s">
        <v>58</v>
      </c>
      <c r="Q630" s="3" t="s">
        <v>717</v>
      </c>
      <c r="R630" s="3">
        <v>0</v>
      </c>
      <c r="S630" s="3">
        <v>0</v>
      </c>
      <c r="T630" s="3" t="s">
        <v>518</v>
      </c>
      <c r="U630" s="3" t="s">
        <v>37</v>
      </c>
      <c r="V630" s="3" t="s">
        <v>559</v>
      </c>
      <c r="W630" s="3" t="s">
        <v>60</v>
      </c>
      <c r="X630" s="3" t="s">
        <v>262</v>
      </c>
      <c r="Y630" s="3" t="s">
        <v>637</v>
      </c>
      <c r="Z630" s="3"/>
      <c r="AA630" s="3"/>
      <c r="AB630" s="3" t="s">
        <v>43</v>
      </c>
      <c r="AC630" s="3" t="s">
        <v>66</v>
      </c>
    </row>
    <row r="631" spans="1:29" x14ac:dyDescent="0.3">
      <c r="A631" s="3">
        <v>922</v>
      </c>
      <c r="B631" s="3" t="s">
        <v>554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518</v>
      </c>
      <c r="I631" s="7" t="s">
        <v>518</v>
      </c>
      <c r="J631" s="3"/>
      <c r="K631" s="3">
        <v>100</v>
      </c>
      <c r="L631" s="3">
        <v>99</v>
      </c>
      <c r="M631" s="3">
        <f t="shared" si="112"/>
        <v>0.99</v>
      </c>
      <c r="N631" s="3">
        <f t="shared" si="115"/>
        <v>0.99</v>
      </c>
      <c r="O631" s="3" t="s">
        <v>58</v>
      </c>
      <c r="P631" s="3" t="s">
        <v>58</v>
      </c>
      <c r="Q631" s="3" t="s">
        <v>669</v>
      </c>
      <c r="R631" s="3">
        <v>0</v>
      </c>
      <c r="S631" s="3">
        <v>0</v>
      </c>
      <c r="T631" s="3" t="s">
        <v>518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</row>
    <row r="632" spans="1:29" x14ac:dyDescent="0.3">
      <c r="A632" s="3">
        <v>917</v>
      </c>
      <c r="B632" s="3" t="s">
        <v>552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518</v>
      </c>
      <c r="I632" s="7" t="s">
        <v>518</v>
      </c>
      <c r="J632" s="3"/>
      <c r="K632" s="3">
        <v>100</v>
      </c>
      <c r="L632" s="3">
        <v>99</v>
      </c>
      <c r="M632" s="3">
        <f t="shared" si="112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">
        <v>709</v>
      </c>
      <c r="R632" s="3">
        <v>0</v>
      </c>
      <c r="S632" s="3">
        <v>0</v>
      </c>
      <c r="T632" s="3" t="s">
        <v>518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637</v>
      </c>
      <c r="Z632" s="3"/>
      <c r="AA632" s="3"/>
      <c r="AB632" s="3" t="s">
        <v>43</v>
      </c>
      <c r="AC632" s="3" t="s">
        <v>66</v>
      </c>
    </row>
    <row r="633" spans="1:29" x14ac:dyDescent="0.3">
      <c r="A633" s="3">
        <v>924</v>
      </c>
      <c r="B633" s="3" t="s">
        <v>672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518</v>
      </c>
      <c r="I633" s="7" t="s">
        <v>518</v>
      </c>
      <c r="J633" s="3"/>
      <c r="K633" s="3">
        <v>90</v>
      </c>
      <c r="L633" s="3">
        <v>85</v>
      </c>
      <c r="M633" s="3">
        <f t="shared" si="112"/>
        <v>0.94444444444444442</v>
      </c>
      <c r="N633" s="3">
        <f t="shared" ref="N633:N636" si="116">IF(L633/K633&gt;1,1,L633/K633)</f>
        <v>0.94444444444444442</v>
      </c>
      <c r="O633" s="3" t="s">
        <v>58</v>
      </c>
      <c r="P633" s="3" t="s">
        <v>58</v>
      </c>
      <c r="Q633" s="3" t="s">
        <v>710</v>
      </c>
      <c r="R633" s="3">
        <v>0</v>
      </c>
      <c r="S633" s="3">
        <v>0</v>
      </c>
      <c r="T633" s="3" t="s">
        <v>518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</row>
    <row r="634" spans="1:29" x14ac:dyDescent="0.3">
      <c r="A634" s="3">
        <v>918</v>
      </c>
      <c r="B634" t="s">
        <v>673</v>
      </c>
      <c r="C634" s="3" t="s">
        <v>559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518</v>
      </c>
      <c r="I634" s="7" t="s">
        <v>518</v>
      </c>
      <c r="J634" s="3"/>
      <c r="K634" s="3">
        <v>99</v>
      </c>
      <c r="L634" s="3">
        <v>99</v>
      </c>
      <c r="M634" s="3">
        <f t="shared" si="112"/>
        <v>1</v>
      </c>
      <c r="N634" s="3">
        <f t="shared" si="116"/>
        <v>1</v>
      </c>
      <c r="O634" s="3" t="s">
        <v>58</v>
      </c>
      <c r="P634" s="3" t="s">
        <v>58</v>
      </c>
      <c r="Q634" s="3" t="s">
        <v>624</v>
      </c>
      <c r="R634" s="3">
        <v>0</v>
      </c>
      <c r="S634" s="3">
        <v>0</v>
      </c>
      <c r="T634" s="3" t="s">
        <v>518</v>
      </c>
      <c r="U634" s="3" t="s">
        <v>37</v>
      </c>
      <c r="V634" s="3" t="s">
        <v>559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</row>
    <row r="635" spans="1:29" x14ac:dyDescent="0.3">
      <c r="A635" s="3">
        <v>919</v>
      </c>
      <c r="B635" s="3" t="s">
        <v>553</v>
      </c>
      <c r="C635" s="3" t="s">
        <v>565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518</v>
      </c>
      <c r="I635" s="7" t="s">
        <v>518</v>
      </c>
      <c r="J635" s="3"/>
      <c r="K635" s="3">
        <v>90</v>
      </c>
      <c r="L635" s="3">
        <v>87</v>
      </c>
      <c r="M635" s="3">
        <f t="shared" si="112"/>
        <v>0.96666666666666667</v>
      </c>
      <c r="N635" s="3">
        <f t="shared" si="116"/>
        <v>0.96666666666666667</v>
      </c>
      <c r="O635" s="3" t="s">
        <v>58</v>
      </c>
      <c r="P635" s="3" t="s">
        <v>58</v>
      </c>
      <c r="Q635" s="3" t="s">
        <v>676</v>
      </c>
      <c r="R635" s="3">
        <v>0</v>
      </c>
      <c r="S635" s="3">
        <v>0</v>
      </c>
      <c r="T635" s="3" t="s">
        <v>518</v>
      </c>
      <c r="U635" s="3" t="s">
        <v>37</v>
      </c>
      <c r="V635" s="3" t="s">
        <v>565</v>
      </c>
      <c r="W635" s="3" t="s">
        <v>60</v>
      </c>
      <c r="X635" s="3" t="s">
        <v>262</v>
      </c>
      <c r="Y635" s="3" t="s">
        <v>637</v>
      </c>
      <c r="Z635" s="3"/>
      <c r="AA635" s="3"/>
      <c r="AB635" s="3" t="s">
        <v>43</v>
      </c>
      <c r="AC635" s="3" t="s">
        <v>66</v>
      </c>
    </row>
    <row r="636" spans="1:29" x14ac:dyDescent="0.3">
      <c r="A636" s="3">
        <v>926</v>
      </c>
      <c r="B636" s="3" t="s">
        <v>677</v>
      </c>
      <c r="C636" s="3" t="s">
        <v>565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2"/>
        <v>1</v>
      </c>
      <c r="N636" s="3">
        <f t="shared" si="116"/>
        <v>1</v>
      </c>
      <c r="O636" s="3" t="s">
        <v>58</v>
      </c>
      <c r="P636" s="3" t="s">
        <v>58</v>
      </c>
      <c r="Q636" s="3" t="s">
        <v>675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565</v>
      </c>
      <c r="W636" s="3" t="s">
        <v>60</v>
      </c>
      <c r="X636" s="3" t="s">
        <v>262</v>
      </c>
      <c r="Y636" s="3" t="s">
        <v>637</v>
      </c>
      <c r="Z636" s="3"/>
      <c r="AA636" s="3"/>
      <c r="AB636" s="3" t="s">
        <v>43</v>
      </c>
      <c r="AC636" s="3" t="s">
        <v>66</v>
      </c>
    </row>
    <row r="637" spans="1:29" x14ac:dyDescent="0.3">
      <c r="A637" s="3">
        <v>926</v>
      </c>
      <c r="B637" s="3" t="s">
        <v>677</v>
      </c>
      <c r="C637" s="3" t="s">
        <v>565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518</v>
      </c>
      <c r="I637" s="7" t="s">
        <v>518</v>
      </c>
      <c r="J637" s="3"/>
      <c r="K637" s="3">
        <v>66</v>
      </c>
      <c r="L637" s="3">
        <v>66</v>
      </c>
      <c r="M637" s="3">
        <f t="shared" ref="M637" si="117">IF(L637/K637&gt;1,1,L637/K637)</f>
        <v>1</v>
      </c>
      <c r="N637" s="3">
        <f t="shared" ref="N637" si="118">IF(L637/K637&gt;1,1,L637/K637)</f>
        <v>1</v>
      </c>
      <c r="O637" s="3" t="s">
        <v>58</v>
      </c>
      <c r="P637" s="3" t="s">
        <v>58</v>
      </c>
      <c r="Q637" s="3" t="s">
        <v>676</v>
      </c>
      <c r="R637" s="3">
        <v>0</v>
      </c>
      <c r="S637" s="3">
        <v>0</v>
      </c>
      <c r="T637" s="3" t="s">
        <v>518</v>
      </c>
      <c r="U637" s="3" t="s">
        <v>37</v>
      </c>
      <c r="V637" s="3" t="s">
        <v>565</v>
      </c>
      <c r="W637" s="3" t="s">
        <v>60</v>
      </c>
      <c r="X637" s="3" t="s">
        <v>262</v>
      </c>
      <c r="Y637" s="3" t="s">
        <v>637</v>
      </c>
      <c r="Z637" s="3"/>
      <c r="AA637" s="3"/>
      <c r="AB637" s="3" t="s">
        <v>43</v>
      </c>
      <c r="AC637" s="3" t="s">
        <v>66</v>
      </c>
    </row>
  </sheetData>
  <autoFilter ref="A1:AD637" xr:uid="{00000000-0001-0000-0000-000000000000}"/>
  <sortState xmlns:xlrd2="http://schemas.microsoft.com/office/spreadsheetml/2017/richdata2" ref="A2:AC477">
    <sortCondition ref="A2:A477"/>
    <sortCondition ref="F2:F477"/>
  </sortState>
  <conditionalFormatting sqref="A559">
    <cfRule type="duplicateValues" dxfId="9" priority="7"/>
    <cfRule type="duplicateValues" dxfId="8" priority="8"/>
    <cfRule type="duplicateValues" dxfId="7" priority="9"/>
  </conditionalFormatting>
  <conditionalFormatting sqref="A560">
    <cfRule type="duplicateValues" dxfId="6" priority="10"/>
  </conditionalFormatting>
  <conditionalFormatting sqref="A584">
    <cfRule type="duplicateValues" dxfId="5" priority="4"/>
    <cfRule type="duplicateValues" dxfId="4" priority="5"/>
    <cfRule type="duplicateValues" dxfId="3" priority="6"/>
  </conditionalFormatting>
  <conditionalFormatting sqref="A583">
    <cfRule type="duplicateValues" dxfId="2" priority="1"/>
    <cfRule type="duplicateValues" dxfId="1" priority="2"/>
    <cfRule type="duplicateValues" dxfId="0" priority="3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autoFilter ref="A1:T180" xr:uid="{00000000-0001-0000-03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2026-01-28T05:24:47Z</dcterms:modified>
</cp:coreProperties>
</file>