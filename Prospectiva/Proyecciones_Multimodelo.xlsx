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isilva\Downloads\"/>
    </mc:Choice>
  </mc:AlternateContent>
  <xr:revisionPtr revIDLastSave="0" documentId="13_ncr:1_{591BC8C3-09C6-4576-B33A-3F80169BAC76}" xr6:coauthVersionLast="47" xr6:coauthVersionMax="47" xr10:uidLastSave="{00000000-0000-0000-0000-000000000000}"/>
  <bookViews>
    <workbookView xWindow="-108" yWindow="-108" windowWidth="23256" windowHeight="12456" xr2:uid="{E56FC6A2-DA73-40EE-B621-BA207259297A}"/>
  </bookViews>
  <sheets>
    <sheet name="Proyecciones" sheetId="1" r:id="rId1"/>
  </sheets>
  <definedNames>
    <definedName name="_xlnm._FilterDatabase" localSheetId="0" hidden="1">Proyecciones!$A$1:$I$532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H40" i="1"/>
  <c r="G41" i="1"/>
  <c r="I41" i="1" s="1"/>
  <c r="D39" i="1"/>
  <c r="D38" i="1"/>
  <c r="D37" i="1"/>
  <c r="H41" i="1" l="1"/>
  <c r="G42" i="1"/>
  <c r="G43" i="1" l="1"/>
  <c r="H42" i="1"/>
  <c r="I42" i="1"/>
  <c r="G44" i="1" l="1"/>
  <c r="H43" i="1"/>
  <c r="I43" i="1"/>
  <c r="G45" i="1" l="1"/>
  <c r="H44" i="1"/>
  <c r="I44" i="1"/>
  <c r="G46" i="1" l="1"/>
  <c r="H45" i="1"/>
  <c r="I45" i="1"/>
  <c r="G47" i="1" l="1"/>
  <c r="I46" i="1"/>
  <c r="H46" i="1"/>
  <c r="G48" i="1" l="1"/>
  <c r="H47" i="1"/>
  <c r="I47" i="1"/>
  <c r="G49" i="1" l="1"/>
  <c r="I48" i="1"/>
  <c r="H48" i="1"/>
  <c r="I49" i="1" l="1"/>
  <c r="H49" i="1"/>
</calcChain>
</file>

<file path=xl/sharedStrings.xml><?xml version="1.0" encoding="utf-8"?>
<sst xmlns="http://schemas.openxmlformats.org/spreadsheetml/2006/main" count="1797" uniqueCount="86">
  <si>
    <t>Id</t>
  </si>
  <si>
    <t>Indicador</t>
  </si>
  <si>
    <t>Fecha</t>
  </si>
  <si>
    <t>Año</t>
  </si>
  <si>
    <t>Periodo</t>
  </si>
  <si>
    <t>Modelo</t>
  </si>
  <si>
    <t>Total Población</t>
  </si>
  <si>
    <t>2026-1</t>
  </si>
  <si>
    <t>Ensemble_Promedio</t>
  </si>
  <si>
    <t>2026-2</t>
  </si>
  <si>
    <t>2027-1</t>
  </si>
  <si>
    <t>2027-2</t>
  </si>
  <si>
    <t>2028-1</t>
  </si>
  <si>
    <t>2028-2</t>
  </si>
  <si>
    <t>2029-1</t>
  </si>
  <si>
    <t>2029-2</t>
  </si>
  <si>
    <t>2030-1</t>
  </si>
  <si>
    <t>2030-2</t>
  </si>
  <si>
    <t>Nivel de Satisfacción Servicios Prestados - Comunicaciones Internas</t>
  </si>
  <si>
    <t>Heurístico 2obs</t>
  </si>
  <si>
    <t>Estudiantes vinculados a investigación</t>
  </si>
  <si>
    <t>Porcentaje de cumplimiento del Acuerdo de Nivel de Servicio (ANS)</t>
  </si>
  <si>
    <t>Regresion_Lineal</t>
  </si>
  <si>
    <t>Índice de satisfacción del estudiante (SSI)</t>
  </si>
  <si>
    <t>Great Place to Work</t>
  </si>
  <si>
    <t>Proyeccion_CAGR</t>
  </si>
  <si>
    <t>Polinomial_Grado_2</t>
  </si>
  <si>
    <t>Suavizado_Exponencial</t>
  </si>
  <si>
    <t>Nivel de efectividad de las capacitaciones</t>
  </si>
  <si>
    <t>Cumplimiento de Ingresos</t>
  </si>
  <si>
    <t>Media_Movil_Tendencia</t>
  </si>
  <si>
    <t>Caja</t>
  </si>
  <si>
    <t>Utilidad Neta</t>
  </si>
  <si>
    <t>Nivel de Cumplimiento Opex</t>
  </si>
  <si>
    <t>Compensación de Gases de Efecto Invernadero</t>
  </si>
  <si>
    <t>GreenMetric - Nacional</t>
  </si>
  <si>
    <t>Permanencia Intersemestral</t>
  </si>
  <si>
    <t>Relación Estudiante-Docente Tiempo completo</t>
  </si>
  <si>
    <t>Relación estudiante docente Tiempo Completo Equivalente</t>
  </si>
  <si>
    <t>Número de renovaciones de registro calificado</t>
  </si>
  <si>
    <t>Número de programas nuevos con registro calificado aprobado</t>
  </si>
  <si>
    <t>Índice de rotación</t>
  </si>
  <si>
    <t>Resultado de la evaluación 360 (evaluación por competencias)</t>
  </si>
  <si>
    <t>Índice de Inclusión</t>
  </si>
  <si>
    <t>Impacto de actividades de Responsabilidad y proyección</t>
  </si>
  <si>
    <t>Participación de POLI- voluntariados (Estudiantes- Colaboradores)</t>
  </si>
  <si>
    <t>CAPEX</t>
  </si>
  <si>
    <t>Brand equity</t>
  </si>
  <si>
    <t>Conocimiento espontaneo</t>
  </si>
  <si>
    <t>% de profesores (Contrato Indefinido- Fijo) impactados plan de desarrollo docente</t>
  </si>
  <si>
    <t>NPS Estudiantes</t>
  </si>
  <si>
    <t>Disponibilidad de servicios tecnológicos</t>
  </si>
  <si>
    <t>Productos de investigación, innovación y creación</t>
  </si>
  <si>
    <t>Lanzamiento de nuevos programas virtual</t>
  </si>
  <si>
    <t>Total Ingresos B2B</t>
  </si>
  <si>
    <t>Total Ingresos B2G</t>
  </si>
  <si>
    <t>Otros ingresos (Cursos -Opciones de grado)</t>
  </si>
  <si>
    <t>Total estudiantes nuevos</t>
  </si>
  <si>
    <t>Total Matriculados antiguos</t>
  </si>
  <si>
    <t>Estudiantes Presencial</t>
  </si>
  <si>
    <t>Estudiantes Virtual</t>
  </si>
  <si>
    <t>Estudiantes Pregrado</t>
  </si>
  <si>
    <t>Estudiantes Posgrado</t>
  </si>
  <si>
    <t>Ingresos totales de educación para la vida</t>
  </si>
  <si>
    <t>423</t>
  </si>
  <si>
    <t>339</t>
  </si>
  <si>
    <t>Modelo_Conservador</t>
  </si>
  <si>
    <t>% Estudiantes con Becas</t>
  </si>
  <si>
    <t>% Programas acreditables acreditados Sede Bogotá</t>
  </si>
  <si>
    <t>Cumplimiento EBITDA</t>
  </si>
  <si>
    <t>2031-2</t>
  </si>
  <si>
    <t>14</t>
  </si>
  <si>
    <t>14,1</t>
  </si>
  <si>
    <t>14,2</t>
  </si>
  <si>
    <t>379</t>
  </si>
  <si>
    <t>274</t>
  </si>
  <si>
    <t>14,3</t>
  </si>
  <si>
    <t>14,4</t>
  </si>
  <si>
    <t>385</t>
  </si>
  <si>
    <t>386,1</t>
  </si>
  <si>
    <t>386,2</t>
  </si>
  <si>
    <t>386,3</t>
  </si>
  <si>
    <t>Polinomial_Grado_4</t>
  </si>
  <si>
    <t>Realista</t>
  </si>
  <si>
    <t>Pesimista</t>
  </si>
  <si>
    <t>Optimista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</si>
</sst>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ABF9-7414-4626-A0F7-29EA0F0D3250}">
  <dimension ref="A1:I532"/>
  <sheetViews>
    <sheetView tabSelected="1" workbookViewId="0"/>
  </sheetViews>
  <sheetFormatPr baseColWidth="10" defaultRowHeight="14.4" x14ac:dyDescent="0.3"/>
  <cols>
    <col min="3" max="3" width="1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</v>
      </c>
      <c r="H1" s="1" t="s">
        <v>84</v>
      </c>
      <c r="I1" s="1" t="s">
        <v>85</v>
      </c>
    </row>
    <row r="2" spans="1:9" x14ac:dyDescent="0.3">
      <c r="A2">
        <v>109</v>
      </c>
      <c r="B2" t="s">
        <v>18</v>
      </c>
      <c r="C2" s="2">
        <v>46387</v>
      </c>
      <c r="D2">
        <v>2026</v>
      </c>
      <c r="E2" t="s">
        <v>9</v>
      </c>
      <c r="F2" t="s">
        <v>19</v>
      </c>
      <c r="G2">
        <v>87.327254990955836</v>
      </c>
      <c r="H2">
        <v>78.188299480195042</v>
      </c>
      <c r="I2">
        <v>96.466210501716631</v>
      </c>
    </row>
    <row r="3" spans="1:9" x14ac:dyDescent="0.3">
      <c r="A3">
        <v>109</v>
      </c>
      <c r="B3" t="s">
        <v>18</v>
      </c>
      <c r="C3" s="2">
        <v>46752</v>
      </c>
      <c r="D3">
        <v>2027</v>
      </c>
      <c r="E3" t="s">
        <v>11</v>
      </c>
      <c r="F3" t="s">
        <v>19</v>
      </c>
      <c r="G3">
        <v>89.678717759448261</v>
      </c>
      <c r="H3">
        <v>80.539762248687467</v>
      </c>
      <c r="I3">
        <v>98.817673270209056</v>
      </c>
    </row>
    <row r="4" spans="1:9" x14ac:dyDescent="0.3">
      <c r="A4">
        <v>109</v>
      </c>
      <c r="B4" t="s">
        <v>18</v>
      </c>
      <c r="C4" s="2">
        <v>47118</v>
      </c>
      <c r="D4">
        <v>2028</v>
      </c>
      <c r="E4" t="s">
        <v>13</v>
      </c>
      <c r="F4" t="s">
        <v>19</v>
      </c>
      <c r="G4">
        <v>91.472292114637227</v>
      </c>
      <c r="H4">
        <v>82.333336603876432</v>
      </c>
      <c r="I4">
        <v>100</v>
      </c>
    </row>
    <row r="5" spans="1:9" x14ac:dyDescent="0.3">
      <c r="A5">
        <v>109</v>
      </c>
      <c r="B5" t="s">
        <v>18</v>
      </c>
      <c r="C5" s="2">
        <v>47483</v>
      </c>
      <c r="D5">
        <v>2029</v>
      </c>
      <c r="E5" t="s">
        <v>15</v>
      </c>
      <c r="F5" t="s">
        <v>19</v>
      </c>
      <c r="G5">
        <v>93.301737956929969</v>
      </c>
      <c r="H5">
        <v>84.162782446169174</v>
      </c>
      <c r="I5">
        <v>100</v>
      </c>
    </row>
    <row r="6" spans="1:9" x14ac:dyDescent="0.3">
      <c r="A6">
        <v>109</v>
      </c>
      <c r="B6" t="s">
        <v>18</v>
      </c>
      <c r="C6" s="2">
        <v>47848</v>
      </c>
      <c r="D6">
        <v>2030</v>
      </c>
      <c r="E6" t="s">
        <v>17</v>
      </c>
      <c r="F6" t="s">
        <v>19</v>
      </c>
      <c r="G6">
        <v>95.167772716068569</v>
      </c>
      <c r="H6">
        <v>86.028817205307774</v>
      </c>
      <c r="I6">
        <v>100</v>
      </c>
    </row>
    <row r="7" spans="1:9" x14ac:dyDescent="0.3">
      <c r="A7">
        <v>148</v>
      </c>
      <c r="B7" t="s">
        <v>20</v>
      </c>
      <c r="C7" s="2">
        <v>46203</v>
      </c>
      <c r="D7">
        <v>2026</v>
      </c>
      <c r="E7" t="s">
        <v>7</v>
      </c>
      <c r="F7" t="s">
        <v>22</v>
      </c>
      <c r="G7">
        <v>5.386000000000001</v>
      </c>
      <c r="H7">
        <v>4.3088000000000006</v>
      </c>
      <c r="I7">
        <v>6.4632000000000014</v>
      </c>
    </row>
    <row r="8" spans="1:9" x14ac:dyDescent="0.3">
      <c r="A8">
        <v>148</v>
      </c>
      <c r="B8" t="s">
        <v>20</v>
      </c>
      <c r="C8" s="2">
        <v>46387</v>
      </c>
      <c r="D8">
        <v>2026</v>
      </c>
      <c r="E8" t="s">
        <v>9</v>
      </c>
      <c r="F8" t="s">
        <v>22</v>
      </c>
      <c r="G8">
        <v>5.5362857142857154</v>
      </c>
      <c r="H8">
        <v>4.395810857142858</v>
      </c>
      <c r="I8">
        <v>6.6767605714285727</v>
      </c>
    </row>
    <row r="9" spans="1:9" x14ac:dyDescent="0.3">
      <c r="A9">
        <v>148</v>
      </c>
      <c r="B9" t="s">
        <v>20</v>
      </c>
      <c r="C9" s="2">
        <v>46568</v>
      </c>
      <c r="D9">
        <v>2027</v>
      </c>
      <c r="E9" t="s">
        <v>10</v>
      </c>
      <c r="F9" t="s">
        <v>22</v>
      </c>
      <c r="G9">
        <v>5.6865714285714297</v>
      </c>
      <c r="H9">
        <v>4.4810182857142866</v>
      </c>
      <c r="I9">
        <v>6.8921245714285728</v>
      </c>
    </row>
    <row r="10" spans="1:9" x14ac:dyDescent="0.3">
      <c r="A10">
        <v>148</v>
      </c>
      <c r="B10" t="s">
        <v>20</v>
      </c>
      <c r="C10" s="2">
        <v>46752</v>
      </c>
      <c r="D10">
        <v>2027</v>
      </c>
      <c r="E10" t="s">
        <v>11</v>
      </c>
      <c r="F10" t="s">
        <v>22</v>
      </c>
      <c r="G10">
        <v>5.8368571428571441</v>
      </c>
      <c r="H10">
        <v>4.5644222857142873</v>
      </c>
      <c r="I10">
        <v>7.1092920000000008</v>
      </c>
    </row>
    <row r="11" spans="1:9" x14ac:dyDescent="0.3">
      <c r="A11">
        <v>148</v>
      </c>
      <c r="B11" t="s">
        <v>20</v>
      </c>
      <c r="C11" s="2">
        <v>46934</v>
      </c>
      <c r="D11">
        <v>2028</v>
      </c>
      <c r="E11" t="s">
        <v>12</v>
      </c>
      <c r="F11" t="s">
        <v>22</v>
      </c>
      <c r="G11">
        <v>5.9871428571428584</v>
      </c>
      <c r="H11">
        <v>4.6460228571428583</v>
      </c>
      <c r="I11">
        <v>7.3282628571428594</v>
      </c>
    </row>
    <row r="12" spans="1:9" x14ac:dyDescent="0.3">
      <c r="A12">
        <v>148</v>
      </c>
      <c r="B12" t="s">
        <v>20</v>
      </c>
      <c r="C12" s="2">
        <v>47118</v>
      </c>
      <c r="D12">
        <v>2028</v>
      </c>
      <c r="E12" t="s">
        <v>13</v>
      </c>
      <c r="F12" t="s">
        <v>22</v>
      </c>
      <c r="G12">
        <v>6.1374285714285728</v>
      </c>
      <c r="H12">
        <v>4.7258200000000024</v>
      </c>
      <c r="I12">
        <v>7.5490371428571432</v>
      </c>
    </row>
    <row r="13" spans="1:9" x14ac:dyDescent="0.3">
      <c r="A13">
        <v>148</v>
      </c>
      <c r="B13" t="s">
        <v>20</v>
      </c>
      <c r="C13" s="2">
        <v>47299</v>
      </c>
      <c r="D13">
        <v>2029</v>
      </c>
      <c r="E13" t="s">
        <v>14</v>
      </c>
      <c r="F13" t="s">
        <v>22</v>
      </c>
      <c r="G13">
        <v>6.2877142857142871</v>
      </c>
      <c r="H13">
        <v>4.8038137142857158</v>
      </c>
      <c r="I13">
        <v>7.7716148571428576</v>
      </c>
    </row>
    <row r="14" spans="1:9" x14ac:dyDescent="0.3">
      <c r="A14">
        <v>148</v>
      </c>
      <c r="B14" t="s">
        <v>20</v>
      </c>
      <c r="C14" s="2">
        <v>47483</v>
      </c>
      <c r="D14">
        <v>2029</v>
      </c>
      <c r="E14" t="s">
        <v>15</v>
      </c>
      <c r="F14" t="s">
        <v>22</v>
      </c>
      <c r="G14">
        <v>6.4380000000000006</v>
      </c>
      <c r="H14">
        <v>4.8800040000000013</v>
      </c>
      <c r="I14">
        <v>7.9959960000000017</v>
      </c>
    </row>
    <row r="15" spans="1:9" x14ac:dyDescent="0.3">
      <c r="A15">
        <v>148</v>
      </c>
      <c r="B15" t="s">
        <v>20</v>
      </c>
      <c r="C15" s="2">
        <v>47664</v>
      </c>
      <c r="D15">
        <v>2030</v>
      </c>
      <c r="E15" t="s">
        <v>16</v>
      </c>
      <c r="F15" t="s">
        <v>22</v>
      </c>
      <c r="G15">
        <v>6.5882857142857159</v>
      </c>
      <c r="H15">
        <v>4.954390857142859</v>
      </c>
      <c r="I15">
        <v>8.2221805714285736</v>
      </c>
    </row>
    <row r="16" spans="1:9" x14ac:dyDescent="0.3">
      <c r="A16">
        <v>148</v>
      </c>
      <c r="B16" t="s">
        <v>20</v>
      </c>
      <c r="C16" s="2">
        <v>47848</v>
      </c>
      <c r="D16">
        <v>2030</v>
      </c>
      <c r="E16" t="s">
        <v>17</v>
      </c>
      <c r="F16" t="s">
        <v>22</v>
      </c>
      <c r="G16">
        <v>6.7385714285714302</v>
      </c>
      <c r="H16">
        <v>5.0269742857142869</v>
      </c>
      <c r="I16">
        <v>8.4501685714285717</v>
      </c>
    </row>
    <row r="17" spans="1:9" x14ac:dyDescent="0.3">
      <c r="A17">
        <v>148</v>
      </c>
      <c r="B17" t="s">
        <v>20</v>
      </c>
      <c r="C17" s="2">
        <v>46203</v>
      </c>
      <c r="D17">
        <v>2026</v>
      </c>
      <c r="E17" t="s">
        <v>7</v>
      </c>
      <c r="F17" t="s">
        <v>26</v>
      </c>
      <c r="G17">
        <v>5.1583252300892388</v>
      </c>
      <c r="H17">
        <v>4.1266601840713912</v>
      </c>
      <c r="I17">
        <v>6.1899902761070864</v>
      </c>
    </row>
    <row r="18" spans="1:9" x14ac:dyDescent="0.3">
      <c r="A18">
        <v>148</v>
      </c>
      <c r="B18" t="s">
        <v>20</v>
      </c>
      <c r="C18" s="2">
        <v>46387</v>
      </c>
      <c r="D18">
        <v>2026</v>
      </c>
      <c r="E18" t="s">
        <v>9</v>
      </c>
      <c r="F18" t="s">
        <v>26</v>
      </c>
      <c r="G18">
        <v>5.2470829040598819</v>
      </c>
      <c r="H18">
        <v>4.1661838258235466</v>
      </c>
      <c r="I18">
        <v>6.3279819822962171</v>
      </c>
    </row>
    <row r="19" spans="1:9" x14ac:dyDescent="0.3">
      <c r="A19">
        <v>148</v>
      </c>
      <c r="B19" t="s">
        <v>20</v>
      </c>
      <c r="C19" s="2">
        <v>46568</v>
      </c>
      <c r="D19">
        <v>2027</v>
      </c>
      <c r="E19" t="s">
        <v>10</v>
      </c>
      <c r="F19" t="s">
        <v>26</v>
      </c>
      <c r="G19">
        <v>5.3371612882599546</v>
      </c>
      <c r="H19">
        <v>4.2056830951488449</v>
      </c>
      <c r="I19">
        <v>6.4686394813710644</v>
      </c>
    </row>
    <row r="20" spans="1:9" x14ac:dyDescent="0.3">
      <c r="A20">
        <v>148</v>
      </c>
      <c r="B20" t="s">
        <v>20</v>
      </c>
      <c r="C20" s="2">
        <v>46752</v>
      </c>
      <c r="D20">
        <v>2027</v>
      </c>
      <c r="E20" t="s">
        <v>11</v>
      </c>
      <c r="F20" t="s">
        <v>26</v>
      </c>
      <c r="G20">
        <v>5.4285603826894571</v>
      </c>
      <c r="H20">
        <v>4.2451342192631554</v>
      </c>
      <c r="I20">
        <v>6.6119865461157588</v>
      </c>
    </row>
    <row r="21" spans="1:9" x14ac:dyDescent="0.3">
      <c r="A21">
        <v>148</v>
      </c>
      <c r="B21" t="s">
        <v>20</v>
      </c>
      <c r="C21" s="2">
        <v>46934</v>
      </c>
      <c r="D21">
        <v>2028</v>
      </c>
      <c r="E21" t="s">
        <v>12</v>
      </c>
      <c r="F21" t="s">
        <v>26</v>
      </c>
      <c r="G21">
        <v>5.5212801873483901</v>
      </c>
      <c r="H21">
        <v>4.2845134253823511</v>
      </c>
      <c r="I21">
        <v>6.7580469493144291</v>
      </c>
    </row>
    <row r="22" spans="1:9" x14ac:dyDescent="0.3">
      <c r="A22">
        <v>148</v>
      </c>
      <c r="B22" t="s">
        <v>20</v>
      </c>
      <c r="C22" s="2">
        <v>47118</v>
      </c>
      <c r="D22">
        <v>2028</v>
      </c>
      <c r="E22" t="s">
        <v>13</v>
      </c>
      <c r="F22" t="s">
        <v>26</v>
      </c>
      <c r="G22">
        <v>5.6153207022367528</v>
      </c>
      <c r="H22">
        <v>4.3237969407223007</v>
      </c>
      <c r="I22">
        <v>6.906844463751205</v>
      </c>
    </row>
    <row r="23" spans="1:9" x14ac:dyDescent="0.3">
      <c r="A23">
        <v>148</v>
      </c>
      <c r="B23" t="s">
        <v>20</v>
      </c>
      <c r="C23" s="2">
        <v>47299</v>
      </c>
      <c r="D23">
        <v>2029</v>
      </c>
      <c r="E23" t="s">
        <v>14</v>
      </c>
      <c r="F23" t="s">
        <v>26</v>
      </c>
      <c r="G23">
        <v>5.7106819273545444</v>
      </c>
      <c r="H23">
        <v>4.3629609924988726</v>
      </c>
      <c r="I23">
        <v>7.0584028622102162</v>
      </c>
    </row>
    <row r="24" spans="1:9" x14ac:dyDescent="0.3">
      <c r="A24">
        <v>148</v>
      </c>
      <c r="B24" t="s">
        <v>20</v>
      </c>
      <c r="C24" s="2">
        <v>47483</v>
      </c>
      <c r="D24">
        <v>2029</v>
      </c>
      <c r="E24" t="s">
        <v>15</v>
      </c>
      <c r="F24" t="s">
        <v>26</v>
      </c>
      <c r="G24">
        <v>5.8073638627017674</v>
      </c>
      <c r="H24">
        <v>4.4019818079279389</v>
      </c>
      <c r="I24">
        <v>7.2127459174755941</v>
      </c>
    </row>
    <row r="25" spans="1:9" x14ac:dyDescent="0.3">
      <c r="A25">
        <v>148</v>
      </c>
      <c r="B25" t="s">
        <v>20</v>
      </c>
      <c r="C25" s="2">
        <v>47664</v>
      </c>
      <c r="D25">
        <v>2030</v>
      </c>
      <c r="E25" t="s">
        <v>16</v>
      </c>
      <c r="F25" t="s">
        <v>26</v>
      </c>
      <c r="G25">
        <v>5.9053665082784192</v>
      </c>
      <c r="H25">
        <v>4.4408356142253709</v>
      </c>
      <c r="I25">
        <v>7.3698974023314676</v>
      </c>
    </row>
    <row r="26" spans="1:9" x14ac:dyDescent="0.3">
      <c r="A26">
        <v>148</v>
      </c>
      <c r="B26" t="s">
        <v>20</v>
      </c>
      <c r="C26" s="2">
        <v>47848</v>
      </c>
      <c r="D26">
        <v>2030</v>
      </c>
      <c r="E26" t="s">
        <v>17</v>
      </c>
      <c r="F26" t="s">
        <v>26</v>
      </c>
      <c r="G26">
        <v>6.0046898640845008</v>
      </c>
      <c r="H26">
        <v>4.4794986386070388</v>
      </c>
      <c r="I26">
        <v>7.5298810895619628</v>
      </c>
    </row>
    <row r="27" spans="1:9" x14ac:dyDescent="0.3">
      <c r="A27">
        <v>148</v>
      </c>
      <c r="B27" t="s">
        <v>20</v>
      </c>
      <c r="C27" s="2">
        <v>46203</v>
      </c>
      <c r="D27">
        <v>2026</v>
      </c>
      <c r="E27" t="s">
        <v>7</v>
      </c>
      <c r="F27" t="s">
        <v>25</v>
      </c>
      <c r="G27">
        <v>5.3560000000000008</v>
      </c>
      <c r="H27">
        <v>4.2848000000000006</v>
      </c>
      <c r="I27">
        <v>6.4272000000000009</v>
      </c>
    </row>
    <row r="28" spans="1:9" x14ac:dyDescent="0.3">
      <c r="A28">
        <v>148</v>
      </c>
      <c r="B28" t="s">
        <v>20</v>
      </c>
      <c r="C28" s="2">
        <v>46387</v>
      </c>
      <c r="D28">
        <v>2026</v>
      </c>
      <c r="E28" t="s">
        <v>9</v>
      </c>
      <c r="F28" t="s">
        <v>25</v>
      </c>
      <c r="G28">
        <v>5.51668</v>
      </c>
      <c r="H28">
        <v>4.3802439199999998</v>
      </c>
      <c r="I28">
        <v>6.6531160800000002</v>
      </c>
    </row>
    <row r="29" spans="1:9" x14ac:dyDescent="0.3">
      <c r="A29">
        <v>148</v>
      </c>
      <c r="B29" t="s">
        <v>20</v>
      </c>
      <c r="C29" s="2">
        <v>46568</v>
      </c>
      <c r="D29">
        <v>2027</v>
      </c>
      <c r="E29" t="s">
        <v>10</v>
      </c>
      <c r="F29" t="s">
        <v>25</v>
      </c>
      <c r="G29">
        <v>5.6821804</v>
      </c>
      <c r="H29">
        <v>4.4775581551999997</v>
      </c>
      <c r="I29">
        <v>6.8868026448000004</v>
      </c>
    </row>
    <row r="30" spans="1:9" x14ac:dyDescent="0.3">
      <c r="A30">
        <v>148</v>
      </c>
      <c r="B30" t="s">
        <v>20</v>
      </c>
      <c r="C30" s="2">
        <v>46752</v>
      </c>
      <c r="D30">
        <v>2027</v>
      </c>
      <c r="E30" t="s">
        <v>11</v>
      </c>
      <c r="F30" t="s">
        <v>25</v>
      </c>
      <c r="G30">
        <v>5.8526458120000013</v>
      </c>
      <c r="H30">
        <v>4.5767690249840012</v>
      </c>
      <c r="I30">
        <v>7.1285225990160006</v>
      </c>
    </row>
    <row r="31" spans="1:9" x14ac:dyDescent="0.3">
      <c r="A31">
        <v>148</v>
      </c>
      <c r="B31" t="s">
        <v>20</v>
      </c>
      <c r="C31" s="2">
        <v>46934</v>
      </c>
      <c r="D31">
        <v>2028</v>
      </c>
      <c r="E31" t="s">
        <v>12</v>
      </c>
      <c r="F31" t="s">
        <v>25</v>
      </c>
      <c r="G31">
        <v>6.0282251863600003</v>
      </c>
      <c r="H31">
        <v>4.6779027446153609</v>
      </c>
      <c r="I31">
        <v>7.3785476281046396</v>
      </c>
    </row>
    <row r="32" spans="1:9" x14ac:dyDescent="0.3">
      <c r="A32">
        <v>148</v>
      </c>
      <c r="B32" t="s">
        <v>20</v>
      </c>
      <c r="C32" s="2">
        <v>47118</v>
      </c>
      <c r="D32">
        <v>2028</v>
      </c>
      <c r="E32" t="s">
        <v>13</v>
      </c>
      <c r="F32" t="s">
        <v>25</v>
      </c>
      <c r="G32">
        <v>6.2090719419508007</v>
      </c>
      <c r="H32">
        <v>4.7809853953021184</v>
      </c>
      <c r="I32">
        <v>7.6371584885994839</v>
      </c>
    </row>
    <row r="33" spans="1:9" x14ac:dyDescent="0.3">
      <c r="A33">
        <v>148</v>
      </c>
      <c r="B33" t="s">
        <v>20</v>
      </c>
      <c r="C33" s="2">
        <v>47299</v>
      </c>
      <c r="D33">
        <v>2029</v>
      </c>
      <c r="E33" t="s">
        <v>14</v>
      </c>
      <c r="F33" t="s">
        <v>25</v>
      </c>
      <c r="G33">
        <v>6.395344100209325</v>
      </c>
      <c r="H33">
        <v>4.8860428925599253</v>
      </c>
      <c r="I33">
        <v>7.9046453078587247</v>
      </c>
    </row>
    <row r="34" spans="1:9" x14ac:dyDescent="0.3">
      <c r="A34">
        <v>148</v>
      </c>
      <c r="B34" t="s">
        <v>20</v>
      </c>
      <c r="C34" s="2">
        <v>47483</v>
      </c>
      <c r="D34">
        <v>2029</v>
      </c>
      <c r="E34" t="s">
        <v>15</v>
      </c>
      <c r="F34" t="s">
        <v>25</v>
      </c>
      <c r="G34">
        <v>6.5872044232156064</v>
      </c>
      <c r="H34">
        <v>4.9931009527974286</v>
      </c>
      <c r="I34">
        <v>8.1813078936337824</v>
      </c>
    </row>
    <row r="35" spans="1:9" x14ac:dyDescent="0.3">
      <c r="A35">
        <v>148</v>
      </c>
      <c r="B35" t="s">
        <v>20</v>
      </c>
      <c r="C35" s="2">
        <v>47664</v>
      </c>
      <c r="D35">
        <v>2030</v>
      </c>
      <c r="E35" t="s">
        <v>16</v>
      </c>
      <c r="F35" t="s">
        <v>25</v>
      </c>
      <c r="G35">
        <v>6.7848205559120736</v>
      </c>
      <c r="H35">
        <v>5.1021850580458814</v>
      </c>
      <c r="I35">
        <v>8.4674560537782675</v>
      </c>
    </row>
    <row r="36" spans="1:9" x14ac:dyDescent="0.3">
      <c r="A36">
        <v>148</v>
      </c>
      <c r="B36" t="s">
        <v>20</v>
      </c>
      <c r="C36" s="2">
        <v>47848</v>
      </c>
      <c r="D36">
        <v>2030</v>
      </c>
      <c r="E36" t="s">
        <v>17</v>
      </c>
      <c r="F36" t="s">
        <v>25</v>
      </c>
      <c r="G36">
        <v>6.988365172589436</v>
      </c>
      <c r="H36">
        <v>5.2133204187517199</v>
      </c>
      <c r="I36">
        <v>8.7634099264271512</v>
      </c>
    </row>
    <row r="37" spans="1:9" x14ac:dyDescent="0.3">
      <c r="A37">
        <v>202</v>
      </c>
      <c r="B37" t="s">
        <v>24</v>
      </c>
      <c r="C37" s="2">
        <v>46752</v>
      </c>
      <c r="D37">
        <f t="shared" ref="D37:D39" si="0">YEAR(C37)</f>
        <v>2027</v>
      </c>
      <c r="E37" t="s">
        <v>11</v>
      </c>
      <c r="F37" t="s">
        <v>25</v>
      </c>
      <c r="G37">
        <v>82.343356496442809</v>
      </c>
      <c r="H37">
        <v>78.226188671620662</v>
      </c>
      <c r="I37">
        <v>86.460524321264955</v>
      </c>
    </row>
    <row r="38" spans="1:9" x14ac:dyDescent="0.3">
      <c r="A38">
        <v>202</v>
      </c>
      <c r="B38" t="s">
        <v>24</v>
      </c>
      <c r="C38" s="2">
        <v>47483</v>
      </c>
      <c r="D38">
        <f t="shared" si="0"/>
        <v>2029</v>
      </c>
      <c r="E38" t="s">
        <v>15</v>
      </c>
      <c r="F38" t="s">
        <v>25</v>
      </c>
      <c r="G38">
        <v>83.708992087657649</v>
      </c>
      <c r="H38">
        <v>79.523542483274767</v>
      </c>
      <c r="I38">
        <v>87.89444169204053</v>
      </c>
    </row>
    <row r="39" spans="1:9" x14ac:dyDescent="0.3">
      <c r="A39">
        <v>202</v>
      </c>
      <c r="B39" t="s">
        <v>24</v>
      </c>
      <c r="C39" s="2">
        <v>48213</v>
      </c>
      <c r="D39">
        <f t="shared" si="0"/>
        <v>2031</v>
      </c>
      <c r="E39" t="s">
        <v>70</v>
      </c>
      <c r="F39" t="s">
        <v>25</v>
      </c>
      <c r="G39">
        <v>85.097276264591429</v>
      </c>
      <c r="H39">
        <v>80.842412451361852</v>
      </c>
      <c r="I39">
        <v>89.352140077821005</v>
      </c>
    </row>
    <row r="40" spans="1:9" x14ac:dyDescent="0.3">
      <c r="A40">
        <v>193</v>
      </c>
      <c r="B40" t="s">
        <v>21</v>
      </c>
      <c r="C40" s="2">
        <v>46203</v>
      </c>
      <c r="D40">
        <v>2026</v>
      </c>
      <c r="E40" t="s">
        <v>7</v>
      </c>
      <c r="F40" t="s">
        <v>22</v>
      </c>
      <c r="G40">
        <v>94.862857142857138</v>
      </c>
      <c r="H40">
        <f>+G40*0.97</f>
        <v>92.016971428571424</v>
      </c>
      <c r="I40">
        <f>+G40*1.005</f>
        <v>95.337171428571409</v>
      </c>
    </row>
    <row r="41" spans="1:9" x14ac:dyDescent="0.3">
      <c r="A41">
        <v>193</v>
      </c>
      <c r="B41" t="s">
        <v>21</v>
      </c>
      <c r="C41" s="2">
        <v>46387</v>
      </c>
      <c r="D41">
        <v>2026</v>
      </c>
      <c r="E41" t="s">
        <v>9</v>
      </c>
      <c r="F41" t="s">
        <v>22</v>
      </c>
      <c r="G41">
        <f>+G40*1.0035</f>
        <v>95.194877142857138</v>
      </c>
      <c r="H41">
        <f t="shared" ref="H41:H49" si="1">+G41*0.97</f>
        <v>92.339030828571424</v>
      </c>
      <c r="I41">
        <f t="shared" ref="I41:I49" si="2">+G41*1.005</f>
        <v>95.670851528571418</v>
      </c>
    </row>
    <row r="42" spans="1:9" x14ac:dyDescent="0.3">
      <c r="A42">
        <v>193</v>
      </c>
      <c r="B42" t="s">
        <v>21</v>
      </c>
      <c r="C42" s="2">
        <v>46568</v>
      </c>
      <c r="D42">
        <v>2027</v>
      </c>
      <c r="E42" t="s">
        <v>10</v>
      </c>
      <c r="F42" t="s">
        <v>22</v>
      </c>
      <c r="G42">
        <f t="shared" ref="G42:G49" si="3">+G41*1.0035</f>
        <v>95.528059212857144</v>
      </c>
      <c r="H42">
        <f t="shared" si="1"/>
        <v>92.662217436471423</v>
      </c>
      <c r="I42">
        <f t="shared" si="2"/>
        <v>96.005699508921424</v>
      </c>
    </row>
    <row r="43" spans="1:9" x14ac:dyDescent="0.3">
      <c r="A43">
        <v>193</v>
      </c>
      <c r="B43" t="s">
        <v>21</v>
      </c>
      <c r="C43" s="2">
        <v>46752</v>
      </c>
      <c r="D43">
        <v>2027</v>
      </c>
      <c r="E43" t="s">
        <v>11</v>
      </c>
      <c r="F43" t="s">
        <v>22</v>
      </c>
      <c r="G43">
        <f t="shared" si="3"/>
        <v>95.862407420102144</v>
      </c>
      <c r="H43">
        <f t="shared" si="1"/>
        <v>92.98653519749908</v>
      </c>
      <c r="I43">
        <f t="shared" si="2"/>
        <v>96.341719457202643</v>
      </c>
    </row>
    <row r="44" spans="1:9" x14ac:dyDescent="0.3">
      <c r="A44">
        <v>193</v>
      </c>
      <c r="B44" t="s">
        <v>21</v>
      </c>
      <c r="C44" s="2">
        <v>46934</v>
      </c>
      <c r="D44">
        <v>2028</v>
      </c>
      <c r="E44" t="s">
        <v>12</v>
      </c>
      <c r="F44" t="s">
        <v>22</v>
      </c>
      <c r="G44">
        <f t="shared" si="3"/>
        <v>96.197925846072508</v>
      </c>
      <c r="H44">
        <f t="shared" si="1"/>
        <v>93.311988070690333</v>
      </c>
      <c r="I44">
        <f t="shared" si="2"/>
        <v>96.678915475302858</v>
      </c>
    </row>
    <row r="45" spans="1:9" x14ac:dyDescent="0.3">
      <c r="A45">
        <v>193</v>
      </c>
      <c r="B45" t="s">
        <v>21</v>
      </c>
      <c r="C45" s="2">
        <v>47118</v>
      </c>
      <c r="D45">
        <v>2028</v>
      </c>
      <c r="E45" t="s">
        <v>13</v>
      </c>
      <c r="F45" t="s">
        <v>22</v>
      </c>
      <c r="G45">
        <f t="shared" si="3"/>
        <v>96.534618586533767</v>
      </c>
      <c r="H45">
        <f t="shared" si="1"/>
        <v>93.638580028937753</v>
      </c>
      <c r="I45">
        <f t="shared" si="2"/>
        <v>97.017291679466425</v>
      </c>
    </row>
    <row r="46" spans="1:9" x14ac:dyDescent="0.3">
      <c r="A46">
        <v>193</v>
      </c>
      <c r="B46" t="s">
        <v>21</v>
      </c>
      <c r="C46" s="2">
        <v>47299</v>
      </c>
      <c r="D46">
        <v>2029</v>
      </c>
      <c r="E46" t="s">
        <v>14</v>
      </c>
      <c r="F46" t="s">
        <v>22</v>
      </c>
      <c r="G46">
        <f t="shared" si="3"/>
        <v>96.872489751586642</v>
      </c>
      <c r="H46">
        <f t="shared" si="1"/>
        <v>93.966315059039033</v>
      </c>
      <c r="I46">
        <f t="shared" si="2"/>
        <v>97.356852200344562</v>
      </c>
    </row>
    <row r="47" spans="1:9" x14ac:dyDescent="0.3">
      <c r="A47">
        <v>193</v>
      </c>
      <c r="B47" t="s">
        <v>21</v>
      </c>
      <c r="C47" s="2">
        <v>47483</v>
      </c>
      <c r="D47">
        <v>2029</v>
      </c>
      <c r="E47" t="s">
        <v>15</v>
      </c>
      <c r="F47" t="s">
        <v>22</v>
      </c>
      <c r="G47">
        <f t="shared" si="3"/>
        <v>97.211543465717199</v>
      </c>
      <c r="H47">
        <f t="shared" si="1"/>
        <v>94.295197161745676</v>
      </c>
      <c r="I47">
        <f t="shared" si="2"/>
        <v>97.697601183045776</v>
      </c>
    </row>
    <row r="48" spans="1:9" x14ac:dyDescent="0.3">
      <c r="A48">
        <v>193</v>
      </c>
      <c r="B48" t="s">
        <v>21</v>
      </c>
      <c r="C48" s="2">
        <v>47664</v>
      </c>
      <c r="D48">
        <v>2030</v>
      </c>
      <c r="E48" t="s">
        <v>16</v>
      </c>
      <c r="F48" t="s">
        <v>22</v>
      </c>
      <c r="G48">
        <f t="shared" si="3"/>
        <v>97.55178386784722</v>
      </c>
      <c r="H48">
        <f t="shared" si="1"/>
        <v>94.625230351811794</v>
      </c>
      <c r="I48">
        <f t="shared" si="2"/>
        <v>98.039542787186448</v>
      </c>
    </row>
    <row r="49" spans="1:9" x14ac:dyDescent="0.3">
      <c r="A49">
        <v>193</v>
      </c>
      <c r="B49" t="s">
        <v>21</v>
      </c>
      <c r="C49" s="2">
        <v>47848</v>
      </c>
      <c r="D49">
        <v>2030</v>
      </c>
      <c r="E49" t="s">
        <v>17</v>
      </c>
      <c r="F49" t="s">
        <v>22</v>
      </c>
      <c r="G49">
        <f t="shared" si="3"/>
        <v>97.893215111384691</v>
      </c>
      <c r="H49">
        <f t="shared" si="1"/>
        <v>94.956418658043148</v>
      </c>
      <c r="I49">
        <f t="shared" si="2"/>
        <v>98.38268118694161</v>
      </c>
    </row>
    <row r="50" spans="1:9" x14ac:dyDescent="0.3">
      <c r="A50">
        <v>200</v>
      </c>
      <c r="B50" t="s">
        <v>28</v>
      </c>
      <c r="C50" s="2">
        <v>46387</v>
      </c>
      <c r="D50">
        <v>2026</v>
      </c>
      <c r="E50" t="s">
        <v>9</v>
      </c>
      <c r="F50" t="s">
        <v>66</v>
      </c>
      <c r="G50">
        <v>88.274000000000001</v>
      </c>
      <c r="H50">
        <v>85.625779999999992</v>
      </c>
      <c r="I50">
        <v>90.92222000000001</v>
      </c>
    </row>
    <row r="51" spans="1:9" x14ac:dyDescent="0.3">
      <c r="A51">
        <v>200</v>
      </c>
      <c r="B51" t="s">
        <v>28</v>
      </c>
      <c r="C51" s="2">
        <v>46752</v>
      </c>
      <c r="D51">
        <v>2027</v>
      </c>
      <c r="E51" t="s">
        <v>11</v>
      </c>
      <c r="F51" t="s">
        <v>66</v>
      </c>
      <c r="G51">
        <v>89.156740000000013</v>
      </c>
      <c r="H51">
        <v>86.401796734000015</v>
      </c>
      <c r="I51">
        <v>91.911683266000011</v>
      </c>
    </row>
    <row r="52" spans="1:9" x14ac:dyDescent="0.3">
      <c r="A52">
        <v>200</v>
      </c>
      <c r="B52" t="s">
        <v>28</v>
      </c>
      <c r="C52" s="2">
        <v>47118</v>
      </c>
      <c r="D52">
        <v>2028</v>
      </c>
      <c r="E52" t="s">
        <v>13</v>
      </c>
      <c r="F52" t="s">
        <v>66</v>
      </c>
      <c r="G52">
        <v>90.048307400000013</v>
      </c>
      <c r="H52">
        <v>87.184771224680006</v>
      </c>
      <c r="I52">
        <v>92.91184357532002</v>
      </c>
    </row>
    <row r="53" spans="1:9" x14ac:dyDescent="0.3">
      <c r="A53">
        <v>200</v>
      </c>
      <c r="B53" t="s">
        <v>28</v>
      </c>
      <c r="C53" s="2">
        <v>47483</v>
      </c>
      <c r="D53">
        <v>2029</v>
      </c>
      <c r="E53" t="s">
        <v>15</v>
      </c>
      <c r="F53" t="s">
        <v>66</v>
      </c>
      <c r="G53">
        <v>90.948790474000006</v>
      </c>
      <c r="H53">
        <v>87.974765025500204</v>
      </c>
      <c r="I53">
        <v>93.922815922499808</v>
      </c>
    </row>
    <row r="54" spans="1:9" x14ac:dyDescent="0.3">
      <c r="A54">
        <v>200</v>
      </c>
      <c r="B54" t="s">
        <v>28</v>
      </c>
      <c r="C54" s="2">
        <v>47848</v>
      </c>
      <c r="D54">
        <v>2030</v>
      </c>
      <c r="E54" t="s">
        <v>17</v>
      </c>
      <c r="F54" t="s">
        <v>66</v>
      </c>
      <c r="G54">
        <v>91.858278378740025</v>
      </c>
      <c r="H54">
        <v>88.771840225214362</v>
      </c>
      <c r="I54">
        <v>94.944716532265687</v>
      </c>
    </row>
    <row r="55" spans="1:9" x14ac:dyDescent="0.3">
      <c r="A55">
        <v>203</v>
      </c>
      <c r="B55" t="s">
        <v>29</v>
      </c>
      <c r="C55" s="2">
        <v>46387</v>
      </c>
      <c r="D55">
        <v>2026</v>
      </c>
      <c r="E55" t="s">
        <v>9</v>
      </c>
      <c r="F55" t="s">
        <v>27</v>
      </c>
      <c r="G55">
        <v>337385.42515227583</v>
      </c>
      <c r="H55">
        <v>310807.13294038421</v>
      </c>
      <c r="I55">
        <v>361906.34571078792</v>
      </c>
    </row>
    <row r="56" spans="1:9" x14ac:dyDescent="0.3">
      <c r="A56">
        <v>203</v>
      </c>
      <c r="B56" t="s">
        <v>29</v>
      </c>
      <c r="C56" s="2">
        <v>46752</v>
      </c>
      <c r="D56">
        <v>2027</v>
      </c>
      <c r="E56" t="s">
        <v>11</v>
      </c>
      <c r="F56" t="s">
        <v>27</v>
      </c>
      <c r="G56">
        <v>360065.15581525367</v>
      </c>
      <c r="H56">
        <v>330849.26888141083</v>
      </c>
      <c r="I56">
        <v>387019.50024189468</v>
      </c>
    </row>
    <row r="57" spans="1:9" x14ac:dyDescent="0.3">
      <c r="A57">
        <v>203</v>
      </c>
      <c r="B57" t="s">
        <v>29</v>
      </c>
      <c r="C57" s="2">
        <v>47118</v>
      </c>
      <c r="D57">
        <v>2028</v>
      </c>
      <c r="E57" t="s">
        <v>13</v>
      </c>
      <c r="F57" t="s">
        <v>27</v>
      </c>
      <c r="G57">
        <v>382744.8864782317</v>
      </c>
      <c r="H57">
        <v>350784.20602890762</v>
      </c>
      <c r="I57">
        <v>412231.55552550871</v>
      </c>
    </row>
    <row r="58" spans="1:9" x14ac:dyDescent="0.3">
      <c r="A58">
        <v>203</v>
      </c>
      <c r="B58" t="s">
        <v>29</v>
      </c>
      <c r="C58" s="2">
        <v>47483</v>
      </c>
      <c r="D58">
        <v>2029</v>
      </c>
      <c r="E58" t="s">
        <v>15</v>
      </c>
      <c r="F58" t="s">
        <v>27</v>
      </c>
      <c r="G58">
        <v>405424.61714120972</v>
      </c>
      <c r="H58">
        <v>370611.94438287453</v>
      </c>
      <c r="I58">
        <v>437542.51156162989</v>
      </c>
    </row>
    <row r="59" spans="1:9" x14ac:dyDescent="0.3">
      <c r="A59">
        <v>203</v>
      </c>
      <c r="B59" t="s">
        <v>29</v>
      </c>
      <c r="C59" s="2">
        <v>47848</v>
      </c>
      <c r="D59">
        <v>2030</v>
      </c>
      <c r="E59" t="s">
        <v>17</v>
      </c>
      <c r="F59" t="s">
        <v>27</v>
      </c>
      <c r="G59">
        <v>428104.34780418762</v>
      </c>
      <c r="H59">
        <v>390332.48394331167</v>
      </c>
      <c r="I59">
        <v>462952.36835025827</v>
      </c>
    </row>
    <row r="60" spans="1:9" x14ac:dyDescent="0.3">
      <c r="A60">
        <v>203</v>
      </c>
      <c r="B60" t="s">
        <v>29</v>
      </c>
      <c r="C60" s="2">
        <v>46387</v>
      </c>
      <c r="D60">
        <v>2026</v>
      </c>
      <c r="E60" t="s">
        <v>9</v>
      </c>
      <c r="F60" t="s">
        <v>30</v>
      </c>
      <c r="G60">
        <v>321304.73279046162</v>
      </c>
      <c r="H60">
        <v>295993.23312116117</v>
      </c>
      <c r="I60">
        <v>344656.92064585851</v>
      </c>
    </row>
    <row r="61" spans="1:9" x14ac:dyDescent="0.3">
      <c r="A61">
        <v>203</v>
      </c>
      <c r="B61" t="s">
        <v>29</v>
      </c>
      <c r="C61" s="2">
        <v>46752</v>
      </c>
      <c r="D61">
        <v>2027</v>
      </c>
      <c r="E61" t="s">
        <v>11</v>
      </c>
      <c r="F61" t="s">
        <v>30</v>
      </c>
      <c r="G61">
        <v>339023.55597144237</v>
      </c>
      <c r="H61">
        <v>311514.99614775</v>
      </c>
      <c r="I61">
        <v>364402.73401411739</v>
      </c>
    </row>
    <row r="62" spans="1:9" x14ac:dyDescent="0.3">
      <c r="A62">
        <v>203</v>
      </c>
      <c r="B62" t="s">
        <v>29</v>
      </c>
      <c r="C62" s="2">
        <v>47118</v>
      </c>
      <c r="D62">
        <v>2028</v>
      </c>
      <c r="E62" t="s">
        <v>13</v>
      </c>
      <c r="F62" t="s">
        <v>30</v>
      </c>
      <c r="G62">
        <v>356742.37915242318</v>
      </c>
      <c r="H62">
        <v>326953.0087764177</v>
      </c>
      <c r="I62">
        <v>384225.81483198522</v>
      </c>
    </row>
    <row r="63" spans="1:9" x14ac:dyDescent="0.3">
      <c r="A63">
        <v>203</v>
      </c>
      <c r="B63" t="s">
        <v>29</v>
      </c>
      <c r="C63" s="2">
        <v>47483</v>
      </c>
      <c r="D63">
        <v>2029</v>
      </c>
      <c r="E63" t="s">
        <v>15</v>
      </c>
      <c r="F63" t="s">
        <v>30</v>
      </c>
      <c r="G63">
        <v>374461.20233340398</v>
      </c>
      <c r="H63">
        <v>342307.27100716432</v>
      </c>
      <c r="I63">
        <v>404126.16309946158</v>
      </c>
    </row>
    <row r="64" spans="1:9" x14ac:dyDescent="0.3">
      <c r="A64">
        <v>203</v>
      </c>
      <c r="B64" t="s">
        <v>29</v>
      </c>
      <c r="C64" s="2">
        <v>47848</v>
      </c>
      <c r="D64">
        <v>2030</v>
      </c>
      <c r="E64" t="s">
        <v>17</v>
      </c>
      <c r="F64" t="s">
        <v>30</v>
      </c>
      <c r="G64">
        <v>392180.02551438479</v>
      </c>
      <c r="H64">
        <v>357577.78283998981</v>
      </c>
      <c r="I64">
        <v>424103.77881654678</v>
      </c>
    </row>
    <row r="65" spans="1:9" x14ac:dyDescent="0.3">
      <c r="A65">
        <v>204</v>
      </c>
      <c r="B65" t="s">
        <v>31</v>
      </c>
      <c r="C65" s="2">
        <v>46387</v>
      </c>
      <c r="D65">
        <v>2026</v>
      </c>
      <c r="E65" t="s">
        <v>9</v>
      </c>
      <c r="F65" t="s">
        <v>66</v>
      </c>
      <c r="G65">
        <v>132301.57511745999</v>
      </c>
      <c r="H65">
        <v>105841.260093968</v>
      </c>
      <c r="I65">
        <v>158761.89014095199</v>
      </c>
    </row>
    <row r="66" spans="1:9" x14ac:dyDescent="0.3">
      <c r="A66">
        <v>204</v>
      </c>
      <c r="B66" t="s">
        <v>31</v>
      </c>
      <c r="C66" s="2">
        <v>46752</v>
      </c>
      <c r="D66">
        <v>2027</v>
      </c>
      <c r="E66" t="s">
        <v>11</v>
      </c>
      <c r="F66" t="s">
        <v>66</v>
      </c>
      <c r="G66">
        <v>136270.62237098379</v>
      </c>
      <c r="H66">
        <v>108198.8741625611</v>
      </c>
      <c r="I66">
        <v>164342.37057940639</v>
      </c>
    </row>
    <row r="67" spans="1:9" x14ac:dyDescent="0.3">
      <c r="A67">
        <v>204</v>
      </c>
      <c r="B67" t="s">
        <v>31</v>
      </c>
      <c r="C67" s="2">
        <v>47118</v>
      </c>
      <c r="D67">
        <v>2028</v>
      </c>
      <c r="E67" t="s">
        <v>13</v>
      </c>
      <c r="F67" t="s">
        <v>66</v>
      </c>
      <c r="G67">
        <v>140358.74104211331</v>
      </c>
      <c r="H67">
        <v>110602.6879411853</v>
      </c>
      <c r="I67">
        <v>170114.7941430413</v>
      </c>
    </row>
    <row r="68" spans="1:9" x14ac:dyDescent="0.3">
      <c r="A68">
        <v>204</v>
      </c>
      <c r="B68" t="s">
        <v>31</v>
      </c>
      <c r="C68" s="2">
        <v>47483</v>
      </c>
      <c r="D68">
        <v>2029</v>
      </c>
      <c r="E68" t="s">
        <v>15</v>
      </c>
      <c r="F68" t="s">
        <v>66</v>
      </c>
      <c r="G68">
        <v>144569.5032733767</v>
      </c>
      <c r="H68">
        <v>113053.3515597806</v>
      </c>
      <c r="I68">
        <v>176085.65498697289</v>
      </c>
    </row>
    <row r="69" spans="1:9" x14ac:dyDescent="0.3">
      <c r="A69">
        <v>204</v>
      </c>
      <c r="B69" t="s">
        <v>31</v>
      </c>
      <c r="C69" s="2">
        <v>47848</v>
      </c>
      <c r="D69">
        <v>2030</v>
      </c>
      <c r="E69" t="s">
        <v>17</v>
      </c>
      <c r="F69" t="s">
        <v>66</v>
      </c>
      <c r="G69">
        <v>148906.58837157799</v>
      </c>
      <c r="H69">
        <v>115551.5125763446</v>
      </c>
      <c r="I69">
        <v>182261.6641668115</v>
      </c>
    </row>
    <row r="70" spans="1:9" x14ac:dyDescent="0.3">
      <c r="A70">
        <v>205</v>
      </c>
      <c r="B70" t="s">
        <v>32</v>
      </c>
      <c r="C70" s="2">
        <v>46387</v>
      </c>
      <c r="D70">
        <v>2026</v>
      </c>
      <c r="E70" t="s">
        <v>9</v>
      </c>
      <c r="F70" t="s">
        <v>22</v>
      </c>
      <c r="G70">
        <v>5855</v>
      </c>
      <c r="H70">
        <v>4684</v>
      </c>
      <c r="I70">
        <v>7026</v>
      </c>
    </row>
    <row r="71" spans="1:9" x14ac:dyDescent="0.3">
      <c r="A71">
        <v>205</v>
      </c>
      <c r="B71" t="s">
        <v>32</v>
      </c>
      <c r="C71" s="2">
        <v>46752</v>
      </c>
      <c r="D71">
        <v>2027</v>
      </c>
      <c r="E71" t="s">
        <v>11</v>
      </c>
      <c r="F71" t="s">
        <v>22</v>
      </c>
      <c r="G71">
        <v>6219.0240919999987</v>
      </c>
      <c r="H71">
        <v>4937.9051290480002</v>
      </c>
      <c r="I71">
        <v>7500.1430549519973</v>
      </c>
    </row>
    <row r="72" spans="1:9" x14ac:dyDescent="0.3">
      <c r="A72">
        <v>205</v>
      </c>
      <c r="B72" t="s">
        <v>32</v>
      </c>
      <c r="C72" s="2">
        <v>47118</v>
      </c>
      <c r="D72">
        <v>2028</v>
      </c>
      <c r="E72" t="s">
        <v>13</v>
      </c>
      <c r="F72" t="s">
        <v>22</v>
      </c>
      <c r="G72">
        <v>6485.9967514999989</v>
      </c>
      <c r="H72">
        <v>5110.9654401819989</v>
      </c>
      <c r="I72">
        <v>7861.0280628179989</v>
      </c>
    </row>
    <row r="73" spans="1:9" x14ac:dyDescent="0.3">
      <c r="A73">
        <v>205</v>
      </c>
      <c r="B73" t="s">
        <v>32</v>
      </c>
      <c r="C73" s="2">
        <v>47483</v>
      </c>
      <c r="D73">
        <v>2029</v>
      </c>
      <c r="E73" t="s">
        <v>15</v>
      </c>
      <c r="F73" t="s">
        <v>22</v>
      </c>
      <c r="G73">
        <v>6752.9694109999982</v>
      </c>
      <c r="H73">
        <v>5280.822079401999</v>
      </c>
      <c r="I73">
        <v>8225.1167425979966</v>
      </c>
    </row>
    <row r="74" spans="1:9" x14ac:dyDescent="0.3">
      <c r="A74">
        <v>205</v>
      </c>
      <c r="B74" t="s">
        <v>32</v>
      </c>
      <c r="C74" s="2">
        <v>47848</v>
      </c>
      <c r="D74">
        <v>2030</v>
      </c>
      <c r="E74" t="s">
        <v>17</v>
      </c>
      <c r="F74" t="s">
        <v>22</v>
      </c>
      <c r="G74">
        <v>7019.9420704999966</v>
      </c>
      <c r="H74">
        <v>5447.4750467079984</v>
      </c>
      <c r="I74">
        <v>8592.4090942919956</v>
      </c>
    </row>
    <row r="75" spans="1:9" x14ac:dyDescent="0.3">
      <c r="A75">
        <v>207</v>
      </c>
      <c r="B75" t="s">
        <v>33</v>
      </c>
      <c r="C75" s="2">
        <v>46387</v>
      </c>
      <c r="D75">
        <v>2026</v>
      </c>
      <c r="E75" t="s">
        <v>9</v>
      </c>
      <c r="F75" t="s">
        <v>66</v>
      </c>
      <c r="G75">
        <v>293409.4756239889</v>
      </c>
      <c r="H75">
        <v>314242.98358171928</v>
      </c>
      <c r="I75">
        <v>272575.96766625863</v>
      </c>
    </row>
    <row r="76" spans="1:9" x14ac:dyDescent="0.3">
      <c r="A76">
        <v>207</v>
      </c>
      <c r="B76" t="s">
        <v>33</v>
      </c>
      <c r="C76" s="2">
        <v>46752</v>
      </c>
      <c r="D76">
        <v>2027</v>
      </c>
      <c r="E76" t="s">
        <v>11</v>
      </c>
      <c r="F76" t="s">
        <v>66</v>
      </c>
      <c r="G76">
        <v>310591.22318889661</v>
      </c>
      <c r="H76">
        <v>333306.32414918538</v>
      </c>
      <c r="I76">
        <v>287876.12222860788</v>
      </c>
    </row>
    <row r="77" spans="1:9" x14ac:dyDescent="0.3">
      <c r="A77">
        <v>207</v>
      </c>
      <c r="B77" t="s">
        <v>33</v>
      </c>
      <c r="C77" s="2">
        <v>47118</v>
      </c>
      <c r="D77">
        <v>2028</v>
      </c>
      <c r="E77" t="s">
        <v>13</v>
      </c>
      <c r="F77" t="s">
        <v>66</v>
      </c>
      <c r="G77">
        <v>328779.11566018942</v>
      </c>
      <c r="H77">
        <v>353524.73659266828</v>
      </c>
      <c r="I77">
        <v>304033.49472771061</v>
      </c>
    </row>
    <row r="78" spans="1:9" x14ac:dyDescent="0.3">
      <c r="A78">
        <v>207</v>
      </c>
      <c r="B78" t="s">
        <v>33</v>
      </c>
      <c r="C78" s="2">
        <v>47483</v>
      </c>
      <c r="D78">
        <v>2029</v>
      </c>
      <c r="E78" t="s">
        <v>15</v>
      </c>
      <c r="F78" t="s">
        <v>66</v>
      </c>
      <c r="G78">
        <v>348032.07181599637</v>
      </c>
      <c r="H78">
        <v>374968.12943755521</v>
      </c>
      <c r="I78">
        <v>321096.01419443771</v>
      </c>
    </row>
    <row r="79" spans="1:9" x14ac:dyDescent="0.3">
      <c r="A79">
        <v>207</v>
      </c>
      <c r="B79" t="s">
        <v>33</v>
      </c>
      <c r="C79" s="2">
        <v>47848</v>
      </c>
      <c r="D79">
        <v>2030</v>
      </c>
      <c r="E79" t="s">
        <v>17</v>
      </c>
      <c r="F79" t="s">
        <v>66</v>
      </c>
      <c r="G79">
        <v>368412.46065557672</v>
      </c>
      <c r="H79">
        <v>397710.63783342228</v>
      </c>
      <c r="I79">
        <v>339114.28347773122</v>
      </c>
    </row>
    <row r="80" spans="1:9" x14ac:dyDescent="0.3">
      <c r="A80">
        <v>228</v>
      </c>
      <c r="B80" t="s">
        <v>34</v>
      </c>
      <c r="C80" s="2">
        <v>46387</v>
      </c>
      <c r="D80">
        <v>2026</v>
      </c>
      <c r="E80" t="s">
        <v>9</v>
      </c>
      <c r="F80" t="s">
        <v>27</v>
      </c>
      <c r="G80">
        <v>743.69125717621739</v>
      </c>
      <c r="H80">
        <v>594.95300574097394</v>
      </c>
      <c r="I80">
        <v>892.42950861146085</v>
      </c>
    </row>
    <row r="81" spans="1:9" x14ac:dyDescent="0.3">
      <c r="A81">
        <v>228</v>
      </c>
      <c r="B81" t="s">
        <v>34</v>
      </c>
      <c r="C81" s="2">
        <v>46752</v>
      </c>
      <c r="D81">
        <v>2027</v>
      </c>
      <c r="E81" t="s">
        <v>11</v>
      </c>
      <c r="F81" t="s">
        <v>27</v>
      </c>
      <c r="G81">
        <v>845.42962114370084</v>
      </c>
      <c r="H81">
        <v>671.27111918809851</v>
      </c>
      <c r="I81">
        <v>1019.5881230993029</v>
      </c>
    </row>
    <row r="82" spans="1:9" x14ac:dyDescent="0.3">
      <c r="A82">
        <v>228</v>
      </c>
      <c r="B82" t="s">
        <v>34</v>
      </c>
      <c r="C82" s="2">
        <v>47118</v>
      </c>
      <c r="D82">
        <v>2028</v>
      </c>
      <c r="E82" t="s">
        <v>13</v>
      </c>
      <c r="F82" t="s">
        <v>27</v>
      </c>
      <c r="G82">
        <v>947.16798511118441</v>
      </c>
      <c r="H82">
        <v>746.36837226761327</v>
      </c>
      <c r="I82">
        <v>1147.967597954756</v>
      </c>
    </row>
    <row r="83" spans="1:9" x14ac:dyDescent="0.3">
      <c r="A83">
        <v>228</v>
      </c>
      <c r="B83" t="s">
        <v>34</v>
      </c>
      <c r="C83" s="2">
        <v>47483</v>
      </c>
      <c r="D83">
        <v>2029</v>
      </c>
      <c r="E83" t="s">
        <v>15</v>
      </c>
      <c r="F83" t="s">
        <v>27</v>
      </c>
      <c r="G83">
        <v>1048.906349078668</v>
      </c>
      <c r="H83">
        <v>820.24476497951832</v>
      </c>
      <c r="I83">
        <v>1277.5679331778181</v>
      </c>
    </row>
    <row r="84" spans="1:9" x14ac:dyDescent="0.3">
      <c r="A84">
        <v>228</v>
      </c>
      <c r="B84" t="s">
        <v>34</v>
      </c>
      <c r="C84" s="2">
        <v>47848</v>
      </c>
      <c r="D84">
        <v>2030</v>
      </c>
      <c r="E84" t="s">
        <v>17</v>
      </c>
      <c r="F84" t="s">
        <v>27</v>
      </c>
      <c r="G84">
        <v>1150.644713046152</v>
      </c>
      <c r="H84">
        <v>892.90029732381356</v>
      </c>
      <c r="I84">
        <v>1408.3891287684901</v>
      </c>
    </row>
    <row r="85" spans="1:9" x14ac:dyDescent="0.3">
      <c r="A85">
        <v>228</v>
      </c>
      <c r="B85" t="s">
        <v>34</v>
      </c>
      <c r="C85" s="2">
        <v>46387</v>
      </c>
      <c r="D85">
        <v>2026</v>
      </c>
      <c r="E85" t="s">
        <v>9</v>
      </c>
      <c r="F85" t="s">
        <v>26</v>
      </c>
      <c r="G85">
        <v>663.92078647276094</v>
      </c>
      <c r="H85">
        <v>531.13662917820875</v>
      </c>
      <c r="I85">
        <v>796.70494376731313</v>
      </c>
    </row>
    <row r="86" spans="1:9" x14ac:dyDescent="0.3">
      <c r="A86">
        <v>228</v>
      </c>
      <c r="B86" t="s">
        <v>34</v>
      </c>
      <c r="C86" s="2">
        <v>46752</v>
      </c>
      <c r="D86">
        <v>2027</v>
      </c>
      <c r="E86" t="s">
        <v>11</v>
      </c>
      <c r="F86" t="s">
        <v>26</v>
      </c>
      <c r="G86">
        <v>760.60175637119119</v>
      </c>
      <c r="H86">
        <v>603.91779455872575</v>
      </c>
      <c r="I86">
        <v>917.28571818365663</v>
      </c>
    </row>
    <row r="87" spans="1:9" x14ac:dyDescent="0.3">
      <c r="A87">
        <v>228</v>
      </c>
      <c r="B87" t="s">
        <v>34</v>
      </c>
      <c r="C87" s="2">
        <v>47118</v>
      </c>
      <c r="D87">
        <v>2028</v>
      </c>
      <c r="E87" t="s">
        <v>13</v>
      </c>
      <c r="F87" t="s">
        <v>26</v>
      </c>
      <c r="G87">
        <v>870.7081039242845</v>
      </c>
      <c r="H87">
        <v>686.11798589233626</v>
      </c>
      <c r="I87">
        <v>1055.298221956233</v>
      </c>
    </row>
    <row r="88" spans="1:9" x14ac:dyDescent="0.3">
      <c r="A88">
        <v>228</v>
      </c>
      <c r="B88" t="s">
        <v>34</v>
      </c>
      <c r="C88" s="2">
        <v>47483</v>
      </c>
      <c r="D88">
        <v>2029</v>
      </c>
      <c r="E88" t="s">
        <v>15</v>
      </c>
      <c r="F88" t="s">
        <v>26</v>
      </c>
      <c r="G88">
        <v>994.23982913204077</v>
      </c>
      <c r="H88">
        <v>777.49554638125596</v>
      </c>
      <c r="I88">
        <v>1210.984111882826</v>
      </c>
    </row>
    <row r="89" spans="1:9" x14ac:dyDescent="0.3">
      <c r="A89">
        <v>228</v>
      </c>
      <c r="B89" t="s">
        <v>34</v>
      </c>
      <c r="C89" s="2">
        <v>47848</v>
      </c>
      <c r="D89">
        <v>2030</v>
      </c>
      <c r="E89" t="s">
        <v>17</v>
      </c>
      <c r="F89" t="s">
        <v>26</v>
      </c>
      <c r="G89">
        <v>1131.1969319944601</v>
      </c>
      <c r="H89">
        <v>877.80881922770084</v>
      </c>
      <c r="I89">
        <v>1384.585044761219</v>
      </c>
    </row>
    <row r="90" spans="1:9" x14ac:dyDescent="0.3">
      <c r="A90">
        <v>244</v>
      </c>
      <c r="B90" t="s">
        <v>35</v>
      </c>
      <c r="C90" s="2">
        <v>46387</v>
      </c>
      <c r="D90">
        <v>2026</v>
      </c>
      <c r="E90" t="s">
        <v>9</v>
      </c>
      <c r="F90" t="s">
        <v>22</v>
      </c>
      <c r="G90">
        <v>24</v>
      </c>
      <c r="H90">
        <v>25.6</v>
      </c>
      <c r="I90">
        <v>19.733333333333331</v>
      </c>
    </row>
    <row r="91" spans="1:9" x14ac:dyDescent="0.3">
      <c r="A91">
        <v>244</v>
      </c>
      <c r="B91" t="s">
        <v>35</v>
      </c>
      <c r="C91" s="2">
        <v>46752</v>
      </c>
      <c r="D91">
        <v>2027</v>
      </c>
      <c r="E91" t="s">
        <v>11</v>
      </c>
      <c r="F91" t="s">
        <v>22</v>
      </c>
      <c r="G91">
        <v>23.5</v>
      </c>
      <c r="H91">
        <v>25.113666666666671</v>
      </c>
      <c r="I91">
        <v>19.196888888888889</v>
      </c>
    </row>
    <row r="92" spans="1:9" x14ac:dyDescent="0.3">
      <c r="A92">
        <v>244</v>
      </c>
      <c r="B92" t="s">
        <v>35</v>
      </c>
      <c r="C92" s="2">
        <v>47118</v>
      </c>
      <c r="D92">
        <v>2028</v>
      </c>
      <c r="E92" t="s">
        <v>13</v>
      </c>
      <c r="F92" t="s">
        <v>22</v>
      </c>
      <c r="G92">
        <v>23</v>
      </c>
      <c r="H92">
        <v>24.625333333333341</v>
      </c>
      <c r="I92">
        <v>18.66577777777778</v>
      </c>
    </row>
    <row r="93" spans="1:9" x14ac:dyDescent="0.3">
      <c r="A93">
        <v>244</v>
      </c>
      <c r="B93" t="s">
        <v>35</v>
      </c>
      <c r="C93" s="2">
        <v>47483</v>
      </c>
      <c r="D93">
        <v>2029</v>
      </c>
      <c r="E93" t="s">
        <v>15</v>
      </c>
      <c r="F93" t="s">
        <v>22</v>
      </c>
      <c r="G93">
        <v>22.5</v>
      </c>
      <c r="H93">
        <v>24.135000000000009</v>
      </c>
      <c r="I93">
        <v>18.14</v>
      </c>
    </row>
    <row r="94" spans="1:9" x14ac:dyDescent="0.3">
      <c r="A94">
        <v>244</v>
      </c>
      <c r="B94" t="s">
        <v>35</v>
      </c>
      <c r="C94" s="2">
        <v>47848</v>
      </c>
      <c r="D94">
        <v>2030</v>
      </c>
      <c r="E94" t="s">
        <v>17</v>
      </c>
      <c r="F94" t="s">
        <v>22</v>
      </c>
      <c r="G94">
        <v>22</v>
      </c>
      <c r="H94">
        <v>23.64266666666667</v>
      </c>
      <c r="I94">
        <v>17.61955555555555</v>
      </c>
    </row>
    <row r="95" spans="1:9" x14ac:dyDescent="0.3">
      <c r="A95">
        <v>245</v>
      </c>
      <c r="B95" t="s">
        <v>36</v>
      </c>
      <c r="C95" s="2">
        <v>46203</v>
      </c>
      <c r="D95">
        <v>2026</v>
      </c>
      <c r="E95" t="s">
        <v>7</v>
      </c>
      <c r="F95" t="s">
        <v>25</v>
      </c>
      <c r="G95">
        <v>86.600803392352617</v>
      </c>
      <c r="H95">
        <v>84.002779290582041</v>
      </c>
      <c r="I95">
        <v>89.198827494123194</v>
      </c>
    </row>
    <row r="96" spans="1:9" x14ac:dyDescent="0.3">
      <c r="A96">
        <v>245</v>
      </c>
      <c r="B96" t="s">
        <v>36</v>
      </c>
      <c r="C96" s="2">
        <v>46387</v>
      </c>
      <c r="D96">
        <v>2026</v>
      </c>
      <c r="E96" t="s">
        <v>9</v>
      </c>
      <c r="F96" t="s">
        <v>25</v>
      </c>
      <c r="G96">
        <v>86.701724256657954</v>
      </c>
      <c r="H96">
        <v>84.022640977127224</v>
      </c>
      <c r="I96">
        <v>89.380807536188684</v>
      </c>
    </row>
    <row r="97" spans="1:9" x14ac:dyDescent="0.3">
      <c r="A97">
        <v>245</v>
      </c>
      <c r="B97" t="s">
        <v>36</v>
      </c>
      <c r="C97" s="2">
        <v>46568</v>
      </c>
      <c r="D97">
        <v>2027</v>
      </c>
      <c r="E97" t="s">
        <v>10</v>
      </c>
      <c r="F97" t="s">
        <v>25</v>
      </c>
      <c r="G97">
        <v>86.802762729812784</v>
      </c>
      <c r="H97">
        <v>84.04243487500473</v>
      </c>
      <c r="I97">
        <v>89.563090584620838</v>
      </c>
    </row>
    <row r="98" spans="1:9" x14ac:dyDescent="0.3">
      <c r="A98">
        <v>245</v>
      </c>
      <c r="B98" t="s">
        <v>36</v>
      </c>
      <c r="C98" s="2">
        <v>46752</v>
      </c>
      <c r="D98">
        <v>2027</v>
      </c>
      <c r="E98" t="s">
        <v>11</v>
      </c>
      <c r="F98" t="s">
        <v>25</v>
      </c>
      <c r="G98">
        <v>86.903918948873411</v>
      </c>
      <c r="H98">
        <v>84.062160799245248</v>
      </c>
      <c r="I98">
        <v>89.745677098501574</v>
      </c>
    </row>
    <row r="99" spans="1:9" x14ac:dyDescent="0.3">
      <c r="A99">
        <v>245</v>
      </c>
      <c r="B99" t="s">
        <v>36</v>
      </c>
      <c r="C99" s="2">
        <v>46934</v>
      </c>
      <c r="D99">
        <v>2028</v>
      </c>
      <c r="E99" t="s">
        <v>12</v>
      </c>
      <c r="F99" t="s">
        <v>25</v>
      </c>
      <c r="G99">
        <v>87.005193051055869</v>
      </c>
      <c r="H99">
        <v>84.081818564540384</v>
      </c>
      <c r="I99">
        <v>89.928567537571354</v>
      </c>
    </row>
    <row r="100" spans="1:9" x14ac:dyDescent="0.3">
      <c r="A100">
        <v>245</v>
      </c>
      <c r="B100" t="s">
        <v>36</v>
      </c>
      <c r="C100" s="2">
        <v>47118</v>
      </c>
      <c r="D100">
        <v>2028</v>
      </c>
      <c r="E100" t="s">
        <v>13</v>
      </c>
      <c r="F100" t="s">
        <v>25</v>
      </c>
      <c r="G100">
        <v>87.106585173736121</v>
      </c>
      <c r="H100">
        <v>84.101407985242233</v>
      </c>
      <c r="I100">
        <v>90.11176236223001</v>
      </c>
    </row>
    <row r="101" spans="1:9" x14ac:dyDescent="0.3">
      <c r="A101">
        <v>245</v>
      </c>
      <c r="B101" t="s">
        <v>36</v>
      </c>
      <c r="C101" s="2">
        <v>47299</v>
      </c>
      <c r="D101">
        <v>2029</v>
      </c>
      <c r="E101" t="s">
        <v>14</v>
      </c>
      <c r="F101" t="s">
        <v>25</v>
      </c>
      <c r="G101">
        <v>87.208095454450159</v>
      </c>
      <c r="H101">
        <v>84.120928875362623</v>
      </c>
      <c r="I101">
        <v>90.295262033537696</v>
      </c>
    </row>
    <row r="102" spans="1:9" x14ac:dyDescent="0.3">
      <c r="A102">
        <v>245</v>
      </c>
      <c r="B102" t="s">
        <v>36</v>
      </c>
      <c r="C102" s="2">
        <v>47483</v>
      </c>
      <c r="D102">
        <v>2029</v>
      </c>
      <c r="E102" t="s">
        <v>15</v>
      </c>
      <c r="F102" t="s">
        <v>25</v>
      </c>
      <c r="G102">
        <v>87.309724030894301</v>
      </c>
      <c r="H102">
        <v>84.140381048572848</v>
      </c>
      <c r="I102">
        <v>90.479067013215754</v>
      </c>
    </row>
    <row r="103" spans="1:9" x14ac:dyDescent="0.3">
      <c r="A103">
        <v>245</v>
      </c>
      <c r="B103" t="s">
        <v>36</v>
      </c>
      <c r="C103" s="2">
        <v>47664</v>
      </c>
      <c r="D103">
        <v>2030</v>
      </c>
      <c r="E103" t="s">
        <v>16</v>
      </c>
      <c r="F103" t="s">
        <v>25</v>
      </c>
      <c r="G103">
        <v>87.411471040925349</v>
      </c>
      <c r="H103">
        <v>84.159764318202917</v>
      </c>
      <c r="I103">
        <v>90.663177763647781</v>
      </c>
    </row>
    <row r="104" spans="1:9" x14ac:dyDescent="0.3">
      <c r="A104">
        <v>245</v>
      </c>
      <c r="B104" t="s">
        <v>36</v>
      </c>
      <c r="C104" s="2">
        <v>47848</v>
      </c>
      <c r="D104">
        <v>2030</v>
      </c>
      <c r="E104" t="s">
        <v>17</v>
      </c>
      <c r="F104" t="s">
        <v>25</v>
      </c>
      <c r="G104">
        <v>87.513336622560715</v>
      </c>
      <c r="H104">
        <v>84.17907849724115</v>
      </c>
      <c r="I104">
        <v>90.847594747880279</v>
      </c>
    </row>
    <row r="105" spans="1:9" x14ac:dyDescent="0.3">
      <c r="A105">
        <v>245</v>
      </c>
      <c r="B105" t="s">
        <v>36</v>
      </c>
      <c r="C105" s="2">
        <v>46203</v>
      </c>
      <c r="D105">
        <v>2026</v>
      </c>
      <c r="E105" t="s">
        <v>7</v>
      </c>
      <c r="F105" t="s">
        <v>30</v>
      </c>
      <c r="G105">
        <v>86.53</v>
      </c>
      <c r="H105">
        <v>83.934100000000001</v>
      </c>
      <c r="I105">
        <v>89.125900000000001</v>
      </c>
    </row>
    <row r="106" spans="1:9" x14ac:dyDescent="0.3">
      <c r="A106">
        <v>245</v>
      </c>
      <c r="B106" t="s">
        <v>36</v>
      </c>
      <c r="C106" s="2">
        <v>46387</v>
      </c>
      <c r="D106">
        <v>2026</v>
      </c>
      <c r="E106" t="s">
        <v>9</v>
      </c>
      <c r="F106" t="s">
        <v>30</v>
      </c>
      <c r="G106">
        <v>87.215000000000003</v>
      </c>
      <c r="H106">
        <v>84.52005650000001</v>
      </c>
      <c r="I106">
        <v>89.909943499999997</v>
      </c>
    </row>
    <row r="107" spans="1:9" x14ac:dyDescent="0.3">
      <c r="A107">
        <v>245</v>
      </c>
      <c r="B107" t="s">
        <v>36</v>
      </c>
      <c r="C107" s="2">
        <v>46568</v>
      </c>
      <c r="D107">
        <v>2027</v>
      </c>
      <c r="E107" t="s">
        <v>10</v>
      </c>
      <c r="F107" t="s">
        <v>30</v>
      </c>
      <c r="G107">
        <v>87.9</v>
      </c>
      <c r="H107">
        <v>85.104780000000005</v>
      </c>
      <c r="I107">
        <v>90.695220000000006</v>
      </c>
    </row>
    <row r="108" spans="1:9" x14ac:dyDescent="0.3">
      <c r="A108">
        <v>245</v>
      </c>
      <c r="B108" t="s">
        <v>36</v>
      </c>
      <c r="C108" s="2">
        <v>46752</v>
      </c>
      <c r="D108">
        <v>2027</v>
      </c>
      <c r="E108" t="s">
        <v>11</v>
      </c>
      <c r="F108" t="s">
        <v>30</v>
      </c>
      <c r="G108">
        <v>88.585000000000008</v>
      </c>
      <c r="H108">
        <v>85.688270500000002</v>
      </c>
      <c r="I108">
        <v>91.481729500000014</v>
      </c>
    </row>
    <row r="109" spans="1:9" x14ac:dyDescent="0.3">
      <c r="A109">
        <v>245</v>
      </c>
      <c r="B109" t="s">
        <v>36</v>
      </c>
      <c r="C109" s="2">
        <v>46934</v>
      </c>
      <c r="D109">
        <v>2028</v>
      </c>
      <c r="E109" t="s">
        <v>12</v>
      </c>
      <c r="F109" t="s">
        <v>30</v>
      </c>
      <c r="G109">
        <v>89.27000000000001</v>
      </c>
      <c r="H109">
        <v>86.270528000000013</v>
      </c>
      <c r="I109">
        <v>92.269472000000007</v>
      </c>
    </row>
    <row r="110" spans="1:9" x14ac:dyDescent="0.3">
      <c r="A110">
        <v>245</v>
      </c>
      <c r="B110" t="s">
        <v>36</v>
      </c>
      <c r="C110" s="2">
        <v>47118</v>
      </c>
      <c r="D110">
        <v>2028</v>
      </c>
      <c r="E110" t="s">
        <v>13</v>
      </c>
      <c r="F110" t="s">
        <v>30</v>
      </c>
      <c r="G110">
        <v>89.955000000000013</v>
      </c>
      <c r="H110">
        <v>86.851552500000011</v>
      </c>
      <c r="I110">
        <v>93.058447500000014</v>
      </c>
    </row>
    <row r="111" spans="1:9" x14ac:dyDescent="0.3">
      <c r="A111">
        <v>245</v>
      </c>
      <c r="B111" t="s">
        <v>36</v>
      </c>
      <c r="C111" s="2">
        <v>47299</v>
      </c>
      <c r="D111">
        <v>2029</v>
      </c>
      <c r="E111" t="s">
        <v>14</v>
      </c>
      <c r="F111" t="s">
        <v>30</v>
      </c>
      <c r="G111">
        <v>90.640000000000015</v>
      </c>
      <c r="H111">
        <v>87.43134400000001</v>
      </c>
      <c r="I111">
        <v>93.84865600000002</v>
      </c>
    </row>
    <row r="112" spans="1:9" x14ac:dyDescent="0.3">
      <c r="A112">
        <v>245</v>
      </c>
      <c r="B112" t="s">
        <v>36</v>
      </c>
      <c r="C112" s="2">
        <v>47483</v>
      </c>
      <c r="D112">
        <v>2029</v>
      </c>
      <c r="E112" t="s">
        <v>15</v>
      </c>
      <c r="F112" t="s">
        <v>30</v>
      </c>
      <c r="G112">
        <v>91.325000000000017</v>
      </c>
      <c r="H112">
        <v>88.00990250000001</v>
      </c>
      <c r="I112">
        <v>94.640097500000024</v>
      </c>
    </row>
    <row r="113" spans="1:9" x14ac:dyDescent="0.3">
      <c r="A113">
        <v>245</v>
      </c>
      <c r="B113" t="s">
        <v>36</v>
      </c>
      <c r="C113" s="2">
        <v>47664</v>
      </c>
      <c r="D113">
        <v>2030</v>
      </c>
      <c r="E113" t="s">
        <v>16</v>
      </c>
      <c r="F113" t="s">
        <v>30</v>
      </c>
      <c r="G113">
        <v>92.010000000000019</v>
      </c>
      <c r="H113">
        <v>88.587228000000025</v>
      </c>
      <c r="I113">
        <v>95.432772000000014</v>
      </c>
    </row>
    <row r="114" spans="1:9" x14ac:dyDescent="0.3">
      <c r="A114">
        <v>245</v>
      </c>
      <c r="B114" t="s">
        <v>36</v>
      </c>
      <c r="C114" s="2">
        <v>47848</v>
      </c>
      <c r="D114">
        <v>2030</v>
      </c>
      <c r="E114" t="s">
        <v>17</v>
      </c>
      <c r="F114" t="s">
        <v>30</v>
      </c>
      <c r="G114">
        <v>92.695000000000022</v>
      </c>
      <c r="H114">
        <v>89.163320500000026</v>
      </c>
      <c r="I114">
        <v>96.226679500000017</v>
      </c>
    </row>
    <row r="115" spans="1:9" x14ac:dyDescent="0.3">
      <c r="A115">
        <v>276</v>
      </c>
      <c r="B115" t="s">
        <v>37</v>
      </c>
      <c r="C115" s="2">
        <v>46203</v>
      </c>
      <c r="D115">
        <v>2026</v>
      </c>
      <c r="E115" t="s">
        <v>7</v>
      </c>
      <c r="F115" t="s">
        <v>22</v>
      </c>
      <c r="G115">
        <v>76.651428571428568</v>
      </c>
      <c r="H115">
        <v>80.239346568574291</v>
      </c>
      <c r="I115">
        <v>72.818857142857141</v>
      </c>
    </row>
    <row r="116" spans="1:9" x14ac:dyDescent="0.3">
      <c r="A116">
        <v>276</v>
      </c>
      <c r="B116" t="s">
        <v>37</v>
      </c>
      <c r="C116" s="2">
        <v>46387</v>
      </c>
      <c r="D116">
        <v>2026</v>
      </c>
      <c r="E116" t="s">
        <v>9</v>
      </c>
      <c r="F116" t="s">
        <v>22</v>
      </c>
      <c r="G116">
        <v>73.707142857142856</v>
      </c>
      <c r="H116">
        <v>77.260747075396466</v>
      </c>
      <c r="I116">
        <v>70.021785714285713</v>
      </c>
    </row>
    <row r="117" spans="1:9" x14ac:dyDescent="0.3">
      <c r="A117">
        <v>276</v>
      </c>
      <c r="B117" t="s">
        <v>37</v>
      </c>
      <c r="C117" s="2">
        <v>46568</v>
      </c>
      <c r="D117">
        <v>2027</v>
      </c>
      <c r="E117" t="s">
        <v>10</v>
      </c>
      <c r="F117" t="s">
        <v>22</v>
      </c>
      <c r="G117">
        <v>70.762857142857143</v>
      </c>
      <c r="H117">
        <v>74.273878573356129</v>
      </c>
      <c r="I117">
        <v>67.224714285714285</v>
      </c>
    </row>
    <row r="118" spans="1:9" x14ac:dyDescent="0.3">
      <c r="A118">
        <v>276</v>
      </c>
      <c r="B118" t="s">
        <v>37</v>
      </c>
      <c r="C118" s="2">
        <v>46752</v>
      </c>
      <c r="D118">
        <v>2027</v>
      </c>
      <c r="E118" t="s">
        <v>11</v>
      </c>
      <c r="F118" t="s">
        <v>22</v>
      </c>
      <c r="G118">
        <v>67.818571428571431</v>
      </c>
      <c r="H118">
        <v>71.278741062453278</v>
      </c>
      <c r="I118">
        <v>64.427642857142857</v>
      </c>
    </row>
    <row r="119" spans="1:9" x14ac:dyDescent="0.3">
      <c r="A119">
        <v>276</v>
      </c>
      <c r="B119" t="s">
        <v>37</v>
      </c>
      <c r="C119" s="2">
        <v>46934</v>
      </c>
      <c r="D119">
        <v>2028</v>
      </c>
      <c r="E119" t="s">
        <v>12</v>
      </c>
      <c r="F119" t="s">
        <v>22</v>
      </c>
      <c r="G119">
        <v>64.874285714285719</v>
      </c>
      <c r="H119">
        <v>68.275334542687915</v>
      </c>
      <c r="I119">
        <v>61.630571428571429</v>
      </c>
    </row>
    <row r="120" spans="1:9" x14ac:dyDescent="0.3">
      <c r="A120">
        <v>276</v>
      </c>
      <c r="B120" t="s">
        <v>37</v>
      </c>
      <c r="C120" s="2">
        <v>47118</v>
      </c>
      <c r="D120">
        <v>2028</v>
      </c>
      <c r="E120" t="s">
        <v>13</v>
      </c>
      <c r="F120" t="s">
        <v>22</v>
      </c>
      <c r="G120">
        <v>61.930000000000007</v>
      </c>
      <c r="H120">
        <v>65.263659014060011</v>
      </c>
      <c r="I120">
        <v>58.833500000000001</v>
      </c>
    </row>
    <row r="121" spans="1:9" x14ac:dyDescent="0.3">
      <c r="A121">
        <v>276</v>
      </c>
      <c r="B121" t="s">
        <v>37</v>
      </c>
      <c r="C121" s="2">
        <v>47299</v>
      </c>
      <c r="D121">
        <v>2029</v>
      </c>
      <c r="E121" t="s">
        <v>14</v>
      </c>
      <c r="F121" t="s">
        <v>22</v>
      </c>
      <c r="G121">
        <v>58.985714285714288</v>
      </c>
      <c r="H121">
        <v>62.243714476569622</v>
      </c>
      <c r="I121">
        <v>56.036428571428573</v>
      </c>
    </row>
    <row r="122" spans="1:9" x14ac:dyDescent="0.3">
      <c r="A122">
        <v>276</v>
      </c>
      <c r="B122" t="s">
        <v>37</v>
      </c>
      <c r="C122" s="2">
        <v>47483</v>
      </c>
      <c r="D122">
        <v>2029</v>
      </c>
      <c r="E122" t="s">
        <v>15</v>
      </c>
      <c r="F122" t="s">
        <v>22</v>
      </c>
      <c r="G122">
        <v>56.041428571428582</v>
      </c>
      <c r="H122">
        <v>59.215500930216713</v>
      </c>
      <c r="I122">
        <v>53.239357142857152</v>
      </c>
    </row>
    <row r="123" spans="1:9" x14ac:dyDescent="0.3">
      <c r="A123">
        <v>276</v>
      </c>
      <c r="B123" t="s">
        <v>37</v>
      </c>
      <c r="C123" s="2">
        <v>47664</v>
      </c>
      <c r="D123">
        <v>2030</v>
      </c>
      <c r="E123" t="s">
        <v>16</v>
      </c>
      <c r="F123" t="s">
        <v>22</v>
      </c>
      <c r="G123">
        <v>53.09714285714287</v>
      </c>
      <c r="H123">
        <v>56.179018375001291</v>
      </c>
      <c r="I123">
        <v>50.442285714285724</v>
      </c>
    </row>
    <row r="124" spans="1:9" x14ac:dyDescent="0.3">
      <c r="A124">
        <v>276</v>
      </c>
      <c r="B124" t="s">
        <v>37</v>
      </c>
      <c r="C124" s="2">
        <v>47848</v>
      </c>
      <c r="D124">
        <v>2030</v>
      </c>
      <c r="E124" t="s">
        <v>17</v>
      </c>
      <c r="F124" t="s">
        <v>22</v>
      </c>
      <c r="G124">
        <v>50.152857142857158</v>
      </c>
      <c r="H124">
        <v>53.13426681092335</v>
      </c>
      <c r="I124">
        <v>47.645214285714296</v>
      </c>
    </row>
    <row r="125" spans="1:9" x14ac:dyDescent="0.3">
      <c r="A125">
        <v>276</v>
      </c>
      <c r="B125" t="s">
        <v>37</v>
      </c>
      <c r="C125" s="2">
        <v>46203</v>
      </c>
      <c r="D125">
        <v>2026</v>
      </c>
      <c r="E125" t="s">
        <v>7</v>
      </c>
      <c r="F125" t="s">
        <v>25</v>
      </c>
      <c r="G125">
        <v>82.234038282271925</v>
      </c>
      <c r="H125">
        <v>86.083268380521034</v>
      </c>
      <c r="I125">
        <v>78.122336368158329</v>
      </c>
    </row>
    <row r="126" spans="1:9" x14ac:dyDescent="0.3">
      <c r="A126">
        <v>276</v>
      </c>
      <c r="B126" t="s">
        <v>37</v>
      </c>
      <c r="C126" s="2">
        <v>46387</v>
      </c>
      <c r="D126">
        <v>2026</v>
      </c>
      <c r="E126" t="s">
        <v>9</v>
      </c>
      <c r="F126" t="s">
        <v>25</v>
      </c>
      <c r="G126">
        <v>80.333060729510137</v>
      </c>
      <c r="H126">
        <v>84.206116886725511</v>
      </c>
      <c r="I126">
        <v>76.31640769303462</v>
      </c>
    </row>
    <row r="127" spans="1:9" x14ac:dyDescent="0.3">
      <c r="A127">
        <v>276</v>
      </c>
      <c r="B127" t="s">
        <v>37</v>
      </c>
      <c r="C127" s="2">
        <v>46568</v>
      </c>
      <c r="D127">
        <v>2027</v>
      </c>
      <c r="E127" t="s">
        <v>10</v>
      </c>
      <c r="F127" t="s">
        <v>25</v>
      </c>
      <c r="G127">
        <v>78.476027457384305</v>
      </c>
      <c r="H127">
        <v>82.369751160866997</v>
      </c>
      <c r="I127">
        <v>74.552226084515084</v>
      </c>
    </row>
    <row r="128" spans="1:9" x14ac:dyDescent="0.3">
      <c r="A128">
        <v>276</v>
      </c>
      <c r="B128" t="s">
        <v>37</v>
      </c>
      <c r="C128" s="2">
        <v>46752</v>
      </c>
      <c r="D128">
        <v>2027</v>
      </c>
      <c r="E128" t="s">
        <v>11</v>
      </c>
      <c r="F128" t="s">
        <v>25</v>
      </c>
      <c r="G128">
        <v>76.661922620232403</v>
      </c>
      <c r="H128">
        <v>80.573288653722372</v>
      </c>
      <c r="I128">
        <v>72.828826489220774</v>
      </c>
    </row>
    <row r="129" spans="1:9" x14ac:dyDescent="0.3">
      <c r="A129">
        <v>276</v>
      </c>
      <c r="B129" t="s">
        <v>37</v>
      </c>
      <c r="C129" s="2">
        <v>46934</v>
      </c>
      <c r="D129">
        <v>2028</v>
      </c>
      <c r="E129" t="s">
        <v>12</v>
      </c>
      <c r="F129" t="s">
        <v>25</v>
      </c>
      <c r="G129">
        <v>74.889753855366578</v>
      </c>
      <c r="H129">
        <v>78.815865824149853</v>
      </c>
      <c r="I129">
        <v>71.145266162598247</v>
      </c>
    </row>
    <row r="130" spans="1:9" x14ac:dyDescent="0.3">
      <c r="A130">
        <v>276</v>
      </c>
      <c r="B130" t="s">
        <v>37</v>
      </c>
      <c r="C130" s="2">
        <v>47118</v>
      </c>
      <c r="D130">
        <v>2028</v>
      </c>
      <c r="E130" t="s">
        <v>13</v>
      </c>
      <c r="F130" t="s">
        <v>25</v>
      </c>
      <c r="G130">
        <v>73.158551740224951</v>
      </c>
      <c r="H130">
        <v>77.096637731899037</v>
      </c>
      <c r="I130">
        <v>69.500624153213707</v>
      </c>
    </row>
    <row r="131" spans="1:9" x14ac:dyDescent="0.3">
      <c r="A131">
        <v>276</v>
      </c>
      <c r="B131" t="s">
        <v>37</v>
      </c>
      <c r="C131" s="2">
        <v>47299</v>
      </c>
      <c r="D131">
        <v>2029</v>
      </c>
      <c r="E131" t="s">
        <v>14</v>
      </c>
      <c r="F131" t="s">
        <v>25</v>
      </c>
      <c r="G131">
        <v>71.467369262072097</v>
      </c>
      <c r="H131">
        <v>75.414777639089081</v>
      </c>
      <c r="I131">
        <v>67.894000798968491</v>
      </c>
    </row>
    <row r="132" spans="1:9" x14ac:dyDescent="0.3">
      <c r="A132">
        <v>276</v>
      </c>
      <c r="B132" t="s">
        <v>37</v>
      </c>
      <c r="C132" s="2">
        <v>47483</v>
      </c>
      <c r="D132">
        <v>2029</v>
      </c>
      <c r="E132" t="s">
        <v>15</v>
      </c>
      <c r="F132" t="s">
        <v>25</v>
      </c>
      <c r="G132">
        <v>69.815281299958414</v>
      </c>
      <c r="H132">
        <v>73.769476620171801</v>
      </c>
      <c r="I132">
        <v>66.324517234960496</v>
      </c>
    </row>
    <row r="133" spans="1:9" x14ac:dyDescent="0.3">
      <c r="A133">
        <v>276</v>
      </c>
      <c r="B133" t="s">
        <v>37</v>
      </c>
      <c r="C133" s="2">
        <v>47664</v>
      </c>
      <c r="D133">
        <v>2030</v>
      </c>
      <c r="E133" t="s">
        <v>16</v>
      </c>
      <c r="F133" t="s">
        <v>25</v>
      </c>
      <c r="G133">
        <v>68.201384118654829</v>
      </c>
      <c r="H133">
        <v>72.159943180200727</v>
      </c>
      <c r="I133">
        <v>64.791314912722086</v>
      </c>
    </row>
    <row r="134" spans="1:9" x14ac:dyDescent="0.3">
      <c r="A134">
        <v>276</v>
      </c>
      <c r="B134" t="s">
        <v>37</v>
      </c>
      <c r="C134" s="2">
        <v>47848</v>
      </c>
      <c r="D134">
        <v>2030</v>
      </c>
      <c r="E134" t="s">
        <v>17</v>
      </c>
      <c r="F134" t="s">
        <v>25</v>
      </c>
      <c r="G134">
        <v>66.624794874285968</v>
      </c>
      <c r="H134">
        <v>70.585402881230067</v>
      </c>
      <c r="I134">
        <v>63.293555130571669</v>
      </c>
    </row>
    <row r="135" spans="1:9" x14ac:dyDescent="0.3">
      <c r="A135">
        <v>277</v>
      </c>
      <c r="B135" t="s">
        <v>38</v>
      </c>
      <c r="C135" s="2">
        <v>46203</v>
      </c>
      <c r="D135">
        <v>2026</v>
      </c>
      <c r="E135" t="s">
        <v>7</v>
      </c>
      <c r="F135" t="s">
        <v>22</v>
      </c>
      <c r="G135">
        <v>67.447000000000003</v>
      </c>
      <c r="H135">
        <v>70.168976719491511</v>
      </c>
      <c r="I135">
        <v>65.423590000000004</v>
      </c>
    </row>
    <row r="136" spans="1:9" x14ac:dyDescent="0.3">
      <c r="A136">
        <v>277</v>
      </c>
      <c r="B136" t="s">
        <v>38</v>
      </c>
      <c r="C136" s="2">
        <v>46387</v>
      </c>
      <c r="D136">
        <v>2026</v>
      </c>
      <c r="E136" t="s">
        <v>9</v>
      </c>
      <c r="F136" t="s">
        <v>22</v>
      </c>
      <c r="G136">
        <v>65.823999999999998</v>
      </c>
      <c r="H136">
        <v>68.560171178129835</v>
      </c>
      <c r="I136">
        <v>63.790038399999993</v>
      </c>
    </row>
    <row r="137" spans="1:9" x14ac:dyDescent="0.3">
      <c r="A137">
        <v>277</v>
      </c>
      <c r="B137" t="s">
        <v>38</v>
      </c>
      <c r="C137" s="2">
        <v>46568</v>
      </c>
      <c r="D137">
        <v>2027</v>
      </c>
      <c r="E137" t="s">
        <v>10</v>
      </c>
      <c r="F137" t="s">
        <v>22</v>
      </c>
      <c r="G137">
        <v>64.200999999999993</v>
      </c>
      <c r="H137">
        <v>66.947435645916912</v>
      </c>
      <c r="I137">
        <v>62.159408199999987</v>
      </c>
    </row>
    <row r="138" spans="1:9" x14ac:dyDescent="0.3">
      <c r="A138">
        <v>277</v>
      </c>
      <c r="B138" t="s">
        <v>38</v>
      </c>
      <c r="C138" s="2">
        <v>46752</v>
      </c>
      <c r="D138">
        <v>2027</v>
      </c>
      <c r="E138" t="s">
        <v>11</v>
      </c>
      <c r="F138" t="s">
        <v>22</v>
      </c>
      <c r="G138">
        <v>62.578000000000003</v>
      </c>
      <c r="H138">
        <v>65.330770122852769</v>
      </c>
      <c r="I138">
        <v>60.531699400000001</v>
      </c>
    </row>
    <row r="139" spans="1:9" x14ac:dyDescent="0.3">
      <c r="A139">
        <v>277</v>
      </c>
      <c r="B139" t="s">
        <v>38</v>
      </c>
      <c r="C139" s="2">
        <v>46934</v>
      </c>
      <c r="D139">
        <v>2028</v>
      </c>
      <c r="E139" t="s">
        <v>12</v>
      </c>
      <c r="F139" t="s">
        <v>22</v>
      </c>
      <c r="G139">
        <v>60.954999999999998</v>
      </c>
      <c r="H139">
        <v>63.710174608937344</v>
      </c>
      <c r="I139">
        <v>58.906911999999991</v>
      </c>
    </row>
    <row r="140" spans="1:9" x14ac:dyDescent="0.3">
      <c r="A140">
        <v>277</v>
      </c>
      <c r="B140" t="s">
        <v>38</v>
      </c>
      <c r="C140" s="2">
        <v>47118</v>
      </c>
      <c r="D140">
        <v>2028</v>
      </c>
      <c r="E140" t="s">
        <v>13</v>
      </c>
      <c r="F140" t="s">
        <v>22</v>
      </c>
      <c r="G140">
        <v>59.331999999999987</v>
      </c>
      <c r="H140">
        <v>62.085649104170678</v>
      </c>
      <c r="I140">
        <v>57.285045999999987</v>
      </c>
    </row>
    <row r="141" spans="1:9" x14ac:dyDescent="0.3">
      <c r="A141">
        <v>277</v>
      </c>
      <c r="B141" t="s">
        <v>38</v>
      </c>
      <c r="C141" s="2">
        <v>47299</v>
      </c>
      <c r="D141">
        <v>2029</v>
      </c>
      <c r="E141" t="s">
        <v>14</v>
      </c>
      <c r="F141" t="s">
        <v>22</v>
      </c>
      <c r="G141">
        <v>57.709000000000003</v>
      </c>
      <c r="H141">
        <v>60.457193608552778</v>
      </c>
      <c r="I141">
        <v>55.666101400000002</v>
      </c>
    </row>
    <row r="142" spans="1:9" x14ac:dyDescent="0.3">
      <c r="A142">
        <v>277</v>
      </c>
      <c r="B142" t="s">
        <v>38</v>
      </c>
      <c r="C142" s="2">
        <v>47483</v>
      </c>
      <c r="D142">
        <v>2029</v>
      </c>
      <c r="E142" t="s">
        <v>15</v>
      </c>
      <c r="F142" t="s">
        <v>22</v>
      </c>
      <c r="G142">
        <v>56.085999999999991</v>
      </c>
      <c r="H142">
        <v>58.824808122083617</v>
      </c>
      <c r="I142">
        <v>54.050078199999987</v>
      </c>
    </row>
    <row r="143" spans="1:9" x14ac:dyDescent="0.3">
      <c r="A143">
        <v>277</v>
      </c>
      <c r="B143" t="s">
        <v>38</v>
      </c>
      <c r="C143" s="2">
        <v>47664</v>
      </c>
      <c r="D143">
        <v>2030</v>
      </c>
      <c r="E143" t="s">
        <v>16</v>
      </c>
      <c r="F143" t="s">
        <v>22</v>
      </c>
      <c r="G143">
        <v>54.462999999999987</v>
      </c>
      <c r="H143">
        <v>57.188492644763222</v>
      </c>
      <c r="I143">
        <v>52.436976399999992</v>
      </c>
    </row>
    <row r="144" spans="1:9" x14ac:dyDescent="0.3">
      <c r="A144">
        <v>277</v>
      </c>
      <c r="B144" t="s">
        <v>38</v>
      </c>
      <c r="C144" s="2">
        <v>47848</v>
      </c>
      <c r="D144">
        <v>2030</v>
      </c>
      <c r="E144" t="s">
        <v>17</v>
      </c>
      <c r="F144" t="s">
        <v>22</v>
      </c>
      <c r="G144">
        <v>52.839999999999989</v>
      </c>
      <c r="H144">
        <v>55.548247176591573</v>
      </c>
      <c r="I144">
        <v>50.826795999999987</v>
      </c>
    </row>
    <row r="145" spans="1:9" x14ac:dyDescent="0.3">
      <c r="A145">
        <v>277</v>
      </c>
      <c r="B145" t="s">
        <v>38</v>
      </c>
      <c r="C145" s="2">
        <v>46203</v>
      </c>
      <c r="D145">
        <v>2026</v>
      </c>
      <c r="E145" t="s">
        <v>7</v>
      </c>
      <c r="F145" t="s">
        <v>25</v>
      </c>
      <c r="G145">
        <v>67.888278699901591</v>
      </c>
      <c r="H145">
        <v>70.628064222570998</v>
      </c>
      <c r="I145">
        <v>65.851630338904542</v>
      </c>
    </row>
    <row r="146" spans="1:9" x14ac:dyDescent="0.3">
      <c r="A146">
        <v>277</v>
      </c>
      <c r="B146" t="s">
        <v>38</v>
      </c>
      <c r="C146" s="2">
        <v>46387</v>
      </c>
      <c r="D146">
        <v>2026</v>
      </c>
      <c r="E146" t="s">
        <v>9</v>
      </c>
      <c r="F146" t="s">
        <v>25</v>
      </c>
      <c r="G146">
        <v>66.419057282540876</v>
      </c>
      <c r="H146">
        <v>69.179963794072279</v>
      </c>
      <c r="I146">
        <v>64.366708412510363</v>
      </c>
    </row>
    <row r="147" spans="1:9" x14ac:dyDescent="0.3">
      <c r="A147">
        <v>277</v>
      </c>
      <c r="B147" t="s">
        <v>38</v>
      </c>
      <c r="C147" s="2">
        <v>46568</v>
      </c>
      <c r="D147">
        <v>2027</v>
      </c>
      <c r="E147" t="s">
        <v>10</v>
      </c>
      <c r="F147" t="s">
        <v>25</v>
      </c>
      <c r="G147">
        <v>64.9816323934553</v>
      </c>
      <c r="H147">
        <v>67.761462482320823</v>
      </c>
      <c r="I147">
        <v>62.915216483343421</v>
      </c>
    </row>
    <row r="148" spans="1:9" x14ac:dyDescent="0.3">
      <c r="A148">
        <v>277</v>
      </c>
      <c r="B148" t="s">
        <v>38</v>
      </c>
      <c r="C148" s="2">
        <v>46752</v>
      </c>
      <c r="D148">
        <v>2027</v>
      </c>
      <c r="E148" t="s">
        <v>11</v>
      </c>
      <c r="F148" t="s">
        <v>25</v>
      </c>
      <c r="G148">
        <v>63.57531590000643</v>
      </c>
      <c r="H148">
        <v>66.371957374014286</v>
      </c>
      <c r="I148">
        <v>61.496403070076219</v>
      </c>
    </row>
    <row r="149" spans="1:9" x14ac:dyDescent="0.3">
      <c r="A149">
        <v>277</v>
      </c>
      <c r="B149" t="s">
        <v>38</v>
      </c>
      <c r="C149" s="2">
        <v>46934</v>
      </c>
      <c r="D149">
        <v>2028</v>
      </c>
      <c r="E149" t="s">
        <v>12</v>
      </c>
      <c r="F149" t="s">
        <v>25</v>
      </c>
      <c r="G149">
        <v>62.199434561953034</v>
      </c>
      <c r="H149">
        <v>65.010857788847503</v>
      </c>
      <c r="I149">
        <v>60.109533560671402</v>
      </c>
    </row>
    <row r="150" spans="1:9" x14ac:dyDescent="0.3">
      <c r="A150">
        <v>277</v>
      </c>
      <c r="B150" t="s">
        <v>38</v>
      </c>
      <c r="C150" s="2">
        <v>47118</v>
      </c>
      <c r="D150">
        <v>2028</v>
      </c>
      <c r="E150" t="s">
        <v>13</v>
      </c>
      <c r="F150" t="s">
        <v>25</v>
      </c>
      <c r="G150">
        <v>60.853329709153464</v>
      </c>
      <c r="H150">
        <v>63.677585032409269</v>
      </c>
      <c r="I150">
        <v>58.75388983418766</v>
      </c>
    </row>
    <row r="151" spans="1:9" x14ac:dyDescent="0.3">
      <c r="A151">
        <v>277</v>
      </c>
      <c r="B151" t="s">
        <v>38</v>
      </c>
      <c r="C151" s="2">
        <v>47299</v>
      </c>
      <c r="D151">
        <v>2029</v>
      </c>
      <c r="E151" t="s">
        <v>14</v>
      </c>
      <c r="F151" t="s">
        <v>25</v>
      </c>
      <c r="G151">
        <v>59.536356926243137</v>
      </c>
      <c r="H151">
        <v>62.371572154045019</v>
      </c>
      <c r="I151">
        <v>57.428769891054131</v>
      </c>
    </row>
    <row r="152" spans="1:9" x14ac:dyDescent="0.3">
      <c r="A152">
        <v>277</v>
      </c>
      <c r="B152" t="s">
        <v>38</v>
      </c>
      <c r="C152" s="2">
        <v>47483</v>
      </c>
      <c r="D152">
        <v>2029</v>
      </c>
      <c r="E152" t="s">
        <v>15</v>
      </c>
      <c r="F152" t="s">
        <v>25</v>
      </c>
      <c r="G152">
        <v>58.247885744136177</v>
      </c>
      <c r="H152">
        <v>61.092263709586383</v>
      </c>
      <c r="I152">
        <v>56.133487491624052</v>
      </c>
    </row>
    <row r="153" spans="1:9" x14ac:dyDescent="0.3">
      <c r="A153">
        <v>277</v>
      </c>
      <c r="B153" t="s">
        <v>38</v>
      </c>
      <c r="C153" s="2">
        <v>47664</v>
      </c>
      <c r="D153">
        <v>2030</v>
      </c>
      <c r="E153" t="s">
        <v>16</v>
      </c>
      <c r="F153" t="s">
        <v>25</v>
      </c>
      <c r="G153">
        <v>56.987299338203513</v>
      </c>
      <c r="H153">
        <v>59.839115528850272</v>
      </c>
      <c r="I153">
        <v>54.867371802822348</v>
      </c>
    </row>
    <row r="154" spans="1:9" x14ac:dyDescent="0.3">
      <c r="A154">
        <v>277</v>
      </c>
      <c r="B154" t="s">
        <v>38</v>
      </c>
      <c r="C154" s="2">
        <v>47848</v>
      </c>
      <c r="D154">
        <v>2030</v>
      </c>
      <c r="E154" t="s">
        <v>17</v>
      </c>
      <c r="F154" t="s">
        <v>25</v>
      </c>
      <c r="G154">
        <v>55.753994232982812</v>
      </c>
      <c r="H154">
        <v>58.611594487812098</v>
      </c>
      <c r="I154">
        <v>53.629767052706171</v>
      </c>
    </row>
    <row r="155" spans="1:9" x14ac:dyDescent="0.3">
      <c r="A155">
        <v>325</v>
      </c>
      <c r="B155" t="s">
        <v>40</v>
      </c>
      <c r="C155" s="2">
        <v>46387</v>
      </c>
      <c r="D155">
        <v>2026</v>
      </c>
      <c r="E155" t="s">
        <v>9</v>
      </c>
      <c r="F155" t="s">
        <v>22</v>
      </c>
      <c r="G155">
        <v>5</v>
      </c>
      <c r="H155">
        <v>4</v>
      </c>
      <c r="I155">
        <v>6</v>
      </c>
    </row>
    <row r="156" spans="1:9" x14ac:dyDescent="0.3">
      <c r="A156">
        <v>325</v>
      </c>
      <c r="B156" t="s">
        <v>40</v>
      </c>
      <c r="C156" s="2">
        <v>46752</v>
      </c>
      <c r="D156">
        <v>2027</v>
      </c>
      <c r="E156" t="s">
        <v>11</v>
      </c>
      <c r="F156" t="s">
        <v>22</v>
      </c>
      <c r="G156">
        <v>5</v>
      </c>
      <c r="H156">
        <v>4</v>
      </c>
      <c r="I156">
        <v>6</v>
      </c>
    </row>
    <row r="157" spans="1:9" x14ac:dyDescent="0.3">
      <c r="A157">
        <v>325</v>
      </c>
      <c r="B157" t="s">
        <v>40</v>
      </c>
      <c r="C157" s="2">
        <v>47118</v>
      </c>
      <c r="D157">
        <v>2028</v>
      </c>
      <c r="E157" t="s">
        <v>13</v>
      </c>
      <c r="F157" t="s">
        <v>22</v>
      </c>
      <c r="G157">
        <v>5</v>
      </c>
      <c r="H157">
        <v>4</v>
      </c>
      <c r="I157">
        <v>6</v>
      </c>
    </row>
    <row r="158" spans="1:9" x14ac:dyDescent="0.3">
      <c r="A158">
        <v>325</v>
      </c>
      <c r="B158" t="s">
        <v>40</v>
      </c>
      <c r="C158" s="2">
        <v>47483</v>
      </c>
      <c r="D158">
        <v>2029</v>
      </c>
      <c r="E158" t="s">
        <v>15</v>
      </c>
      <c r="F158" t="s">
        <v>22</v>
      </c>
      <c r="G158">
        <v>6</v>
      </c>
      <c r="H158">
        <v>5</v>
      </c>
      <c r="I158">
        <v>7</v>
      </c>
    </row>
    <row r="159" spans="1:9" x14ac:dyDescent="0.3">
      <c r="A159">
        <v>325</v>
      </c>
      <c r="B159" t="s">
        <v>40</v>
      </c>
      <c r="C159" s="2">
        <v>47848</v>
      </c>
      <c r="D159">
        <v>2030</v>
      </c>
      <c r="E159" t="s">
        <v>17</v>
      </c>
      <c r="F159" t="s">
        <v>22</v>
      </c>
      <c r="G159">
        <v>6</v>
      </c>
      <c r="H159">
        <v>5</v>
      </c>
      <c r="I159">
        <v>7</v>
      </c>
    </row>
    <row r="160" spans="1:9" x14ac:dyDescent="0.3">
      <c r="A160">
        <v>332</v>
      </c>
      <c r="B160" t="s">
        <v>41</v>
      </c>
      <c r="C160" s="2">
        <v>46387</v>
      </c>
      <c r="D160">
        <v>2026</v>
      </c>
      <c r="E160" t="s">
        <v>9</v>
      </c>
      <c r="F160" t="s">
        <v>26</v>
      </c>
      <c r="G160">
        <v>0.71510849492151418</v>
      </c>
      <c r="H160">
        <v>0.73962650046168033</v>
      </c>
      <c r="I160">
        <v>0.64546314585089737</v>
      </c>
    </row>
    <row r="161" spans="1:9" x14ac:dyDescent="0.3">
      <c r="A161">
        <v>332</v>
      </c>
      <c r="B161" t="s">
        <v>41</v>
      </c>
      <c r="C161" s="2">
        <v>46752</v>
      </c>
      <c r="D161">
        <v>2027</v>
      </c>
      <c r="E161" t="s">
        <v>11</v>
      </c>
      <c r="F161" t="s">
        <v>26</v>
      </c>
      <c r="G161">
        <v>0.57208679593721135</v>
      </c>
      <c r="H161">
        <v>0.59228963250230826</v>
      </c>
      <c r="I161">
        <v>0.51469902830302305</v>
      </c>
    </row>
    <row r="162" spans="1:9" x14ac:dyDescent="0.3">
      <c r="A162">
        <v>332</v>
      </c>
      <c r="B162" t="s">
        <v>41</v>
      </c>
      <c r="C162" s="2">
        <v>47118</v>
      </c>
      <c r="D162">
        <v>2028</v>
      </c>
      <c r="E162" t="s">
        <v>13</v>
      </c>
      <c r="F162" t="s">
        <v>26</v>
      </c>
      <c r="G162">
        <v>0.45766943674976912</v>
      </c>
      <c r="H162">
        <v>0.47430245170821778</v>
      </c>
      <c r="I162">
        <v>0.41042203194026261</v>
      </c>
    </row>
    <row r="163" spans="1:9" x14ac:dyDescent="0.3">
      <c r="A163">
        <v>332</v>
      </c>
      <c r="B163" t="s">
        <v>41</v>
      </c>
      <c r="C163" s="2">
        <v>47483</v>
      </c>
      <c r="D163">
        <v>2029</v>
      </c>
      <c r="E163" t="s">
        <v>15</v>
      </c>
      <c r="F163" t="s">
        <v>26</v>
      </c>
      <c r="G163">
        <v>0.3661355493998153</v>
      </c>
      <c r="H163">
        <v>0.37981855793167119</v>
      </c>
      <c r="I163">
        <v>0.32726787299048538</v>
      </c>
    </row>
    <row r="164" spans="1:9" x14ac:dyDescent="0.3">
      <c r="A164">
        <v>332</v>
      </c>
      <c r="B164" t="s">
        <v>41</v>
      </c>
      <c r="C164" s="2">
        <v>47848</v>
      </c>
      <c r="D164">
        <v>2030</v>
      </c>
      <c r="E164" t="s">
        <v>17</v>
      </c>
      <c r="F164" t="s">
        <v>26</v>
      </c>
      <c r="G164">
        <v>0.29290843951985218</v>
      </c>
      <c r="H164">
        <v>0.30415612359741451</v>
      </c>
      <c r="I164">
        <v>0.26095849634300861</v>
      </c>
    </row>
    <row r="165" spans="1:9" x14ac:dyDescent="0.3">
      <c r="A165">
        <v>332</v>
      </c>
      <c r="B165" t="s">
        <v>41</v>
      </c>
      <c r="C165" s="2">
        <v>46387</v>
      </c>
      <c r="D165">
        <v>2026</v>
      </c>
      <c r="E165" t="s">
        <v>9</v>
      </c>
      <c r="F165" t="s">
        <v>30</v>
      </c>
      <c r="G165">
        <v>0.72500000000000009</v>
      </c>
      <c r="H165">
        <v>0.74985714285714289</v>
      </c>
      <c r="I165">
        <v>0.65439130434782633</v>
      </c>
    </row>
    <row r="166" spans="1:9" x14ac:dyDescent="0.3">
      <c r="A166">
        <v>332</v>
      </c>
      <c r="B166" t="s">
        <v>41</v>
      </c>
      <c r="C166" s="2">
        <v>46752</v>
      </c>
      <c r="D166">
        <v>2027</v>
      </c>
      <c r="E166" t="s">
        <v>11</v>
      </c>
      <c r="F166" t="s">
        <v>30</v>
      </c>
      <c r="G166">
        <v>0.58000000000000007</v>
      </c>
      <c r="H166">
        <v>0.60048228571428575</v>
      </c>
      <c r="I166">
        <v>0.52181843478260892</v>
      </c>
    </row>
    <row r="167" spans="1:9" x14ac:dyDescent="0.3">
      <c r="A167">
        <v>332</v>
      </c>
      <c r="B167" t="s">
        <v>41</v>
      </c>
      <c r="C167" s="2">
        <v>47118</v>
      </c>
      <c r="D167">
        <v>2028</v>
      </c>
      <c r="E167" t="s">
        <v>13</v>
      </c>
      <c r="F167" t="s">
        <v>30</v>
      </c>
      <c r="G167">
        <v>0.46400000000000008</v>
      </c>
      <c r="H167">
        <v>0.48086308571428582</v>
      </c>
      <c r="I167">
        <v>0.41609906086956538</v>
      </c>
    </row>
    <row r="168" spans="1:9" x14ac:dyDescent="0.3">
      <c r="A168">
        <v>332</v>
      </c>
      <c r="B168" t="s">
        <v>41</v>
      </c>
      <c r="C168" s="2">
        <v>47483</v>
      </c>
      <c r="D168">
        <v>2029</v>
      </c>
      <c r="E168" t="s">
        <v>15</v>
      </c>
      <c r="F168" t="s">
        <v>30</v>
      </c>
      <c r="G168">
        <v>0.37120000000000009</v>
      </c>
      <c r="H168">
        <v>0.38507227428571439</v>
      </c>
      <c r="I168">
        <v>0.33179469913043491</v>
      </c>
    </row>
    <row r="169" spans="1:9" x14ac:dyDescent="0.3">
      <c r="A169">
        <v>332</v>
      </c>
      <c r="B169" t="s">
        <v>41</v>
      </c>
      <c r="C169" s="2">
        <v>47848</v>
      </c>
      <c r="D169">
        <v>2030</v>
      </c>
      <c r="E169" t="s">
        <v>17</v>
      </c>
      <c r="F169" t="s">
        <v>30</v>
      </c>
      <c r="G169">
        <v>0.29696000000000011</v>
      </c>
      <c r="H169">
        <v>0.30836326400000008</v>
      </c>
      <c r="I169">
        <v>0.26456811965217403</v>
      </c>
    </row>
    <row r="170" spans="1:9" x14ac:dyDescent="0.3">
      <c r="A170">
        <v>334</v>
      </c>
      <c r="B170" t="s">
        <v>42</v>
      </c>
      <c r="C170" s="2">
        <v>46387</v>
      </c>
      <c r="D170">
        <v>2026</v>
      </c>
      <c r="E170" t="s">
        <v>9</v>
      </c>
      <c r="F170" t="s">
        <v>22</v>
      </c>
      <c r="G170">
        <v>90.42</v>
      </c>
      <c r="H170">
        <v>87.707399999999993</v>
      </c>
      <c r="I170">
        <v>93.70400000673547</v>
      </c>
    </row>
    <row r="171" spans="1:9" x14ac:dyDescent="0.3">
      <c r="A171">
        <v>334</v>
      </c>
      <c r="B171" t="s">
        <v>42</v>
      </c>
      <c r="C171" s="2">
        <v>46752</v>
      </c>
      <c r="D171">
        <v>2027</v>
      </c>
      <c r="E171" t="s">
        <v>11</v>
      </c>
      <c r="F171" t="s">
        <v>22</v>
      </c>
      <c r="G171">
        <v>91.365000000000009</v>
      </c>
      <c r="H171">
        <v>88.541821500000012</v>
      </c>
      <c r="I171">
        <v>94.782871493406859</v>
      </c>
    </row>
    <row r="172" spans="1:9" x14ac:dyDescent="0.3">
      <c r="A172">
        <v>334</v>
      </c>
      <c r="B172" t="s">
        <v>42</v>
      </c>
      <c r="C172" s="2">
        <v>47118</v>
      </c>
      <c r="D172">
        <v>2028</v>
      </c>
      <c r="E172" t="s">
        <v>13</v>
      </c>
      <c r="F172" t="s">
        <v>22</v>
      </c>
      <c r="G172">
        <v>92.31</v>
      </c>
      <c r="H172">
        <v>89.374542000000005</v>
      </c>
      <c r="I172">
        <v>95.863802289969655</v>
      </c>
    </row>
    <row r="173" spans="1:9" x14ac:dyDescent="0.3">
      <c r="A173">
        <v>334</v>
      </c>
      <c r="B173" t="s">
        <v>42</v>
      </c>
      <c r="C173" s="2">
        <v>47483</v>
      </c>
      <c r="D173">
        <v>2029</v>
      </c>
      <c r="E173" t="s">
        <v>15</v>
      </c>
      <c r="F173" t="s">
        <v>22</v>
      </c>
      <c r="G173">
        <v>93.25500000000001</v>
      </c>
      <c r="H173">
        <v>90.205561500000002</v>
      </c>
      <c r="I173">
        <v>96.946792396423888</v>
      </c>
    </row>
    <row r="174" spans="1:9" x14ac:dyDescent="0.3">
      <c r="A174">
        <v>334</v>
      </c>
      <c r="B174" t="s">
        <v>42</v>
      </c>
      <c r="C174" s="2">
        <v>47848</v>
      </c>
      <c r="D174">
        <v>2030</v>
      </c>
      <c r="E174" t="s">
        <v>17</v>
      </c>
      <c r="F174" t="s">
        <v>22</v>
      </c>
      <c r="G174">
        <v>94.2</v>
      </c>
      <c r="H174">
        <v>91.034879999999987</v>
      </c>
      <c r="I174">
        <v>98.0318418127695</v>
      </c>
    </row>
    <row r="175" spans="1:9" x14ac:dyDescent="0.3">
      <c r="A175">
        <v>334</v>
      </c>
      <c r="B175" t="s">
        <v>42</v>
      </c>
      <c r="C175" s="2">
        <v>46387</v>
      </c>
      <c r="D175">
        <v>2026</v>
      </c>
      <c r="E175" t="s">
        <v>9</v>
      </c>
      <c r="F175" t="s">
        <v>26</v>
      </c>
      <c r="G175">
        <v>89.680861034164366</v>
      </c>
      <c r="H175">
        <v>86.990435203139427</v>
      </c>
      <c r="I175">
        <v>92.93801595829882</v>
      </c>
    </row>
    <row r="176" spans="1:9" x14ac:dyDescent="0.3">
      <c r="A176">
        <v>334</v>
      </c>
      <c r="B176" t="s">
        <v>42</v>
      </c>
      <c r="C176" s="2">
        <v>46752</v>
      </c>
      <c r="D176">
        <v>2027</v>
      </c>
      <c r="E176" t="s">
        <v>11</v>
      </c>
      <c r="F176" t="s">
        <v>26</v>
      </c>
      <c r="G176">
        <v>90.58039935364728</v>
      </c>
      <c r="H176">
        <v>87.781465013619567</v>
      </c>
      <c r="I176">
        <v>93.968919736860101</v>
      </c>
    </row>
    <row r="177" spans="1:9" x14ac:dyDescent="0.3">
      <c r="A177">
        <v>334</v>
      </c>
      <c r="B177" t="s">
        <v>42</v>
      </c>
      <c r="C177" s="2">
        <v>47118</v>
      </c>
      <c r="D177">
        <v>2028</v>
      </c>
      <c r="E177" t="s">
        <v>13</v>
      </c>
      <c r="F177" t="s">
        <v>26</v>
      </c>
      <c r="G177">
        <v>91.605034626038787</v>
      </c>
      <c r="H177">
        <v>88.691994524930763</v>
      </c>
      <c r="I177">
        <v>95.131696762608669</v>
      </c>
    </row>
    <row r="178" spans="1:9" x14ac:dyDescent="0.3">
      <c r="A178">
        <v>334</v>
      </c>
      <c r="B178" t="s">
        <v>42</v>
      </c>
      <c r="C178" s="2">
        <v>47483</v>
      </c>
      <c r="D178">
        <v>2029</v>
      </c>
      <c r="E178" t="s">
        <v>15</v>
      </c>
      <c r="F178" t="s">
        <v>26</v>
      </c>
      <c r="G178">
        <v>92.754766851338871</v>
      </c>
      <c r="H178">
        <v>89.72168597530009</v>
      </c>
      <c r="I178">
        <v>96.426755945691355</v>
      </c>
    </row>
    <row r="179" spans="1:9" x14ac:dyDescent="0.3">
      <c r="A179">
        <v>334</v>
      </c>
      <c r="B179" t="s">
        <v>42</v>
      </c>
      <c r="C179" s="2">
        <v>47848</v>
      </c>
      <c r="D179">
        <v>2030</v>
      </c>
      <c r="E179" t="s">
        <v>17</v>
      </c>
      <c r="F179" t="s">
        <v>26</v>
      </c>
      <c r="G179">
        <v>94.029596029547562</v>
      </c>
      <c r="H179">
        <v>90.870201602954765</v>
      </c>
      <c r="I179">
        <v>97.854506196255059</v>
      </c>
    </row>
    <row r="180" spans="1:9" x14ac:dyDescent="0.3">
      <c r="A180">
        <v>361</v>
      </c>
      <c r="B180" t="s">
        <v>43</v>
      </c>
      <c r="C180" s="2">
        <v>46752</v>
      </c>
      <c r="D180">
        <v>2027</v>
      </c>
      <c r="E180" t="s">
        <v>11</v>
      </c>
      <c r="F180" t="s">
        <v>66</v>
      </c>
      <c r="G180">
        <v>4.82</v>
      </c>
      <c r="H180">
        <v>4.7236000000000002</v>
      </c>
      <c r="I180">
        <v>4.83446</v>
      </c>
    </row>
    <row r="181" spans="1:9" x14ac:dyDescent="0.3">
      <c r="A181">
        <v>361</v>
      </c>
      <c r="B181" t="s">
        <v>43</v>
      </c>
      <c r="C181" s="2">
        <v>47483</v>
      </c>
      <c r="D181">
        <v>2029</v>
      </c>
      <c r="E181" t="s">
        <v>15</v>
      </c>
      <c r="F181" t="s">
        <v>66</v>
      </c>
      <c r="G181">
        <v>4.8499999999999996</v>
      </c>
      <c r="H181">
        <v>4.7529999999999992</v>
      </c>
      <c r="I181">
        <v>4.8645499999999995</v>
      </c>
    </row>
    <row r="182" spans="1:9" x14ac:dyDescent="0.3">
      <c r="A182">
        <v>361</v>
      </c>
      <c r="B182" t="s">
        <v>43</v>
      </c>
      <c r="C182" s="2">
        <v>48213</v>
      </c>
      <c r="D182">
        <v>2031</v>
      </c>
      <c r="E182" t="s">
        <v>70</v>
      </c>
      <c r="F182" t="s">
        <v>66</v>
      </c>
      <c r="G182">
        <v>4.87</v>
      </c>
      <c r="H182">
        <v>4.7725999999999997</v>
      </c>
      <c r="I182">
        <v>4.8846099999999995</v>
      </c>
    </row>
    <row r="183" spans="1:9" x14ac:dyDescent="0.3">
      <c r="A183" s="3">
        <v>364</v>
      </c>
      <c r="B183" s="3" t="s">
        <v>44</v>
      </c>
      <c r="C183" s="4">
        <v>46387</v>
      </c>
      <c r="D183" s="3">
        <v>2026</v>
      </c>
      <c r="E183" t="s">
        <v>9</v>
      </c>
      <c r="F183" t="s">
        <v>66</v>
      </c>
      <c r="G183" s="3">
        <v>144368.4</v>
      </c>
      <c r="H183" s="3">
        <v>173242.08</v>
      </c>
      <c r="I183" s="3">
        <v>115494.72</v>
      </c>
    </row>
    <row r="184" spans="1:9" x14ac:dyDescent="0.3">
      <c r="A184" s="3">
        <v>364</v>
      </c>
      <c r="B184" s="3" t="s">
        <v>44</v>
      </c>
      <c r="C184" s="4">
        <v>46752</v>
      </c>
      <c r="D184" s="3">
        <v>2027</v>
      </c>
      <c r="E184" t="s">
        <v>11</v>
      </c>
      <c r="F184" t="s">
        <v>66</v>
      </c>
      <c r="G184" s="3">
        <v>158805.24</v>
      </c>
      <c r="H184" s="3">
        <v>191519.11944000001</v>
      </c>
      <c r="I184" s="3">
        <v>126091.36056</v>
      </c>
    </row>
    <row r="185" spans="1:9" x14ac:dyDescent="0.3">
      <c r="A185" s="3">
        <v>364</v>
      </c>
      <c r="B185" s="3" t="s">
        <v>44</v>
      </c>
      <c r="C185" s="4">
        <v>47118</v>
      </c>
      <c r="D185" s="3">
        <v>2028</v>
      </c>
      <c r="E185" t="s">
        <v>13</v>
      </c>
      <c r="F185" t="s">
        <v>66</v>
      </c>
      <c r="G185" s="3">
        <v>174685.76400000011</v>
      </c>
      <c r="H185" s="3">
        <v>211719.14596800011</v>
      </c>
      <c r="I185" s="3">
        <v>137652.38203200011</v>
      </c>
    </row>
    <row r="186" spans="1:9" x14ac:dyDescent="0.3">
      <c r="A186" s="3">
        <v>364</v>
      </c>
      <c r="B186" s="3" t="s">
        <v>44</v>
      </c>
      <c r="C186" s="4">
        <v>47483</v>
      </c>
      <c r="D186" s="3">
        <v>2029</v>
      </c>
      <c r="E186" t="s">
        <v>15</v>
      </c>
      <c r="F186" t="s">
        <v>66</v>
      </c>
      <c r="G186" s="3">
        <v>192154.34039999999</v>
      </c>
      <c r="H186" s="3">
        <v>234043.98660720009</v>
      </c>
      <c r="I186" s="3">
        <v>150264.6941928</v>
      </c>
    </row>
    <row r="187" spans="1:9" x14ac:dyDescent="0.3">
      <c r="A187" s="3">
        <v>364</v>
      </c>
      <c r="B187" s="3" t="s">
        <v>44</v>
      </c>
      <c r="C187" s="4">
        <v>47848</v>
      </c>
      <c r="D187" s="3">
        <v>2030</v>
      </c>
      <c r="E187" t="s">
        <v>17</v>
      </c>
      <c r="F187" t="s">
        <v>66</v>
      </c>
      <c r="G187" s="3">
        <v>211369.7744400001</v>
      </c>
      <c r="H187" s="3">
        <v>258716.60391456011</v>
      </c>
      <c r="I187" s="3">
        <v>164022.94496544011</v>
      </c>
    </row>
    <row r="188" spans="1:9" x14ac:dyDescent="0.3">
      <c r="A188" s="3">
        <v>367</v>
      </c>
      <c r="B188" t="s">
        <v>67</v>
      </c>
      <c r="C188" s="4">
        <v>46387</v>
      </c>
      <c r="D188" s="3">
        <v>2026</v>
      </c>
      <c r="E188" t="s">
        <v>9</v>
      </c>
      <c r="F188" t="s">
        <v>25</v>
      </c>
      <c r="G188" s="3">
        <v>5.0095999999999998</v>
      </c>
      <c r="H188" s="3">
        <v>4.0076799999999997</v>
      </c>
      <c r="I188" s="3">
        <v>5.5479450746268659</v>
      </c>
    </row>
    <row r="189" spans="1:9" x14ac:dyDescent="0.3">
      <c r="A189" s="3">
        <v>367</v>
      </c>
      <c r="B189" t="s">
        <v>67</v>
      </c>
      <c r="C189" s="4">
        <v>46752</v>
      </c>
      <c r="D189" s="3">
        <v>2027</v>
      </c>
      <c r="E189" t="s">
        <v>11</v>
      </c>
      <c r="F189" t="s">
        <v>25</v>
      </c>
      <c r="G189" s="3">
        <v>5.0596959999999997</v>
      </c>
      <c r="H189" s="3">
        <v>4.0173986240000001</v>
      </c>
      <c r="I189" s="3">
        <v>5.6197363811343282</v>
      </c>
    </row>
    <row r="190" spans="1:9" x14ac:dyDescent="0.3">
      <c r="A190" s="3">
        <v>367</v>
      </c>
      <c r="B190" t="s">
        <v>67</v>
      </c>
      <c r="C190" s="4">
        <v>47118</v>
      </c>
      <c r="D190" s="3">
        <v>2028</v>
      </c>
      <c r="E190" t="s">
        <v>13</v>
      </c>
      <c r="F190" t="s">
        <v>25</v>
      </c>
      <c r="G190" s="3">
        <v>5.1102929600000007</v>
      </c>
      <c r="H190" s="3">
        <v>4.0269108524800012</v>
      </c>
      <c r="I190" s="3">
        <v>5.6924087192644777</v>
      </c>
    </row>
    <row r="191" spans="1:9" x14ac:dyDescent="0.3">
      <c r="A191" s="3">
        <v>367</v>
      </c>
      <c r="B191" t="s">
        <v>67</v>
      </c>
      <c r="C191" s="4">
        <v>47483</v>
      </c>
      <c r="D191" s="3">
        <v>2029</v>
      </c>
      <c r="E191" t="s">
        <v>15</v>
      </c>
      <c r="F191" t="s">
        <v>25</v>
      </c>
      <c r="G191" s="3">
        <v>5.1613958896000014</v>
      </c>
      <c r="H191" s="3">
        <v>4.0362115856672007</v>
      </c>
      <c r="I191" s="3">
        <v>5.7659725305191172</v>
      </c>
    </row>
    <row r="192" spans="1:9" x14ac:dyDescent="0.3">
      <c r="A192" s="3">
        <v>367</v>
      </c>
      <c r="B192" t="s">
        <v>67</v>
      </c>
      <c r="C192" s="4">
        <v>47848</v>
      </c>
      <c r="D192" s="3">
        <v>2030</v>
      </c>
      <c r="E192" t="s">
        <v>17</v>
      </c>
      <c r="F192" t="s">
        <v>25</v>
      </c>
      <c r="G192" s="3">
        <v>5.213009848496001</v>
      </c>
      <c r="H192" s="3">
        <v>4.0452956424328974</v>
      </c>
      <c r="I192" s="3">
        <v>5.8404383771269233</v>
      </c>
    </row>
    <row r="193" spans="1:9" x14ac:dyDescent="0.3">
      <c r="A193" s="3">
        <v>369</v>
      </c>
      <c r="B193" s="3" t="s">
        <v>45</v>
      </c>
      <c r="C193" s="4">
        <v>46387</v>
      </c>
      <c r="D193" s="3">
        <v>2026</v>
      </c>
      <c r="E193" t="s">
        <v>9</v>
      </c>
      <c r="F193" t="s">
        <v>66</v>
      </c>
      <c r="G193" s="3">
        <v>73.44</v>
      </c>
      <c r="H193" s="3">
        <v>58.752000000000002</v>
      </c>
      <c r="I193" s="3">
        <v>88.128</v>
      </c>
    </row>
    <row r="194" spans="1:9" x14ac:dyDescent="0.3">
      <c r="A194" s="3">
        <v>369</v>
      </c>
      <c r="B194" s="3" t="s">
        <v>45</v>
      </c>
      <c r="C194" s="4">
        <v>46752</v>
      </c>
      <c r="D194" s="3">
        <v>2027</v>
      </c>
      <c r="E194" t="s">
        <v>11</v>
      </c>
      <c r="F194" t="s">
        <v>66</v>
      </c>
      <c r="G194" s="3">
        <v>74.908799999999999</v>
      </c>
      <c r="H194" s="3">
        <v>59.477587200000002</v>
      </c>
      <c r="I194" s="3">
        <v>90.340012799999997</v>
      </c>
    </row>
    <row r="195" spans="1:9" x14ac:dyDescent="0.3">
      <c r="A195" s="3">
        <v>369</v>
      </c>
      <c r="B195" s="3" t="s">
        <v>45</v>
      </c>
      <c r="C195" s="4">
        <v>47118</v>
      </c>
      <c r="D195" s="3">
        <v>2028</v>
      </c>
      <c r="E195" t="s">
        <v>13</v>
      </c>
      <c r="F195" t="s">
        <v>66</v>
      </c>
      <c r="G195" s="3">
        <v>76.406976000000014</v>
      </c>
      <c r="H195" s="3">
        <v>60.208697088000022</v>
      </c>
      <c r="I195" s="3">
        <v>92.605254912000021</v>
      </c>
    </row>
    <row r="196" spans="1:9" x14ac:dyDescent="0.3">
      <c r="A196" s="3">
        <v>369</v>
      </c>
      <c r="B196" s="3" t="s">
        <v>45</v>
      </c>
      <c r="C196" s="4">
        <v>47483</v>
      </c>
      <c r="D196" s="3">
        <v>2029</v>
      </c>
      <c r="E196" t="s">
        <v>15</v>
      </c>
      <c r="F196" t="s">
        <v>66</v>
      </c>
      <c r="G196" s="3">
        <v>77.935115519999997</v>
      </c>
      <c r="H196" s="3">
        <v>60.945260336639997</v>
      </c>
      <c r="I196" s="3">
        <v>94.924970703359989</v>
      </c>
    </row>
    <row r="197" spans="1:9" x14ac:dyDescent="0.3">
      <c r="A197" s="3">
        <v>369</v>
      </c>
      <c r="B197" s="3" t="s">
        <v>45</v>
      </c>
      <c r="C197" s="4">
        <v>47848</v>
      </c>
      <c r="D197" s="3">
        <v>2030</v>
      </c>
      <c r="E197" t="s">
        <v>17</v>
      </c>
      <c r="F197" t="s">
        <v>66</v>
      </c>
      <c r="G197" s="3">
        <v>79.493817830400005</v>
      </c>
      <c r="H197" s="3">
        <v>61.687202636390403</v>
      </c>
      <c r="I197" s="3">
        <v>97.3004330244096</v>
      </c>
    </row>
    <row r="198" spans="1:9" x14ac:dyDescent="0.3">
      <c r="A198" s="3">
        <v>377</v>
      </c>
      <c r="B198" s="3" t="s">
        <v>46</v>
      </c>
      <c r="C198" s="4">
        <v>46387</v>
      </c>
      <c r="D198" s="3">
        <v>2026</v>
      </c>
      <c r="E198" t="s">
        <v>9</v>
      </c>
      <c r="F198" t="s">
        <v>66</v>
      </c>
      <c r="G198">
        <v>11828.030016950001</v>
      </c>
      <c r="H198">
        <v>9462.4240135599994</v>
      </c>
      <c r="I198">
        <v>14193.63602034</v>
      </c>
    </row>
    <row r="199" spans="1:9" x14ac:dyDescent="0.3">
      <c r="A199" s="3">
        <v>377</v>
      </c>
      <c r="B199" s="3" t="s">
        <v>46</v>
      </c>
      <c r="C199" s="4">
        <v>46752</v>
      </c>
      <c r="D199" s="3">
        <v>2027</v>
      </c>
      <c r="E199" t="s">
        <v>11</v>
      </c>
      <c r="F199" t="s">
        <v>66</v>
      </c>
      <c r="G199">
        <v>13602.2345194925</v>
      </c>
      <c r="H199">
        <v>10800.174208477039</v>
      </c>
      <c r="I199">
        <v>16404.294830507952</v>
      </c>
    </row>
    <row r="200" spans="1:9" x14ac:dyDescent="0.3">
      <c r="A200" s="3">
        <v>377</v>
      </c>
      <c r="B200" s="3" t="s">
        <v>46</v>
      </c>
      <c r="C200" s="4">
        <v>47118</v>
      </c>
      <c r="D200" s="3">
        <v>2028</v>
      </c>
      <c r="E200" t="s">
        <v>13</v>
      </c>
      <c r="F200" t="s">
        <v>66</v>
      </c>
      <c r="G200">
        <v>15642.569697416369</v>
      </c>
      <c r="H200">
        <v>12326.344921564099</v>
      </c>
      <c r="I200">
        <v>18958.794473268641</v>
      </c>
    </row>
    <row r="201" spans="1:9" x14ac:dyDescent="0.3">
      <c r="A201" s="3">
        <v>377</v>
      </c>
      <c r="B201" s="3" t="s">
        <v>46</v>
      </c>
      <c r="C201" s="4">
        <v>47483</v>
      </c>
      <c r="D201" s="3">
        <v>2029</v>
      </c>
      <c r="E201" t="s">
        <v>15</v>
      </c>
      <c r="F201" t="s">
        <v>66</v>
      </c>
      <c r="G201">
        <v>17988.95515202883</v>
      </c>
      <c r="H201">
        <v>14067.36292888654</v>
      </c>
      <c r="I201">
        <v>21910.547375171111</v>
      </c>
    </row>
    <row r="202" spans="1:9" x14ac:dyDescent="0.3">
      <c r="A202" s="3">
        <v>377</v>
      </c>
      <c r="B202" s="3" t="s">
        <v>46</v>
      </c>
      <c r="C202" s="4">
        <v>47848</v>
      </c>
      <c r="D202" s="3">
        <v>2030</v>
      </c>
      <c r="E202" t="s">
        <v>17</v>
      </c>
      <c r="F202" t="s">
        <v>66</v>
      </c>
      <c r="G202">
        <v>20687.298424833149</v>
      </c>
      <c r="H202">
        <v>16053.343577670519</v>
      </c>
      <c r="I202">
        <v>25321.253271995771</v>
      </c>
    </row>
    <row r="203" spans="1:9" x14ac:dyDescent="0.3">
      <c r="A203">
        <v>424</v>
      </c>
      <c r="B203" t="s">
        <v>48</v>
      </c>
      <c r="C203" s="2">
        <v>46387</v>
      </c>
      <c r="D203">
        <v>2026</v>
      </c>
      <c r="E203" t="s">
        <v>9</v>
      </c>
      <c r="F203" t="s">
        <v>22</v>
      </c>
      <c r="G203">
        <v>11.6</v>
      </c>
      <c r="H203">
        <v>10.7</v>
      </c>
      <c r="I203">
        <v>12.5</v>
      </c>
    </row>
    <row r="204" spans="1:9" x14ac:dyDescent="0.3">
      <c r="A204">
        <v>424</v>
      </c>
      <c r="B204" t="s">
        <v>48</v>
      </c>
      <c r="C204" s="2">
        <v>46752</v>
      </c>
      <c r="D204">
        <v>2027</v>
      </c>
      <c r="E204" t="s">
        <v>11</v>
      </c>
      <c r="F204" t="s">
        <v>22</v>
      </c>
      <c r="G204">
        <v>12.2</v>
      </c>
      <c r="H204">
        <v>11.2</v>
      </c>
      <c r="I204">
        <v>13.2</v>
      </c>
    </row>
    <row r="205" spans="1:9" x14ac:dyDescent="0.3">
      <c r="A205">
        <v>424</v>
      </c>
      <c r="B205" t="s">
        <v>48</v>
      </c>
      <c r="C205" s="2">
        <v>47118</v>
      </c>
      <c r="D205">
        <v>2028</v>
      </c>
      <c r="E205" t="s">
        <v>13</v>
      </c>
      <c r="F205" t="s">
        <v>22</v>
      </c>
      <c r="G205">
        <v>12.8</v>
      </c>
      <c r="H205">
        <v>11.8</v>
      </c>
      <c r="I205">
        <v>13.8</v>
      </c>
    </row>
    <row r="206" spans="1:9" x14ac:dyDescent="0.3">
      <c r="A206">
        <v>424</v>
      </c>
      <c r="B206" t="s">
        <v>48</v>
      </c>
      <c r="C206" s="2">
        <v>47483</v>
      </c>
      <c r="D206">
        <v>2029</v>
      </c>
      <c r="E206" t="s">
        <v>15</v>
      </c>
      <c r="F206" t="s">
        <v>22</v>
      </c>
      <c r="G206">
        <v>13.4</v>
      </c>
      <c r="H206">
        <v>12.3</v>
      </c>
      <c r="I206">
        <v>14</v>
      </c>
    </row>
    <row r="207" spans="1:9" x14ac:dyDescent="0.3">
      <c r="A207">
        <v>424</v>
      </c>
      <c r="B207" t="s">
        <v>48</v>
      </c>
      <c r="C207" s="2">
        <v>47848</v>
      </c>
      <c r="D207">
        <v>2030</v>
      </c>
      <c r="E207" t="s">
        <v>17</v>
      </c>
      <c r="F207" t="s">
        <v>22</v>
      </c>
      <c r="G207">
        <v>14</v>
      </c>
      <c r="H207">
        <v>12.9</v>
      </c>
      <c r="I207">
        <v>14.5</v>
      </c>
    </row>
    <row r="208" spans="1:9" x14ac:dyDescent="0.3">
      <c r="A208">
        <v>460</v>
      </c>
      <c r="B208" t="s">
        <v>49</v>
      </c>
      <c r="C208" s="2">
        <v>46387</v>
      </c>
      <c r="D208">
        <v>2026</v>
      </c>
      <c r="E208" t="s">
        <v>9</v>
      </c>
      <c r="F208" t="s">
        <v>66</v>
      </c>
      <c r="G208">
        <v>92.354399999999998</v>
      </c>
      <c r="H208">
        <v>89.583767999999992</v>
      </c>
      <c r="I208">
        <v>95.125032000000004</v>
      </c>
    </row>
    <row r="209" spans="1:9" x14ac:dyDescent="0.3">
      <c r="A209">
        <v>460</v>
      </c>
      <c r="B209" t="s">
        <v>49</v>
      </c>
      <c r="C209" s="2">
        <v>46752</v>
      </c>
      <c r="D209">
        <v>2027</v>
      </c>
      <c r="E209" t="s">
        <v>11</v>
      </c>
      <c r="F209" t="s">
        <v>66</v>
      </c>
      <c r="G209">
        <v>93.277944000000005</v>
      </c>
      <c r="H209">
        <v>90.395655530400006</v>
      </c>
      <c r="I209">
        <v>96.160232469600004</v>
      </c>
    </row>
    <row r="210" spans="1:9" x14ac:dyDescent="0.3">
      <c r="A210">
        <v>460</v>
      </c>
      <c r="B210" t="s">
        <v>49</v>
      </c>
      <c r="C210" s="2">
        <v>47118</v>
      </c>
      <c r="D210">
        <v>2028</v>
      </c>
      <c r="E210" t="s">
        <v>13</v>
      </c>
      <c r="F210" t="s">
        <v>66</v>
      </c>
      <c r="G210">
        <v>94.21072344000001</v>
      </c>
      <c r="H210">
        <v>91.214822434607996</v>
      </c>
      <c r="I210">
        <v>97.206624445392023</v>
      </c>
    </row>
    <row r="211" spans="1:9" x14ac:dyDescent="0.3">
      <c r="A211">
        <v>460</v>
      </c>
      <c r="B211" t="s">
        <v>49</v>
      </c>
      <c r="C211" s="2">
        <v>47483</v>
      </c>
      <c r="D211">
        <v>2029</v>
      </c>
      <c r="E211" t="s">
        <v>15</v>
      </c>
      <c r="F211" t="s">
        <v>66</v>
      </c>
      <c r="G211">
        <v>95.152830674399993</v>
      </c>
      <c r="H211">
        <v>87.882076685999976</v>
      </c>
      <c r="I211">
        <v>98.545849202319999</v>
      </c>
    </row>
    <row r="212" spans="1:9" x14ac:dyDescent="0.3">
      <c r="A212">
        <v>460</v>
      </c>
      <c r="B212" t="s">
        <v>49</v>
      </c>
      <c r="C212" s="2">
        <v>47848</v>
      </c>
      <c r="D212">
        <v>2030</v>
      </c>
      <c r="E212" t="s">
        <v>17</v>
      </c>
      <c r="F212" t="s">
        <v>66</v>
      </c>
      <c r="G212">
        <v>96.104358981144017</v>
      </c>
      <c r="H212">
        <v>90.260897452860036</v>
      </c>
      <c r="I212">
        <v>98.831307694343209</v>
      </c>
    </row>
    <row r="213" spans="1:9" x14ac:dyDescent="0.3">
      <c r="A213">
        <v>77</v>
      </c>
      <c r="B213" t="s">
        <v>51</v>
      </c>
      <c r="C213" s="2">
        <v>46387</v>
      </c>
      <c r="D213">
        <v>2026</v>
      </c>
      <c r="E213" t="s">
        <v>9</v>
      </c>
      <c r="F213" t="s">
        <v>25</v>
      </c>
      <c r="G213">
        <v>95.596500000000006</v>
      </c>
      <c r="H213">
        <v>88.991250000000008</v>
      </c>
      <c r="I213">
        <v>98.67895</v>
      </c>
    </row>
    <row r="214" spans="1:9" x14ac:dyDescent="0.3">
      <c r="A214">
        <v>77</v>
      </c>
      <c r="B214" t="s">
        <v>51</v>
      </c>
      <c r="C214" s="2">
        <v>46752</v>
      </c>
      <c r="D214">
        <v>2027</v>
      </c>
      <c r="E214" t="s">
        <v>11</v>
      </c>
      <c r="F214" t="s">
        <v>25</v>
      </c>
      <c r="G214">
        <v>96.552465000000012</v>
      </c>
      <c r="H214">
        <v>91.38116250000003</v>
      </c>
      <c r="I214">
        <v>98.965739499999998</v>
      </c>
    </row>
    <row r="215" spans="1:9" x14ac:dyDescent="0.3">
      <c r="A215">
        <v>77</v>
      </c>
      <c r="B215" t="s">
        <v>51</v>
      </c>
      <c r="C215" s="2">
        <v>47118</v>
      </c>
      <c r="D215">
        <v>2028</v>
      </c>
      <c r="E215" t="s">
        <v>13</v>
      </c>
      <c r="F215" t="s">
        <v>25</v>
      </c>
      <c r="G215">
        <v>97.517989650000018</v>
      </c>
      <c r="H215">
        <v>91.666910271000006</v>
      </c>
      <c r="I215">
        <v>99.255396895000004</v>
      </c>
    </row>
    <row r="216" spans="1:9" x14ac:dyDescent="0.3">
      <c r="A216">
        <v>77</v>
      </c>
      <c r="B216" t="s">
        <v>51</v>
      </c>
      <c r="C216" s="2">
        <v>47483</v>
      </c>
      <c r="D216">
        <v>2029</v>
      </c>
      <c r="E216" t="s">
        <v>15</v>
      </c>
      <c r="F216" t="s">
        <v>25</v>
      </c>
      <c r="G216">
        <v>98.493169546500013</v>
      </c>
      <c r="H216">
        <v>92.583579373710009</v>
      </c>
      <c r="I216">
        <v>99.547950863950007</v>
      </c>
    </row>
    <row r="217" spans="1:9" x14ac:dyDescent="0.3">
      <c r="A217">
        <v>77</v>
      </c>
      <c r="B217" t="s">
        <v>51</v>
      </c>
      <c r="C217" s="2">
        <v>47848</v>
      </c>
      <c r="D217">
        <v>2030</v>
      </c>
      <c r="E217" t="s">
        <v>17</v>
      </c>
      <c r="F217" t="s">
        <v>25</v>
      </c>
      <c r="G217">
        <v>99.478101241965021</v>
      </c>
      <c r="H217">
        <v>93.509415167447116</v>
      </c>
      <c r="I217">
        <v>99.843430372589509</v>
      </c>
    </row>
    <row r="218" spans="1:9" x14ac:dyDescent="0.3">
      <c r="A218">
        <v>98</v>
      </c>
      <c r="B218" t="s">
        <v>53</v>
      </c>
      <c r="C218" s="2">
        <v>46387</v>
      </c>
      <c r="D218">
        <v>2026</v>
      </c>
      <c r="E218" t="s">
        <v>9</v>
      </c>
      <c r="F218" t="s">
        <v>26</v>
      </c>
      <c r="G218">
        <v>3</v>
      </c>
      <c r="H218">
        <v>2</v>
      </c>
      <c r="I218">
        <v>4</v>
      </c>
    </row>
    <row r="219" spans="1:9" x14ac:dyDescent="0.3">
      <c r="A219">
        <v>98</v>
      </c>
      <c r="B219" t="s">
        <v>53</v>
      </c>
      <c r="C219" s="2">
        <v>46752</v>
      </c>
      <c r="D219">
        <v>2027</v>
      </c>
      <c r="E219" t="s">
        <v>11</v>
      </c>
      <c r="F219" t="s">
        <v>26</v>
      </c>
      <c r="G219">
        <v>3</v>
      </c>
      <c r="H219">
        <v>2</v>
      </c>
      <c r="I219">
        <v>4</v>
      </c>
    </row>
    <row r="220" spans="1:9" x14ac:dyDescent="0.3">
      <c r="A220">
        <v>98</v>
      </c>
      <c r="B220" t="s">
        <v>53</v>
      </c>
      <c r="C220" s="2">
        <v>47118</v>
      </c>
      <c r="D220">
        <v>2028</v>
      </c>
      <c r="E220" t="s">
        <v>13</v>
      </c>
      <c r="F220" t="s">
        <v>26</v>
      </c>
      <c r="G220">
        <v>3</v>
      </c>
      <c r="H220">
        <v>2</v>
      </c>
      <c r="I220">
        <v>4</v>
      </c>
    </row>
    <row r="221" spans="1:9" x14ac:dyDescent="0.3">
      <c r="A221">
        <v>98</v>
      </c>
      <c r="B221" t="s">
        <v>53</v>
      </c>
      <c r="C221" s="2">
        <v>47483</v>
      </c>
      <c r="D221">
        <v>2029</v>
      </c>
      <c r="E221" t="s">
        <v>15</v>
      </c>
      <c r="F221" t="s">
        <v>26</v>
      </c>
      <c r="G221">
        <v>4</v>
      </c>
      <c r="H221">
        <v>3</v>
      </c>
      <c r="I221">
        <v>5</v>
      </c>
    </row>
    <row r="222" spans="1:9" x14ac:dyDescent="0.3">
      <c r="A222">
        <v>98</v>
      </c>
      <c r="B222" t="s">
        <v>53</v>
      </c>
      <c r="C222" s="2">
        <v>47848</v>
      </c>
      <c r="D222">
        <v>2030</v>
      </c>
      <c r="E222" t="s">
        <v>17</v>
      </c>
      <c r="F222" t="s">
        <v>26</v>
      </c>
      <c r="G222">
        <v>4</v>
      </c>
      <c r="H222">
        <v>3</v>
      </c>
      <c r="I222">
        <v>5</v>
      </c>
    </row>
    <row r="223" spans="1:9" x14ac:dyDescent="0.3">
      <c r="A223">
        <v>14</v>
      </c>
      <c r="B223" t="s">
        <v>6</v>
      </c>
      <c r="C223" s="2">
        <v>46203</v>
      </c>
      <c r="D223">
        <v>2026</v>
      </c>
      <c r="E223" t="s">
        <v>7</v>
      </c>
      <c r="F223" t="s">
        <v>27</v>
      </c>
      <c r="G223">
        <v>57181.535034514192</v>
      </c>
      <c r="H223">
        <v>53845.581086922153</v>
      </c>
      <c r="I223">
        <v>60802.946712188583</v>
      </c>
    </row>
    <row r="224" spans="1:9" x14ac:dyDescent="0.3">
      <c r="A224">
        <v>14</v>
      </c>
      <c r="B224" t="s">
        <v>6</v>
      </c>
      <c r="C224" s="2">
        <v>46387</v>
      </c>
      <c r="D224">
        <v>2026</v>
      </c>
      <c r="E224" t="s">
        <v>9</v>
      </c>
      <c r="F224" t="s">
        <v>27</v>
      </c>
      <c r="G224">
        <v>57651.823600328113</v>
      </c>
      <c r="H224">
        <v>54187.531442700827</v>
      </c>
      <c r="I224">
        <v>61412.55539447139</v>
      </c>
    </row>
    <row r="225" spans="1:9" x14ac:dyDescent="0.3">
      <c r="A225">
        <v>14</v>
      </c>
      <c r="B225" t="s">
        <v>6</v>
      </c>
      <c r="C225" s="2">
        <v>46568</v>
      </c>
      <c r="D225">
        <v>2027</v>
      </c>
      <c r="E225" t="s">
        <v>10</v>
      </c>
      <c r="F225" t="s">
        <v>27</v>
      </c>
      <c r="G225">
        <v>58122.112166142033</v>
      </c>
      <c r="H225">
        <v>54527.835608677153</v>
      </c>
      <c r="I225">
        <v>62023.951131092377</v>
      </c>
    </row>
    <row r="226" spans="1:9" x14ac:dyDescent="0.3">
      <c r="A226">
        <v>14</v>
      </c>
      <c r="B226" t="s">
        <v>6</v>
      </c>
      <c r="C226" s="2">
        <v>46752</v>
      </c>
      <c r="D226">
        <v>2027</v>
      </c>
      <c r="E226" t="s">
        <v>11</v>
      </c>
      <c r="F226" t="s">
        <v>27</v>
      </c>
      <c r="G226">
        <v>58592.400731955953</v>
      </c>
      <c r="H226">
        <v>54866.493584851087</v>
      </c>
      <c r="I226">
        <v>62637.133922051551</v>
      </c>
    </row>
    <row r="227" spans="1:9" x14ac:dyDescent="0.3">
      <c r="A227">
        <v>14</v>
      </c>
      <c r="B227" t="s">
        <v>6</v>
      </c>
      <c r="C227" s="2">
        <v>46934</v>
      </c>
      <c r="D227">
        <v>2028</v>
      </c>
      <c r="E227" t="s">
        <v>12</v>
      </c>
      <c r="F227" t="s">
        <v>27</v>
      </c>
      <c r="G227">
        <v>59062.689297769859</v>
      </c>
      <c r="H227">
        <v>55203.505371222651</v>
      </c>
      <c r="I227">
        <v>63252.103767348883</v>
      </c>
    </row>
    <row r="228" spans="1:9" x14ac:dyDescent="0.3">
      <c r="A228">
        <v>14</v>
      </c>
      <c r="B228" t="s">
        <v>6</v>
      </c>
      <c r="C228" s="2">
        <v>47118</v>
      </c>
      <c r="D228">
        <v>2028</v>
      </c>
      <c r="E228" t="s">
        <v>13</v>
      </c>
      <c r="F228" t="s">
        <v>27</v>
      </c>
      <c r="G228">
        <v>59532.977863583779</v>
      </c>
      <c r="H228">
        <v>55538.870967791838</v>
      </c>
      <c r="I228">
        <v>63868.860666984387</v>
      </c>
    </row>
    <row r="229" spans="1:9" x14ac:dyDescent="0.3">
      <c r="A229">
        <v>14</v>
      </c>
      <c r="B229" t="s">
        <v>6</v>
      </c>
      <c r="C229" s="2">
        <v>47299</v>
      </c>
      <c r="D229">
        <v>2029</v>
      </c>
      <c r="E229" t="s">
        <v>14</v>
      </c>
      <c r="F229" t="s">
        <v>27</v>
      </c>
      <c r="G229">
        <v>60003.2664293977</v>
      </c>
      <c r="H229">
        <v>55872.590374558647</v>
      </c>
      <c r="I229">
        <v>64487.404620958077</v>
      </c>
    </row>
    <row r="230" spans="1:9" x14ac:dyDescent="0.3">
      <c r="A230">
        <v>14</v>
      </c>
      <c r="B230" t="s">
        <v>6</v>
      </c>
      <c r="C230" s="2">
        <v>47483</v>
      </c>
      <c r="D230">
        <v>2029</v>
      </c>
      <c r="E230" t="s">
        <v>15</v>
      </c>
      <c r="F230" t="s">
        <v>27</v>
      </c>
      <c r="G230">
        <v>60473.55499521162</v>
      </c>
      <c r="H230">
        <v>56204.663591523087</v>
      </c>
      <c r="I230">
        <v>65107.735629269962</v>
      </c>
    </row>
    <row r="231" spans="1:9" x14ac:dyDescent="0.3">
      <c r="A231">
        <v>14</v>
      </c>
      <c r="B231" t="s">
        <v>6</v>
      </c>
      <c r="C231" s="2">
        <v>47664</v>
      </c>
      <c r="D231">
        <v>2030</v>
      </c>
      <c r="E231" t="s">
        <v>16</v>
      </c>
      <c r="F231" t="s">
        <v>27</v>
      </c>
      <c r="G231">
        <v>60943.84356102554</v>
      </c>
      <c r="H231">
        <v>56535.090618685143</v>
      </c>
      <c r="I231">
        <v>65729.853691919998</v>
      </c>
    </row>
    <row r="232" spans="1:9" x14ac:dyDescent="0.3">
      <c r="A232">
        <v>14</v>
      </c>
      <c r="B232" t="s">
        <v>6</v>
      </c>
      <c r="C232" s="2">
        <v>47848</v>
      </c>
      <c r="D232">
        <v>2030</v>
      </c>
      <c r="E232" t="s">
        <v>17</v>
      </c>
      <c r="F232" t="s">
        <v>27</v>
      </c>
      <c r="G232">
        <v>61414.13212683946</v>
      </c>
      <c r="H232">
        <v>56863.871456044813</v>
      </c>
      <c r="I232">
        <v>66353.758808908198</v>
      </c>
    </row>
    <row r="233" spans="1:9" x14ac:dyDescent="0.3">
      <c r="A233">
        <v>379</v>
      </c>
      <c r="B233" t="s">
        <v>57</v>
      </c>
      <c r="C233" s="2">
        <v>46203</v>
      </c>
      <c r="D233">
        <v>2026</v>
      </c>
      <c r="E233" t="s">
        <v>7</v>
      </c>
      <c r="F233" t="s">
        <v>27</v>
      </c>
      <c r="G233">
        <v>12825.87818782696</v>
      </c>
      <c r="H233">
        <v>12077.620224024649</v>
      </c>
      <c r="I233">
        <v>13638.16461941349</v>
      </c>
    </row>
    <row r="234" spans="1:9" x14ac:dyDescent="0.3">
      <c r="A234">
        <v>274</v>
      </c>
      <c r="B234" t="s">
        <v>58</v>
      </c>
      <c r="C234" s="2">
        <v>46203</v>
      </c>
      <c r="D234">
        <v>2026</v>
      </c>
      <c r="E234" t="s">
        <v>7</v>
      </c>
      <c r="F234" t="s">
        <v>27</v>
      </c>
      <c r="G234">
        <v>44355.842350450519</v>
      </c>
      <c r="H234">
        <v>41768.135544425757</v>
      </c>
      <c r="I234">
        <v>47164.979344832544</v>
      </c>
    </row>
    <row r="235" spans="1:9" x14ac:dyDescent="0.3">
      <c r="A235">
        <v>379</v>
      </c>
      <c r="B235" t="s">
        <v>57</v>
      </c>
      <c r="C235" s="2">
        <v>46387</v>
      </c>
      <c r="D235">
        <v>2026</v>
      </c>
      <c r="E235" t="s">
        <v>9</v>
      </c>
      <c r="F235" t="s">
        <v>27</v>
      </c>
      <c r="G235">
        <v>12931.36440561766</v>
      </c>
      <c r="H235">
        <v>12154.320046910731</v>
      </c>
      <c r="I235">
        <v>13774.90048522195</v>
      </c>
    </row>
    <row r="236" spans="1:9" x14ac:dyDescent="0.3">
      <c r="A236">
        <v>274</v>
      </c>
      <c r="B236" t="s">
        <v>58</v>
      </c>
      <c r="C236" s="2">
        <v>46387</v>
      </c>
      <c r="D236">
        <v>2026</v>
      </c>
      <c r="E236" t="s">
        <v>9</v>
      </c>
      <c r="F236" t="s">
        <v>27</v>
      </c>
      <c r="G236">
        <v>44720.646224146301</v>
      </c>
      <c r="H236">
        <v>42033.387186646367</v>
      </c>
      <c r="I236">
        <v>47637.854138950643</v>
      </c>
    </row>
    <row r="237" spans="1:9" x14ac:dyDescent="0.3">
      <c r="A237">
        <v>379</v>
      </c>
      <c r="B237" t="s">
        <v>57</v>
      </c>
      <c r="C237" s="2">
        <v>46568</v>
      </c>
      <c r="D237">
        <v>2027</v>
      </c>
      <c r="E237" t="s">
        <v>10</v>
      </c>
      <c r="F237" t="s">
        <v>27</v>
      </c>
      <c r="G237">
        <v>13036.850623408351</v>
      </c>
      <c r="H237">
        <v>12230.650627700281</v>
      </c>
      <c r="I237">
        <v>13912.037189189839</v>
      </c>
    </row>
    <row r="238" spans="1:9" x14ac:dyDescent="0.3">
      <c r="A238">
        <v>274</v>
      </c>
      <c r="B238" t="s">
        <v>58</v>
      </c>
      <c r="C238" s="2">
        <v>46568</v>
      </c>
      <c r="D238">
        <v>2027</v>
      </c>
      <c r="E238" t="s">
        <v>10</v>
      </c>
      <c r="F238" t="s">
        <v>27</v>
      </c>
      <c r="G238">
        <v>45085.450097842077</v>
      </c>
      <c r="H238">
        <v>42297.361875820701</v>
      </c>
      <c r="I238">
        <v>48112.115155044899</v>
      </c>
    </row>
    <row r="239" spans="1:9" x14ac:dyDescent="0.3">
      <c r="A239">
        <v>379</v>
      </c>
      <c r="B239" t="s">
        <v>57</v>
      </c>
      <c r="C239" s="2">
        <v>46752</v>
      </c>
      <c r="D239">
        <v>2027</v>
      </c>
      <c r="E239" t="s">
        <v>11</v>
      </c>
      <c r="F239" t="s">
        <v>27</v>
      </c>
      <c r="G239">
        <v>13142.33684119905</v>
      </c>
      <c r="H239">
        <v>12306.61196639329</v>
      </c>
      <c r="I239">
        <v>14049.574731317151</v>
      </c>
    </row>
    <row r="240" spans="1:9" x14ac:dyDescent="0.3">
      <c r="A240">
        <v>274</v>
      </c>
      <c r="B240" t="s">
        <v>58</v>
      </c>
      <c r="C240" s="2">
        <v>46752</v>
      </c>
      <c r="D240">
        <v>2027</v>
      </c>
      <c r="E240" t="s">
        <v>11</v>
      </c>
      <c r="F240" t="s">
        <v>27</v>
      </c>
      <c r="G240">
        <v>45450.253971537859</v>
      </c>
      <c r="H240">
        <v>42560.059611948753</v>
      </c>
      <c r="I240">
        <v>48587.762393115328</v>
      </c>
    </row>
    <row r="241" spans="1:9" x14ac:dyDescent="0.3">
      <c r="A241">
        <v>379</v>
      </c>
      <c r="B241" t="s">
        <v>57</v>
      </c>
      <c r="C241" s="2">
        <v>46934</v>
      </c>
      <c r="D241">
        <v>2028</v>
      </c>
      <c r="E241" t="s">
        <v>12</v>
      </c>
      <c r="F241" t="s">
        <v>27</v>
      </c>
      <c r="G241">
        <v>13247.82305898975</v>
      </c>
      <c r="H241">
        <v>12382.20406298976</v>
      </c>
      <c r="I241">
        <v>14187.513111603899</v>
      </c>
    </row>
    <row r="242" spans="1:9" x14ac:dyDescent="0.3">
      <c r="A242">
        <v>274</v>
      </c>
      <c r="B242" t="s">
        <v>58</v>
      </c>
      <c r="C242" s="2">
        <v>46934</v>
      </c>
      <c r="D242">
        <v>2028</v>
      </c>
      <c r="E242" t="s">
        <v>12</v>
      </c>
      <c r="F242" t="s">
        <v>27</v>
      </c>
      <c r="G242">
        <v>45815.057845233627</v>
      </c>
      <c r="H242">
        <v>42821.480395030529</v>
      </c>
      <c r="I242">
        <v>49064.795853161922</v>
      </c>
    </row>
    <row r="243" spans="1:9" x14ac:dyDescent="0.3">
      <c r="A243">
        <v>379</v>
      </c>
      <c r="B243" t="s">
        <v>57</v>
      </c>
      <c r="C243" s="2">
        <v>47118</v>
      </c>
      <c r="D243">
        <v>2028</v>
      </c>
      <c r="E243" t="s">
        <v>13</v>
      </c>
      <c r="F243" t="s">
        <v>27</v>
      </c>
      <c r="G243">
        <v>13353.30927678045</v>
      </c>
      <c r="H243">
        <v>12457.4269174897</v>
      </c>
      <c r="I243">
        <v>14325.85233005006</v>
      </c>
    </row>
    <row r="244" spans="1:9" x14ac:dyDescent="0.3">
      <c r="A244">
        <v>274</v>
      </c>
      <c r="B244" t="s">
        <v>58</v>
      </c>
      <c r="C244" s="2">
        <v>47118</v>
      </c>
      <c r="D244">
        <v>2028</v>
      </c>
      <c r="E244" t="s">
        <v>13</v>
      </c>
      <c r="F244" t="s">
        <v>27</v>
      </c>
      <c r="G244">
        <v>46179.861718929409</v>
      </c>
      <c r="H244">
        <v>43081.624225066029</v>
      </c>
      <c r="I244">
        <v>49543.215535184667</v>
      </c>
    </row>
    <row r="245" spans="1:9" x14ac:dyDescent="0.3">
      <c r="A245">
        <v>379</v>
      </c>
      <c r="B245" t="s">
        <v>57</v>
      </c>
      <c r="C245" s="2">
        <v>47299</v>
      </c>
      <c r="D245">
        <v>2029</v>
      </c>
      <c r="E245" t="s">
        <v>14</v>
      </c>
      <c r="F245" t="s">
        <v>27</v>
      </c>
      <c r="G245">
        <v>13458.795494571141</v>
      </c>
      <c r="H245">
        <v>12532.2805298931</v>
      </c>
      <c r="I245">
        <v>14464.59238665566</v>
      </c>
    </row>
    <row r="246" spans="1:9" x14ac:dyDescent="0.3">
      <c r="A246">
        <v>274</v>
      </c>
      <c r="B246" t="s">
        <v>58</v>
      </c>
      <c r="C246" s="2">
        <v>47299</v>
      </c>
      <c r="D246">
        <v>2029</v>
      </c>
      <c r="E246" t="s">
        <v>14</v>
      </c>
      <c r="F246" t="s">
        <v>27</v>
      </c>
      <c r="G246">
        <v>46544.665592625191</v>
      </c>
      <c r="H246">
        <v>43340.491102055254</v>
      </c>
      <c r="I246">
        <v>50023.021439183598</v>
      </c>
    </row>
    <row r="247" spans="1:9" x14ac:dyDescent="0.3">
      <c r="A247">
        <v>379</v>
      </c>
      <c r="B247" t="s">
        <v>57</v>
      </c>
      <c r="C247" s="2">
        <v>47483</v>
      </c>
      <c r="D247">
        <v>2029</v>
      </c>
      <c r="E247" t="s">
        <v>15</v>
      </c>
      <c r="F247" t="s">
        <v>27</v>
      </c>
      <c r="G247">
        <v>13564.281712361841</v>
      </c>
      <c r="H247">
        <v>12606.764900199971</v>
      </c>
      <c r="I247">
        <v>14603.73328142068</v>
      </c>
    </row>
    <row r="248" spans="1:9" x14ac:dyDescent="0.3">
      <c r="A248">
        <v>274</v>
      </c>
      <c r="B248" t="s">
        <v>58</v>
      </c>
      <c r="C248" s="2">
        <v>47483</v>
      </c>
      <c r="D248">
        <v>2029</v>
      </c>
      <c r="E248" t="s">
        <v>15</v>
      </c>
      <c r="F248" t="s">
        <v>27</v>
      </c>
      <c r="G248">
        <v>46909.469466320967</v>
      </c>
      <c r="H248">
        <v>43598.081025998203</v>
      </c>
      <c r="I248">
        <v>50504.213565158687</v>
      </c>
    </row>
    <row r="249" spans="1:9" x14ac:dyDescent="0.3">
      <c r="A249">
        <v>379</v>
      </c>
      <c r="B249" t="s">
        <v>57</v>
      </c>
      <c r="C249" s="2">
        <v>47664</v>
      </c>
      <c r="D249">
        <v>2030</v>
      </c>
      <c r="E249" t="s">
        <v>16</v>
      </c>
      <c r="F249" t="s">
        <v>27</v>
      </c>
      <c r="G249">
        <v>13669.76793015254</v>
      </c>
      <c r="H249">
        <v>12680.880028410291</v>
      </c>
      <c r="I249">
        <v>14743.275014345139</v>
      </c>
    </row>
    <row r="250" spans="1:9" x14ac:dyDescent="0.3">
      <c r="A250">
        <v>274</v>
      </c>
      <c r="B250" t="s">
        <v>58</v>
      </c>
      <c r="C250" s="2">
        <v>47664</v>
      </c>
      <c r="D250">
        <v>2030</v>
      </c>
      <c r="E250" t="s">
        <v>16</v>
      </c>
      <c r="F250" t="s">
        <v>27</v>
      </c>
      <c r="G250">
        <v>47274.273340016749</v>
      </c>
      <c r="H250">
        <v>43854.393996894862</v>
      </c>
      <c r="I250">
        <v>50986.791913109962</v>
      </c>
    </row>
    <row r="251" spans="1:9" x14ac:dyDescent="0.3">
      <c r="A251">
        <v>379</v>
      </c>
      <c r="B251" t="s">
        <v>57</v>
      </c>
      <c r="C251" s="2">
        <v>47848</v>
      </c>
      <c r="D251">
        <v>2030</v>
      </c>
      <c r="E251" t="s">
        <v>17</v>
      </c>
      <c r="F251" t="s">
        <v>27</v>
      </c>
      <c r="G251">
        <v>13775.25414794324</v>
      </c>
      <c r="H251">
        <v>12754.62591452408</v>
      </c>
      <c r="I251">
        <v>14883.217585429011</v>
      </c>
    </row>
    <row r="252" spans="1:9" x14ac:dyDescent="0.3">
      <c r="A252">
        <v>274</v>
      </c>
      <c r="B252" t="s">
        <v>58</v>
      </c>
      <c r="C252" s="2">
        <v>47848</v>
      </c>
      <c r="D252">
        <v>2030</v>
      </c>
      <c r="E252" t="s">
        <v>17</v>
      </c>
      <c r="F252" t="s">
        <v>27</v>
      </c>
      <c r="G252">
        <v>47639.077213712531</v>
      </c>
      <c r="H252">
        <v>44109.430014745238</v>
      </c>
      <c r="I252">
        <v>51470.756483037367</v>
      </c>
    </row>
    <row r="253" spans="1:9" x14ac:dyDescent="0.3">
      <c r="A253">
        <v>14.1</v>
      </c>
      <c r="B253" t="s">
        <v>59</v>
      </c>
      <c r="C253" s="2">
        <v>46203</v>
      </c>
      <c r="D253">
        <v>2026</v>
      </c>
      <c r="E253" t="s">
        <v>7</v>
      </c>
      <c r="F253" t="s">
        <v>27</v>
      </c>
      <c r="G253">
        <v>8922.1224131696708</v>
      </c>
      <c r="H253">
        <v>8401.6084139014165</v>
      </c>
      <c r="I253">
        <v>9487.176818882821</v>
      </c>
    </row>
    <row r="254" spans="1:9" x14ac:dyDescent="0.3">
      <c r="A254">
        <v>14.2</v>
      </c>
      <c r="B254" t="s">
        <v>60</v>
      </c>
      <c r="C254" s="2">
        <v>46203</v>
      </c>
      <c r="D254">
        <v>2026</v>
      </c>
      <c r="E254" t="s">
        <v>7</v>
      </c>
      <c r="F254" t="s">
        <v>27</v>
      </c>
      <c r="G254">
        <v>48259.41262134452</v>
      </c>
      <c r="H254">
        <v>45443.972673020733</v>
      </c>
      <c r="I254">
        <v>51315.769893305762</v>
      </c>
    </row>
    <row r="255" spans="1:9" x14ac:dyDescent="0.3">
      <c r="A255">
        <v>14.1</v>
      </c>
      <c r="B255" t="s">
        <v>59</v>
      </c>
      <c r="C255" s="2">
        <v>46387</v>
      </c>
      <c r="D255">
        <v>2026</v>
      </c>
      <c r="E255" t="s">
        <v>9</v>
      </c>
      <c r="F255" t="s">
        <v>27</v>
      </c>
      <c r="G255">
        <v>8995.5022577501495</v>
      </c>
      <c r="H255">
        <v>8454.9634511812455</v>
      </c>
      <c r="I255">
        <v>9582.2949944297943</v>
      </c>
    </row>
    <row r="256" spans="1:9" x14ac:dyDescent="0.3">
      <c r="A256">
        <v>14.2</v>
      </c>
      <c r="B256" t="s">
        <v>60</v>
      </c>
      <c r="C256" s="2">
        <v>46387</v>
      </c>
      <c r="D256">
        <v>2026</v>
      </c>
      <c r="E256" t="s">
        <v>9</v>
      </c>
      <c r="F256" t="s">
        <v>27</v>
      </c>
      <c r="G256">
        <v>48656.321342577961</v>
      </c>
      <c r="H256">
        <v>45732.567991519587</v>
      </c>
      <c r="I256">
        <v>51830.260400041603</v>
      </c>
    </row>
    <row r="257" spans="1:9" x14ac:dyDescent="0.3">
      <c r="A257">
        <v>14.1</v>
      </c>
      <c r="B257" t="s">
        <v>59</v>
      </c>
      <c r="C257" s="2">
        <v>46568</v>
      </c>
      <c r="D257">
        <v>2027</v>
      </c>
      <c r="E257" t="s">
        <v>10</v>
      </c>
      <c r="F257" t="s">
        <v>27</v>
      </c>
      <c r="G257">
        <v>9068.8821023306264</v>
      </c>
      <c r="H257">
        <v>8508.0616309471388</v>
      </c>
      <c r="I257">
        <v>9677.6920067997835</v>
      </c>
    </row>
    <row r="258" spans="1:9" x14ac:dyDescent="0.3">
      <c r="A258">
        <v>14.2</v>
      </c>
      <c r="B258" t="s">
        <v>60</v>
      </c>
      <c r="C258" s="2">
        <v>46568</v>
      </c>
      <c r="D258">
        <v>2027</v>
      </c>
      <c r="E258" t="s">
        <v>10</v>
      </c>
      <c r="F258" t="s">
        <v>27</v>
      </c>
      <c r="G258">
        <v>49053.23006381141</v>
      </c>
      <c r="H258">
        <v>46019.773977730023</v>
      </c>
      <c r="I258">
        <v>52346.259124292606</v>
      </c>
    </row>
    <row r="259" spans="1:9" x14ac:dyDescent="0.3">
      <c r="A259">
        <v>14.1</v>
      </c>
      <c r="B259" t="s">
        <v>59</v>
      </c>
      <c r="C259" s="2">
        <v>46752</v>
      </c>
      <c r="D259">
        <v>2027</v>
      </c>
      <c r="E259" t="s">
        <v>11</v>
      </c>
      <c r="F259" t="s">
        <v>27</v>
      </c>
      <c r="G259">
        <v>9142.261946911105</v>
      </c>
      <c r="H259">
        <v>8560.9029531990927</v>
      </c>
      <c r="I259">
        <v>9773.3678559927885</v>
      </c>
    </row>
    <row r="260" spans="1:9" x14ac:dyDescent="0.3">
      <c r="A260">
        <v>14.2</v>
      </c>
      <c r="B260" t="s">
        <v>60</v>
      </c>
      <c r="C260" s="2">
        <v>46752</v>
      </c>
      <c r="D260">
        <v>2027</v>
      </c>
      <c r="E260" t="s">
        <v>11</v>
      </c>
      <c r="F260" t="s">
        <v>27</v>
      </c>
      <c r="G260">
        <v>49450.138785044852</v>
      </c>
      <c r="H260">
        <v>46305.590631651998</v>
      </c>
      <c r="I260">
        <v>52863.766066058772</v>
      </c>
    </row>
    <row r="261" spans="1:9" x14ac:dyDescent="0.3">
      <c r="A261">
        <v>14.1</v>
      </c>
      <c r="B261" t="s">
        <v>59</v>
      </c>
      <c r="C261" s="2">
        <v>46934</v>
      </c>
      <c r="D261">
        <v>2028</v>
      </c>
      <c r="E261" t="s">
        <v>12</v>
      </c>
      <c r="F261" t="s">
        <v>27</v>
      </c>
      <c r="G261">
        <v>9215.6417914915819</v>
      </c>
      <c r="H261">
        <v>8613.4874179371091</v>
      </c>
      <c r="I261">
        <v>9869.3225420088074</v>
      </c>
    </row>
    <row r="262" spans="1:9" x14ac:dyDescent="0.3">
      <c r="A262">
        <v>14.2</v>
      </c>
      <c r="B262" t="s">
        <v>60</v>
      </c>
      <c r="C262" s="2">
        <v>46934</v>
      </c>
      <c r="D262">
        <v>2028</v>
      </c>
      <c r="E262" t="s">
        <v>12</v>
      </c>
      <c r="F262" t="s">
        <v>27</v>
      </c>
      <c r="G262">
        <v>49847.047506278293</v>
      </c>
      <c r="H262">
        <v>46590.017953285547</v>
      </c>
      <c r="I262">
        <v>53382.781225340077</v>
      </c>
    </row>
    <row r="263" spans="1:9" x14ac:dyDescent="0.3">
      <c r="A263">
        <v>14.1</v>
      </c>
      <c r="B263" t="s">
        <v>59</v>
      </c>
      <c r="C263" s="2">
        <v>47118</v>
      </c>
      <c r="D263">
        <v>2028</v>
      </c>
      <c r="E263" t="s">
        <v>13</v>
      </c>
      <c r="F263" t="s">
        <v>27</v>
      </c>
      <c r="G263">
        <v>9289.0216360720588</v>
      </c>
      <c r="H263">
        <v>8665.8150251611878</v>
      </c>
      <c r="I263">
        <v>9965.556064847844</v>
      </c>
    </row>
    <row r="264" spans="1:9" x14ac:dyDescent="0.3">
      <c r="A264">
        <v>14.2</v>
      </c>
      <c r="B264" t="s">
        <v>60</v>
      </c>
      <c r="C264" s="2">
        <v>47118</v>
      </c>
      <c r="D264">
        <v>2028</v>
      </c>
      <c r="E264" t="s">
        <v>13</v>
      </c>
      <c r="F264" t="s">
        <v>27</v>
      </c>
      <c r="G264">
        <v>50243.956227511728</v>
      </c>
      <c r="H264">
        <v>46873.055942630657</v>
      </c>
      <c r="I264">
        <v>53903.304602136559</v>
      </c>
    </row>
    <row r="265" spans="1:9" x14ac:dyDescent="0.3">
      <c r="A265">
        <v>14.1</v>
      </c>
      <c r="B265" t="s">
        <v>59</v>
      </c>
      <c r="C265" s="2">
        <v>47299</v>
      </c>
      <c r="D265">
        <v>2029</v>
      </c>
      <c r="E265" t="s">
        <v>14</v>
      </c>
      <c r="F265" t="s">
        <v>27</v>
      </c>
      <c r="G265">
        <v>9362.4014806525374</v>
      </c>
      <c r="H265">
        <v>8717.885774871329</v>
      </c>
      <c r="I265">
        <v>10062.0684245099</v>
      </c>
    </row>
    <row r="266" spans="1:9" x14ac:dyDescent="0.3">
      <c r="A266">
        <v>14.2</v>
      </c>
      <c r="B266" t="s">
        <v>60</v>
      </c>
      <c r="C266" s="2">
        <v>47299</v>
      </c>
      <c r="D266">
        <v>2029</v>
      </c>
      <c r="E266" t="s">
        <v>14</v>
      </c>
      <c r="F266" t="s">
        <v>27</v>
      </c>
      <c r="G266">
        <v>50640.864948745169</v>
      </c>
      <c r="H266">
        <v>47154.704599687328</v>
      </c>
      <c r="I266">
        <v>54425.336196448203</v>
      </c>
    </row>
    <row r="267" spans="1:9" x14ac:dyDescent="0.3">
      <c r="A267">
        <v>14.1</v>
      </c>
      <c r="B267" t="s">
        <v>59</v>
      </c>
      <c r="C267" s="2">
        <v>47483</v>
      </c>
      <c r="D267">
        <v>2029</v>
      </c>
      <c r="E267" t="s">
        <v>15</v>
      </c>
      <c r="F267" t="s">
        <v>27</v>
      </c>
      <c r="G267">
        <v>9435.7813252330143</v>
      </c>
      <c r="H267">
        <v>8769.6996670675326</v>
      </c>
      <c r="I267">
        <v>10158.859620994959</v>
      </c>
    </row>
    <row r="268" spans="1:9" x14ac:dyDescent="0.3">
      <c r="A268">
        <v>14.2</v>
      </c>
      <c r="B268" t="s">
        <v>60</v>
      </c>
      <c r="C268" s="2">
        <v>47483</v>
      </c>
      <c r="D268">
        <v>2029</v>
      </c>
      <c r="E268" t="s">
        <v>15</v>
      </c>
      <c r="F268" t="s">
        <v>27</v>
      </c>
      <c r="G268">
        <v>51037.773669978611</v>
      </c>
      <c r="H268">
        <v>47434.963924455573</v>
      </c>
      <c r="I268">
        <v>54948.876008275001</v>
      </c>
    </row>
    <row r="269" spans="1:9" x14ac:dyDescent="0.3">
      <c r="A269">
        <v>14.1</v>
      </c>
      <c r="B269" t="s">
        <v>59</v>
      </c>
      <c r="C269" s="2">
        <v>47664</v>
      </c>
      <c r="D269">
        <v>2030</v>
      </c>
      <c r="E269" t="s">
        <v>16</v>
      </c>
      <c r="F269" t="s">
        <v>27</v>
      </c>
      <c r="G269">
        <v>9509.161169813493</v>
      </c>
      <c r="H269">
        <v>8821.2567017497968</v>
      </c>
      <c r="I269">
        <v>10255.92965430305</v>
      </c>
    </row>
    <row r="270" spans="1:9" x14ac:dyDescent="0.3">
      <c r="A270">
        <v>14.2</v>
      </c>
      <c r="B270" t="s">
        <v>60</v>
      </c>
      <c r="C270" s="2">
        <v>47664</v>
      </c>
      <c r="D270">
        <v>2030</v>
      </c>
      <c r="E270" t="s">
        <v>16</v>
      </c>
      <c r="F270" t="s">
        <v>27</v>
      </c>
      <c r="G270">
        <v>51434.682391212053</v>
      </c>
      <c r="H270">
        <v>47713.833916935349</v>
      </c>
      <c r="I270">
        <v>55473.924037616962</v>
      </c>
    </row>
    <row r="271" spans="1:9" x14ac:dyDescent="0.3">
      <c r="A271">
        <v>14.1</v>
      </c>
      <c r="B271" t="s">
        <v>59</v>
      </c>
      <c r="C271" s="2">
        <v>47848</v>
      </c>
      <c r="D271">
        <v>2030</v>
      </c>
      <c r="E271" t="s">
        <v>17</v>
      </c>
      <c r="F271" t="s">
        <v>27</v>
      </c>
      <c r="G271">
        <v>9582.5410143939698</v>
      </c>
      <c r="H271">
        <v>8872.5568789181234</v>
      </c>
      <c r="I271">
        <v>10353.278524434139</v>
      </c>
    </row>
    <row r="272" spans="1:9" x14ac:dyDescent="0.3">
      <c r="A272">
        <v>14.2</v>
      </c>
      <c r="B272" t="s">
        <v>60</v>
      </c>
      <c r="C272" s="2">
        <v>47848</v>
      </c>
      <c r="D272">
        <v>2030</v>
      </c>
      <c r="E272" t="s">
        <v>17</v>
      </c>
      <c r="F272" t="s">
        <v>27</v>
      </c>
      <c r="G272">
        <v>51831.591112445501</v>
      </c>
      <c r="H272">
        <v>47991.314577126701</v>
      </c>
      <c r="I272">
        <v>56000.480284474063</v>
      </c>
    </row>
    <row r="273" spans="1:9" x14ac:dyDescent="0.3">
      <c r="A273">
        <v>194</v>
      </c>
      <c r="B273" t="s">
        <v>23</v>
      </c>
      <c r="C273" s="2">
        <v>46387</v>
      </c>
      <c r="D273">
        <v>2026</v>
      </c>
      <c r="E273" t="s">
        <v>9</v>
      </c>
      <c r="F273" t="s">
        <v>27</v>
      </c>
      <c r="G273">
        <v>90.299279905306122</v>
      </c>
      <c r="H273">
        <v>87.590301508146936</v>
      </c>
      <c r="I273">
        <v>93.008258302465308</v>
      </c>
    </row>
    <row r="274" spans="1:9" x14ac:dyDescent="0.3">
      <c r="A274">
        <v>194</v>
      </c>
      <c r="B274" t="s">
        <v>23</v>
      </c>
      <c r="C274" s="2">
        <v>46752</v>
      </c>
      <c r="D274">
        <v>2027</v>
      </c>
      <c r="E274" t="s">
        <v>11</v>
      </c>
      <c r="F274" t="s">
        <v>27</v>
      </c>
      <c r="G274">
        <v>91.205371802411875</v>
      </c>
      <c r="H274">
        <v>88.469210648339512</v>
      </c>
      <c r="I274">
        <v>93.941532956484238</v>
      </c>
    </row>
    <row r="275" spans="1:9" x14ac:dyDescent="0.3">
      <c r="A275">
        <v>194</v>
      </c>
      <c r="B275" t="s">
        <v>23</v>
      </c>
      <c r="C275" s="2">
        <v>47118</v>
      </c>
      <c r="D275">
        <v>2028</v>
      </c>
      <c r="E275" t="s">
        <v>13</v>
      </c>
      <c r="F275" t="s">
        <v>27</v>
      </c>
      <c r="G275">
        <v>92.111463699517614</v>
      </c>
      <c r="H275">
        <v>89.348119788532088</v>
      </c>
      <c r="I275">
        <v>94.87480761050314</v>
      </c>
    </row>
    <row r="276" spans="1:9" x14ac:dyDescent="0.3">
      <c r="A276">
        <v>194</v>
      </c>
      <c r="B276" t="s">
        <v>23</v>
      </c>
      <c r="C276" s="2">
        <v>47483</v>
      </c>
      <c r="D276">
        <v>2029</v>
      </c>
      <c r="E276" t="s">
        <v>15</v>
      </c>
      <c r="F276" t="s">
        <v>27</v>
      </c>
      <c r="G276">
        <v>93.017555596623353</v>
      </c>
      <c r="H276">
        <v>90.22702892872465</v>
      </c>
      <c r="I276">
        <v>95.808082264522056</v>
      </c>
    </row>
    <row r="277" spans="1:9" x14ac:dyDescent="0.3">
      <c r="A277">
        <v>194</v>
      </c>
      <c r="B277" t="s">
        <v>23</v>
      </c>
      <c r="C277" s="2">
        <v>47848</v>
      </c>
      <c r="D277">
        <v>2030</v>
      </c>
      <c r="E277" t="s">
        <v>17</v>
      </c>
      <c r="F277" t="s">
        <v>27</v>
      </c>
      <c r="G277">
        <v>93.923647493729106</v>
      </c>
      <c r="H277">
        <v>91.105938068917226</v>
      </c>
      <c r="I277">
        <v>96.741356918540987</v>
      </c>
    </row>
    <row r="278" spans="1:9" x14ac:dyDescent="0.3">
      <c r="A278">
        <v>194</v>
      </c>
      <c r="B278" t="s">
        <v>23</v>
      </c>
      <c r="C278" s="2">
        <v>46387</v>
      </c>
      <c r="D278">
        <v>2026</v>
      </c>
      <c r="E278" t="s">
        <v>9</v>
      </c>
      <c r="F278" t="s">
        <v>25</v>
      </c>
      <c r="G278">
        <v>90.703306625415365</v>
      </c>
      <c r="H278">
        <v>87.982207426652906</v>
      </c>
      <c r="I278">
        <v>93.424405824177825</v>
      </c>
    </row>
    <row r="279" spans="1:9" x14ac:dyDescent="0.3">
      <c r="A279">
        <v>194</v>
      </c>
      <c r="B279" t="s">
        <v>23</v>
      </c>
      <c r="C279" s="2">
        <v>46752</v>
      </c>
      <c r="D279">
        <v>2027</v>
      </c>
      <c r="E279" t="s">
        <v>11</v>
      </c>
      <c r="F279" t="s">
        <v>25</v>
      </c>
      <c r="G279">
        <v>91.412109253156885</v>
      </c>
      <c r="H279">
        <v>88.669745975562179</v>
      </c>
      <c r="I279">
        <v>94.15447253075159</v>
      </c>
    </row>
    <row r="280" spans="1:9" x14ac:dyDescent="0.3">
      <c r="A280">
        <v>194</v>
      </c>
      <c r="B280" t="s">
        <v>23</v>
      </c>
      <c r="C280" s="2">
        <v>47118</v>
      </c>
      <c r="D280">
        <v>2028</v>
      </c>
      <c r="E280" t="s">
        <v>13</v>
      </c>
      <c r="F280" t="s">
        <v>25</v>
      </c>
      <c r="G280">
        <v>92.126450831833978</v>
      </c>
      <c r="H280">
        <v>89.362657306878958</v>
      </c>
      <c r="I280">
        <v>94.890244356788997</v>
      </c>
    </row>
    <row r="281" spans="1:9" x14ac:dyDescent="0.3">
      <c r="A281">
        <v>194</v>
      </c>
      <c r="B281" t="s">
        <v>23</v>
      </c>
      <c r="C281" s="2">
        <v>47483</v>
      </c>
      <c r="D281">
        <v>2029</v>
      </c>
      <c r="E281" t="s">
        <v>15</v>
      </c>
      <c r="F281" t="s">
        <v>25</v>
      </c>
      <c r="G281">
        <v>92.846374645678779</v>
      </c>
      <c r="H281">
        <v>90.060983406308409</v>
      </c>
      <c r="I281">
        <v>95.631765885049148</v>
      </c>
    </row>
    <row r="282" spans="1:9" x14ac:dyDescent="0.3">
      <c r="A282">
        <v>194</v>
      </c>
      <c r="B282" t="s">
        <v>23</v>
      </c>
      <c r="C282" s="2">
        <v>47848</v>
      </c>
      <c r="D282">
        <v>2030</v>
      </c>
      <c r="E282" t="s">
        <v>17</v>
      </c>
      <c r="F282" t="s">
        <v>25</v>
      </c>
      <c r="G282">
        <v>93.571924317168822</v>
      </c>
      <c r="H282">
        <v>90.764766587653753</v>
      </c>
      <c r="I282">
        <v>96.379082046683891</v>
      </c>
    </row>
    <row r="283" spans="1:9" x14ac:dyDescent="0.3">
      <c r="A283">
        <v>323</v>
      </c>
      <c r="B283" t="s">
        <v>39</v>
      </c>
      <c r="C283" s="2">
        <v>46387</v>
      </c>
      <c r="D283">
        <v>2026</v>
      </c>
      <c r="E283" t="s">
        <v>9</v>
      </c>
      <c r="F283" t="s">
        <v>30</v>
      </c>
      <c r="G283">
        <v>2</v>
      </c>
      <c r="H283">
        <v>1</v>
      </c>
      <c r="I283">
        <v>3</v>
      </c>
    </row>
    <row r="284" spans="1:9" x14ac:dyDescent="0.3">
      <c r="A284">
        <v>323</v>
      </c>
      <c r="B284" t="s">
        <v>39</v>
      </c>
      <c r="C284" s="2">
        <v>46752</v>
      </c>
      <c r="D284">
        <v>2027</v>
      </c>
      <c r="E284" t="s">
        <v>11</v>
      </c>
      <c r="F284" t="s">
        <v>30</v>
      </c>
      <c r="G284">
        <v>2</v>
      </c>
      <c r="H284">
        <v>1</v>
      </c>
      <c r="I284">
        <v>3</v>
      </c>
    </row>
    <row r="285" spans="1:9" x14ac:dyDescent="0.3">
      <c r="A285">
        <v>323</v>
      </c>
      <c r="B285" t="s">
        <v>39</v>
      </c>
      <c r="C285" s="2">
        <v>47118</v>
      </c>
      <c r="D285">
        <v>2028</v>
      </c>
      <c r="E285" t="s">
        <v>13</v>
      </c>
      <c r="F285" t="s">
        <v>30</v>
      </c>
      <c r="G285">
        <v>2</v>
      </c>
      <c r="H285">
        <v>1</v>
      </c>
      <c r="I285">
        <v>3</v>
      </c>
    </row>
    <row r="286" spans="1:9" x14ac:dyDescent="0.3">
      <c r="A286">
        <v>323</v>
      </c>
      <c r="B286" t="s">
        <v>39</v>
      </c>
      <c r="C286" s="2">
        <v>47483</v>
      </c>
      <c r="D286">
        <v>2029</v>
      </c>
      <c r="E286" t="s">
        <v>15</v>
      </c>
      <c r="F286" t="s">
        <v>30</v>
      </c>
      <c r="G286">
        <v>3</v>
      </c>
      <c r="H286">
        <v>2</v>
      </c>
      <c r="I286">
        <v>4</v>
      </c>
    </row>
    <row r="287" spans="1:9" x14ac:dyDescent="0.3">
      <c r="A287">
        <v>323</v>
      </c>
      <c r="B287" t="s">
        <v>39</v>
      </c>
      <c r="C287" s="2">
        <v>47848</v>
      </c>
      <c r="D287">
        <v>2030</v>
      </c>
      <c r="E287" t="s">
        <v>17</v>
      </c>
      <c r="F287" t="s">
        <v>30</v>
      </c>
      <c r="G287">
        <v>3</v>
      </c>
      <c r="H287">
        <v>2</v>
      </c>
      <c r="I287">
        <v>4</v>
      </c>
    </row>
    <row r="288" spans="1:9" x14ac:dyDescent="0.3">
      <c r="A288">
        <v>376</v>
      </c>
      <c r="B288" t="s">
        <v>69</v>
      </c>
      <c r="C288" s="2">
        <v>46387</v>
      </c>
      <c r="D288">
        <v>2026</v>
      </c>
      <c r="E288" t="s">
        <v>9</v>
      </c>
      <c r="F288" t="s">
        <v>22</v>
      </c>
      <c r="G288">
        <v>34790.444801582693</v>
      </c>
      <c r="H288">
        <v>33746.731457535207</v>
      </c>
      <c r="I288">
        <v>36033.446856183858</v>
      </c>
    </row>
    <row r="289" spans="1:9" x14ac:dyDescent="0.3">
      <c r="A289">
        <v>376</v>
      </c>
      <c r="B289" t="s">
        <v>69</v>
      </c>
      <c r="C289" s="2">
        <v>46752</v>
      </c>
      <c r="D289">
        <v>2027</v>
      </c>
      <c r="E289" t="s">
        <v>11</v>
      </c>
      <c r="F289" t="s">
        <v>22</v>
      </c>
      <c r="G289">
        <v>37492.873343857507</v>
      </c>
      <c r="H289">
        <v>36334.343557532309</v>
      </c>
      <c r="I289">
        <v>38872.61512155136</v>
      </c>
    </row>
    <row r="290" spans="1:9" x14ac:dyDescent="0.3">
      <c r="A290">
        <v>376</v>
      </c>
      <c r="B290" t="s">
        <v>69</v>
      </c>
      <c r="C290" s="2">
        <v>47118</v>
      </c>
      <c r="D290">
        <v>2028</v>
      </c>
      <c r="E290" t="s">
        <v>13</v>
      </c>
      <c r="F290" t="s">
        <v>22</v>
      </c>
      <c r="G290">
        <v>40195.301886132322</v>
      </c>
      <c r="H290">
        <v>38917.091286153307</v>
      </c>
      <c r="I290">
        <v>41717.57657108127</v>
      </c>
    </row>
    <row r="291" spans="1:9" x14ac:dyDescent="0.3">
      <c r="A291">
        <v>376</v>
      </c>
      <c r="B291" t="s">
        <v>69</v>
      </c>
      <c r="C291" s="2">
        <v>47483</v>
      </c>
      <c r="D291">
        <v>2029</v>
      </c>
      <c r="E291" t="s">
        <v>15</v>
      </c>
      <c r="F291" t="s">
        <v>22</v>
      </c>
      <c r="G291">
        <v>42897.730428407129</v>
      </c>
      <c r="H291">
        <v>41494.974643398207</v>
      </c>
      <c r="I291">
        <v>44568.331204773582</v>
      </c>
    </row>
    <row r="292" spans="1:9" x14ac:dyDescent="0.3">
      <c r="A292">
        <v>376</v>
      </c>
      <c r="B292" t="s">
        <v>69</v>
      </c>
      <c r="C292" s="2">
        <v>47848</v>
      </c>
      <c r="D292">
        <v>2030</v>
      </c>
      <c r="E292" t="s">
        <v>17</v>
      </c>
      <c r="F292" t="s">
        <v>22</v>
      </c>
      <c r="G292">
        <v>45600.15897068195</v>
      </c>
      <c r="H292">
        <v>44067.993629267032</v>
      </c>
      <c r="I292">
        <v>47424.879022628324</v>
      </c>
    </row>
    <row r="293" spans="1:9" x14ac:dyDescent="0.3">
      <c r="A293">
        <v>376</v>
      </c>
      <c r="B293" t="s">
        <v>69</v>
      </c>
      <c r="C293" s="2">
        <v>46387</v>
      </c>
      <c r="D293">
        <v>2026</v>
      </c>
      <c r="E293" t="s">
        <v>9</v>
      </c>
      <c r="F293" t="s">
        <v>26</v>
      </c>
      <c r="G293">
        <v>33364.614089900009</v>
      </c>
      <c r="H293">
        <v>32363.67566720301</v>
      </c>
      <c r="I293">
        <v>34556.673694232348</v>
      </c>
    </row>
    <row r="294" spans="1:9" x14ac:dyDescent="0.3">
      <c r="A294">
        <v>376</v>
      </c>
      <c r="B294" t="s">
        <v>69</v>
      </c>
      <c r="C294" s="2">
        <v>46752</v>
      </c>
      <c r="D294">
        <v>2027</v>
      </c>
      <c r="E294" t="s">
        <v>11</v>
      </c>
      <c r="F294" t="s">
        <v>26</v>
      </c>
      <c r="G294">
        <v>36512.365153479492</v>
      </c>
      <c r="H294">
        <v>35384.133070236967</v>
      </c>
      <c r="I294">
        <v>37856.02412414951</v>
      </c>
    </row>
    <row r="295" spans="1:9" x14ac:dyDescent="0.3">
      <c r="A295">
        <v>376</v>
      </c>
      <c r="B295" t="s">
        <v>69</v>
      </c>
      <c r="C295" s="2">
        <v>47118</v>
      </c>
      <c r="D295">
        <v>2028</v>
      </c>
      <c r="E295" t="s">
        <v>13</v>
      </c>
      <c r="F295" t="s">
        <v>26</v>
      </c>
      <c r="G295">
        <v>40167.943620047838</v>
      </c>
      <c r="H295">
        <v>38890.603012930333</v>
      </c>
      <c r="I295">
        <v>41689.182193960667</v>
      </c>
    </row>
    <row r="296" spans="1:9" x14ac:dyDescent="0.3">
      <c r="A296">
        <v>376</v>
      </c>
      <c r="B296" t="s">
        <v>69</v>
      </c>
      <c r="C296" s="2">
        <v>47483</v>
      </c>
      <c r="D296">
        <v>2029</v>
      </c>
      <c r="E296" t="s">
        <v>15</v>
      </c>
      <c r="F296" t="s">
        <v>26</v>
      </c>
      <c r="G296">
        <v>44331.349489605069</v>
      </c>
      <c r="H296">
        <v>42881.71436129498</v>
      </c>
      <c r="I296">
        <v>46057.780844716202</v>
      </c>
    </row>
    <row r="297" spans="1:9" x14ac:dyDescent="0.3">
      <c r="A297">
        <v>376</v>
      </c>
      <c r="B297" t="s">
        <v>69</v>
      </c>
      <c r="C297" s="2">
        <v>47848</v>
      </c>
      <c r="D297">
        <v>2030</v>
      </c>
      <c r="E297" t="s">
        <v>17</v>
      </c>
      <c r="F297" t="s">
        <v>26</v>
      </c>
      <c r="G297">
        <v>49002.582762151171</v>
      </c>
      <c r="H297">
        <v>47356.095981342893</v>
      </c>
      <c r="I297">
        <v>50963.453017466447</v>
      </c>
    </row>
    <row r="298" spans="1:9" x14ac:dyDescent="0.3">
      <c r="A298">
        <v>466</v>
      </c>
      <c r="B298" t="s">
        <v>50</v>
      </c>
      <c r="C298" s="2">
        <v>46387</v>
      </c>
      <c r="D298">
        <v>2026</v>
      </c>
      <c r="E298" t="s">
        <v>9</v>
      </c>
      <c r="F298" t="s">
        <v>22</v>
      </c>
      <c r="G298">
        <v>58.919999999999987</v>
      </c>
      <c r="H298">
        <v>57.152399999902997</v>
      </c>
      <c r="I298">
        <v>60.742268041340189</v>
      </c>
    </row>
    <row r="299" spans="1:9" x14ac:dyDescent="0.3">
      <c r="A299">
        <v>466</v>
      </c>
      <c r="B299" t="s">
        <v>50</v>
      </c>
      <c r="C299" s="2">
        <v>46752</v>
      </c>
      <c r="D299">
        <v>2027</v>
      </c>
      <c r="E299" t="s">
        <v>11</v>
      </c>
      <c r="F299" t="s">
        <v>22</v>
      </c>
      <c r="G299">
        <v>60.687600000000003</v>
      </c>
      <c r="H299">
        <v>58.812353159905193</v>
      </c>
      <c r="I299">
        <v>62.622639562581618</v>
      </c>
    </row>
    <row r="300" spans="1:9" x14ac:dyDescent="0.3">
      <c r="A300">
        <v>466</v>
      </c>
      <c r="B300" t="s">
        <v>50</v>
      </c>
      <c r="C300" s="2">
        <v>47118</v>
      </c>
      <c r="D300">
        <v>2028</v>
      </c>
      <c r="E300" t="s">
        <v>13</v>
      </c>
      <c r="F300" t="s">
        <v>22</v>
      </c>
      <c r="G300">
        <v>62.508228000000003</v>
      </c>
      <c r="H300">
        <v>60.520466349507103</v>
      </c>
      <c r="I300">
        <v>64.561276595843793</v>
      </c>
    </row>
    <row r="301" spans="1:9" x14ac:dyDescent="0.3">
      <c r="A301">
        <v>466</v>
      </c>
      <c r="B301" t="s">
        <v>50</v>
      </c>
      <c r="C301" s="2">
        <v>47483</v>
      </c>
      <c r="D301">
        <v>2029</v>
      </c>
      <c r="E301" t="s">
        <v>15</v>
      </c>
      <c r="F301" t="s">
        <v>22</v>
      </c>
      <c r="G301">
        <v>64.383474839999991</v>
      </c>
      <c r="H301">
        <v>62.27813521264077</v>
      </c>
      <c r="I301">
        <v>66.559986395217919</v>
      </c>
    </row>
    <row r="302" spans="1:9" x14ac:dyDescent="0.3">
      <c r="A302">
        <v>466</v>
      </c>
      <c r="B302" t="s">
        <v>50</v>
      </c>
      <c r="C302" s="2">
        <v>47848</v>
      </c>
      <c r="D302">
        <v>2030</v>
      </c>
      <c r="E302" t="s">
        <v>17</v>
      </c>
      <c r="F302" t="s">
        <v>22</v>
      </c>
      <c r="G302">
        <v>66.314979085199994</v>
      </c>
      <c r="H302">
        <v>64.086795787847493</v>
      </c>
      <c r="I302">
        <v>68.620632331635861</v>
      </c>
    </row>
    <row r="303" spans="1:9" x14ac:dyDescent="0.3">
      <c r="A303">
        <v>466</v>
      </c>
      <c r="B303" t="s">
        <v>50</v>
      </c>
      <c r="C303" s="2">
        <v>46387</v>
      </c>
      <c r="D303">
        <v>2026</v>
      </c>
      <c r="E303" t="s">
        <v>9</v>
      </c>
      <c r="F303" t="s">
        <v>26</v>
      </c>
      <c r="G303">
        <v>56.235212373037847</v>
      </c>
      <c r="H303">
        <v>54.54815600174971</v>
      </c>
      <c r="I303">
        <v>57.97444574550294</v>
      </c>
    </row>
    <row r="304" spans="1:9" x14ac:dyDescent="0.3">
      <c r="A304">
        <v>466</v>
      </c>
      <c r="B304" t="s">
        <v>50</v>
      </c>
      <c r="C304" s="2">
        <v>46752</v>
      </c>
      <c r="D304">
        <v>2027</v>
      </c>
      <c r="E304" t="s">
        <v>11</v>
      </c>
      <c r="F304" t="s">
        <v>26</v>
      </c>
      <c r="G304">
        <v>57.922268744228987</v>
      </c>
      <c r="H304">
        <v>56.132470639937168</v>
      </c>
      <c r="I304">
        <v>59.769135016331823</v>
      </c>
    </row>
    <row r="305" spans="1:9" x14ac:dyDescent="0.3">
      <c r="A305">
        <v>466</v>
      </c>
      <c r="B305" t="s">
        <v>50</v>
      </c>
      <c r="C305" s="2">
        <v>47118</v>
      </c>
      <c r="D305">
        <v>2028</v>
      </c>
      <c r="E305" t="s">
        <v>13</v>
      </c>
      <c r="F305" t="s">
        <v>26</v>
      </c>
      <c r="G305">
        <v>59.659936806555862</v>
      </c>
      <c r="H305">
        <v>57.762750816014403</v>
      </c>
      <c r="I305">
        <v>61.619434834385345</v>
      </c>
    </row>
    <row r="306" spans="1:9" x14ac:dyDescent="0.3">
      <c r="A306">
        <v>466</v>
      </c>
      <c r="B306" t="s">
        <v>50</v>
      </c>
      <c r="C306" s="2">
        <v>47483</v>
      </c>
      <c r="D306">
        <v>2029</v>
      </c>
      <c r="E306" t="s">
        <v>15</v>
      </c>
      <c r="F306" t="s">
        <v>26</v>
      </c>
      <c r="G306">
        <v>61.449734910752539</v>
      </c>
      <c r="H306">
        <v>59.440328579080322</v>
      </c>
      <c r="I306">
        <v>63.527070103221561</v>
      </c>
    </row>
    <row r="307" spans="1:9" x14ac:dyDescent="0.3">
      <c r="A307">
        <v>466</v>
      </c>
      <c r="B307" t="s">
        <v>50</v>
      </c>
      <c r="C307" s="2">
        <v>47848</v>
      </c>
      <c r="D307">
        <v>2030</v>
      </c>
      <c r="E307" t="s">
        <v>17</v>
      </c>
      <c r="F307" t="s">
        <v>26</v>
      </c>
      <c r="G307">
        <v>63.293226958075117</v>
      </c>
      <c r="H307">
        <v>61.166574532195703</v>
      </c>
      <c r="I307">
        <v>65.493819286181989</v>
      </c>
    </row>
    <row r="308" spans="1:9" x14ac:dyDescent="0.3">
      <c r="A308">
        <v>96</v>
      </c>
      <c r="B308" t="s">
        <v>52</v>
      </c>
      <c r="C308" s="2">
        <v>46387</v>
      </c>
      <c r="D308">
        <v>2026</v>
      </c>
      <c r="E308" t="s">
        <v>9</v>
      </c>
      <c r="F308" t="s">
        <v>66</v>
      </c>
      <c r="G308">
        <v>846.88288415165562</v>
      </c>
      <c r="H308">
        <v>703.52841169356259</v>
      </c>
      <c r="I308">
        <v>990.23735660954856</v>
      </c>
    </row>
    <row r="309" spans="1:9" x14ac:dyDescent="0.3">
      <c r="A309">
        <v>96</v>
      </c>
      <c r="B309" t="s">
        <v>52</v>
      </c>
      <c r="C309" s="2">
        <v>46752</v>
      </c>
      <c r="D309">
        <v>2027</v>
      </c>
      <c r="E309" t="s">
        <v>11</v>
      </c>
      <c r="F309" t="s">
        <v>66</v>
      </c>
      <c r="G309">
        <v>914.63351488378817</v>
      </c>
      <c r="H309">
        <v>755.16599972142001</v>
      </c>
      <c r="I309">
        <v>1074.101030045967</v>
      </c>
    </row>
    <row r="310" spans="1:9" x14ac:dyDescent="0.3">
      <c r="A310">
        <v>96</v>
      </c>
      <c r="B310" t="s">
        <v>52</v>
      </c>
      <c r="C310" s="2">
        <v>47118</v>
      </c>
      <c r="D310">
        <v>2028</v>
      </c>
      <c r="E310" t="s">
        <v>13</v>
      </c>
      <c r="F310" t="s">
        <v>66</v>
      </c>
      <c r="G310">
        <v>987.8041960744913</v>
      </c>
      <c r="H310">
        <v>810.56301999889411</v>
      </c>
      <c r="I310">
        <v>1165.04537214991</v>
      </c>
    </row>
    <row r="311" spans="1:9" x14ac:dyDescent="0.3">
      <c r="A311">
        <v>96</v>
      </c>
      <c r="B311" t="s">
        <v>52</v>
      </c>
      <c r="C311" s="2">
        <v>47483</v>
      </c>
      <c r="D311">
        <v>2029</v>
      </c>
      <c r="E311" t="s">
        <v>15</v>
      </c>
      <c r="F311" t="s">
        <v>66</v>
      </c>
      <c r="G311">
        <v>1066.8285317604509</v>
      </c>
      <c r="H311">
        <v>869.9905011225452</v>
      </c>
      <c r="I311">
        <v>1263.666562398188</v>
      </c>
    </row>
    <row r="312" spans="1:9" x14ac:dyDescent="0.3">
      <c r="A312">
        <v>96</v>
      </c>
      <c r="B312" t="s">
        <v>52</v>
      </c>
      <c r="C312" s="2">
        <v>47848</v>
      </c>
      <c r="D312">
        <v>2030</v>
      </c>
      <c r="E312" t="s">
        <v>17</v>
      </c>
      <c r="F312" t="s">
        <v>66</v>
      </c>
      <c r="G312">
        <v>1152.1748143012869</v>
      </c>
      <c r="H312">
        <v>933.73877589798656</v>
      </c>
      <c r="I312">
        <v>1370.6108527044289</v>
      </c>
    </row>
    <row r="313" spans="1:9" x14ac:dyDescent="0.3">
      <c r="A313" t="s">
        <v>64</v>
      </c>
      <c r="B313" t="s">
        <v>47</v>
      </c>
      <c r="C313" s="2">
        <v>46387</v>
      </c>
      <c r="D313">
        <v>2026</v>
      </c>
      <c r="E313" t="s">
        <v>9</v>
      </c>
      <c r="F313" t="s">
        <v>27</v>
      </c>
      <c r="G313">
        <v>15.7</v>
      </c>
      <c r="H313">
        <v>15.2</v>
      </c>
      <c r="I313">
        <v>16.2</v>
      </c>
    </row>
    <row r="314" spans="1:9" x14ac:dyDescent="0.3">
      <c r="A314" t="s">
        <v>64</v>
      </c>
      <c r="B314" t="s">
        <v>47</v>
      </c>
      <c r="C314" s="2">
        <v>46752</v>
      </c>
      <c r="D314">
        <v>2027</v>
      </c>
      <c r="E314" t="s">
        <v>11</v>
      </c>
      <c r="F314" t="s">
        <v>27</v>
      </c>
      <c r="G314">
        <v>16.3</v>
      </c>
      <c r="H314">
        <v>15.8</v>
      </c>
      <c r="I314">
        <v>16.8</v>
      </c>
    </row>
    <row r="315" spans="1:9" x14ac:dyDescent="0.3">
      <c r="A315" t="s">
        <v>64</v>
      </c>
      <c r="B315" t="s">
        <v>47</v>
      </c>
      <c r="C315" s="2">
        <v>47118</v>
      </c>
      <c r="D315">
        <v>2028</v>
      </c>
      <c r="E315" t="s">
        <v>13</v>
      </c>
      <c r="F315" t="s">
        <v>27</v>
      </c>
      <c r="G315">
        <v>16.8</v>
      </c>
      <c r="H315">
        <v>16.3</v>
      </c>
      <c r="I315">
        <v>17.3</v>
      </c>
    </row>
    <row r="316" spans="1:9" x14ac:dyDescent="0.3">
      <c r="A316" t="s">
        <v>64</v>
      </c>
      <c r="B316" t="s">
        <v>47</v>
      </c>
      <c r="C316" s="2">
        <v>47483</v>
      </c>
      <c r="D316">
        <v>2029</v>
      </c>
      <c r="E316" t="s">
        <v>15</v>
      </c>
      <c r="F316" t="s">
        <v>27</v>
      </c>
      <c r="G316">
        <v>17.399999999999999</v>
      </c>
      <c r="H316">
        <v>16.899999999999999</v>
      </c>
      <c r="I316">
        <v>17.899999999999999</v>
      </c>
    </row>
    <row r="317" spans="1:9" x14ac:dyDescent="0.3">
      <c r="A317" t="s">
        <v>64</v>
      </c>
      <c r="B317" t="s">
        <v>47</v>
      </c>
      <c r="C317" s="2">
        <v>47848</v>
      </c>
      <c r="D317">
        <v>2030</v>
      </c>
      <c r="E317" t="s">
        <v>17</v>
      </c>
      <c r="F317" t="s">
        <v>27</v>
      </c>
      <c r="G317">
        <v>18</v>
      </c>
      <c r="H317">
        <v>17.5</v>
      </c>
      <c r="I317">
        <v>18.3</v>
      </c>
    </row>
    <row r="318" spans="1:9" x14ac:dyDescent="0.3">
      <c r="A318" t="s">
        <v>64</v>
      </c>
      <c r="B318" t="s">
        <v>47</v>
      </c>
      <c r="C318" s="2">
        <v>46387</v>
      </c>
      <c r="D318">
        <v>2026</v>
      </c>
      <c r="E318" t="s">
        <v>9</v>
      </c>
      <c r="F318" t="s">
        <v>22</v>
      </c>
      <c r="G318">
        <v>15.7</v>
      </c>
      <c r="H318">
        <v>15.2</v>
      </c>
      <c r="I318">
        <v>16.2</v>
      </c>
    </row>
    <row r="319" spans="1:9" x14ac:dyDescent="0.3">
      <c r="A319" t="s">
        <v>64</v>
      </c>
      <c r="B319" t="s">
        <v>47</v>
      </c>
      <c r="C319" s="2">
        <v>46752</v>
      </c>
      <c r="D319">
        <v>2027</v>
      </c>
      <c r="E319" t="s">
        <v>11</v>
      </c>
      <c r="F319" t="s">
        <v>22</v>
      </c>
      <c r="G319">
        <v>16.3</v>
      </c>
      <c r="H319">
        <v>15.8</v>
      </c>
      <c r="I319">
        <v>16.8</v>
      </c>
    </row>
    <row r="320" spans="1:9" x14ac:dyDescent="0.3">
      <c r="A320" t="s">
        <v>64</v>
      </c>
      <c r="B320" t="s">
        <v>47</v>
      </c>
      <c r="C320" s="2">
        <v>47118</v>
      </c>
      <c r="D320">
        <v>2028</v>
      </c>
      <c r="E320" t="s">
        <v>13</v>
      </c>
      <c r="F320" t="s">
        <v>22</v>
      </c>
      <c r="G320">
        <v>16.8</v>
      </c>
      <c r="H320">
        <v>16.3</v>
      </c>
      <c r="I320">
        <v>17.3</v>
      </c>
    </row>
    <row r="321" spans="1:9" x14ac:dyDescent="0.3">
      <c r="A321" t="s">
        <v>64</v>
      </c>
      <c r="B321" t="s">
        <v>47</v>
      </c>
      <c r="C321" s="2">
        <v>47483</v>
      </c>
      <c r="D321">
        <v>2029</v>
      </c>
      <c r="E321" t="s">
        <v>15</v>
      </c>
      <c r="F321" t="s">
        <v>22</v>
      </c>
      <c r="G321">
        <v>17.399999999999999</v>
      </c>
      <c r="H321">
        <v>16.899999999999999</v>
      </c>
      <c r="I321">
        <v>17.899999999999999</v>
      </c>
    </row>
    <row r="322" spans="1:9" x14ac:dyDescent="0.3">
      <c r="A322" t="s">
        <v>64</v>
      </c>
      <c r="B322" t="s">
        <v>47</v>
      </c>
      <c r="C322" s="2">
        <v>47848</v>
      </c>
      <c r="D322">
        <v>2030</v>
      </c>
      <c r="E322" t="s">
        <v>17</v>
      </c>
      <c r="F322" t="s">
        <v>22</v>
      </c>
      <c r="G322">
        <v>18</v>
      </c>
      <c r="H322">
        <v>17.5</v>
      </c>
      <c r="I322">
        <v>18.2</v>
      </c>
    </row>
    <row r="323" spans="1:9" x14ac:dyDescent="0.3">
      <c r="A323" t="s">
        <v>65</v>
      </c>
      <c r="B323" t="s">
        <v>68</v>
      </c>
      <c r="C323" s="2">
        <v>46387</v>
      </c>
      <c r="D323">
        <v>2026</v>
      </c>
      <c r="E323" t="s">
        <v>9</v>
      </c>
      <c r="F323" t="s">
        <v>22</v>
      </c>
      <c r="G323">
        <v>34.965000000000003</v>
      </c>
      <c r="H323">
        <v>32.813568677938846</v>
      </c>
      <c r="I323">
        <v>41.957999999999991</v>
      </c>
    </row>
    <row r="324" spans="1:9" x14ac:dyDescent="0.3">
      <c r="A324" t="s">
        <v>65</v>
      </c>
      <c r="B324" t="s">
        <v>68</v>
      </c>
      <c r="C324" s="2">
        <v>46752</v>
      </c>
      <c r="D324">
        <v>2027</v>
      </c>
      <c r="E324" t="s">
        <v>11</v>
      </c>
      <c r="F324" t="s">
        <v>22</v>
      </c>
      <c r="G324">
        <v>36.713250000000002</v>
      </c>
      <c r="H324">
        <v>34.386477025190871</v>
      </c>
      <c r="I324">
        <v>44.276179499999998</v>
      </c>
    </row>
    <row r="325" spans="1:9" x14ac:dyDescent="0.3">
      <c r="A325" t="s">
        <v>65</v>
      </c>
      <c r="B325" t="s">
        <v>68</v>
      </c>
      <c r="C325" s="2">
        <v>47118</v>
      </c>
      <c r="D325">
        <v>2028</v>
      </c>
      <c r="E325" t="s">
        <v>13</v>
      </c>
      <c r="F325" t="s">
        <v>22</v>
      </c>
      <c r="G325">
        <v>38.548912499999993</v>
      </c>
      <c r="H325">
        <v>36.03464228547324</v>
      </c>
      <c r="I325">
        <v>46.721281949999991</v>
      </c>
    </row>
    <row r="326" spans="1:9" x14ac:dyDescent="0.3">
      <c r="A326" t="s">
        <v>65</v>
      </c>
      <c r="B326" t="s">
        <v>68</v>
      </c>
      <c r="C326" s="2">
        <v>47483</v>
      </c>
      <c r="D326">
        <v>2029</v>
      </c>
      <c r="E326" t="s">
        <v>15</v>
      </c>
      <c r="F326" t="s">
        <v>22</v>
      </c>
      <c r="G326">
        <v>40.476358124999997</v>
      </c>
      <c r="H326">
        <v>37.76165787922087</v>
      </c>
      <c r="I326">
        <v>49.300204196249993</v>
      </c>
    </row>
    <row r="327" spans="1:9" x14ac:dyDescent="0.3">
      <c r="A327" t="s">
        <v>65</v>
      </c>
      <c r="B327" t="s">
        <v>68</v>
      </c>
      <c r="C327" s="2">
        <v>47848</v>
      </c>
      <c r="D327">
        <v>2030</v>
      </c>
      <c r="E327" t="s">
        <v>17</v>
      </c>
      <c r="F327" t="s">
        <v>22</v>
      </c>
      <c r="G327">
        <v>42.50017603125</v>
      </c>
      <c r="H327">
        <v>39.571288426629593</v>
      </c>
      <c r="I327">
        <v>52.020215462249993</v>
      </c>
    </row>
    <row r="328" spans="1:9" x14ac:dyDescent="0.3">
      <c r="A328">
        <v>332</v>
      </c>
      <c r="B328" t="s">
        <v>41</v>
      </c>
      <c r="C328" s="2">
        <v>46387</v>
      </c>
      <c r="D328">
        <v>2026</v>
      </c>
      <c r="E328" t="s">
        <v>9</v>
      </c>
      <c r="F328" t="s">
        <v>25</v>
      </c>
      <c r="G328">
        <v>0.76500000000000001</v>
      </c>
      <c r="H328">
        <v>0.79122857142857139</v>
      </c>
      <c r="I328">
        <v>0.69049565217391329</v>
      </c>
    </row>
    <row r="329" spans="1:9" x14ac:dyDescent="0.3">
      <c r="A329">
        <v>332</v>
      </c>
      <c r="B329" t="s">
        <v>41</v>
      </c>
      <c r="C329" s="2">
        <v>46752</v>
      </c>
      <c r="D329">
        <v>2027</v>
      </c>
      <c r="E329" t="s">
        <v>11</v>
      </c>
      <c r="F329" t="s">
        <v>25</v>
      </c>
      <c r="G329">
        <v>0.6885</v>
      </c>
      <c r="H329">
        <v>0.71281388571428561</v>
      </c>
      <c r="I329">
        <v>0.61943446956521764</v>
      </c>
    </row>
    <row r="330" spans="1:9" x14ac:dyDescent="0.3">
      <c r="A330">
        <v>332</v>
      </c>
      <c r="B330" t="s">
        <v>41</v>
      </c>
      <c r="C330" s="2">
        <v>47118</v>
      </c>
      <c r="D330">
        <v>2028</v>
      </c>
      <c r="E330" t="s">
        <v>13</v>
      </c>
      <c r="F330" t="s">
        <v>25</v>
      </c>
      <c r="G330">
        <v>0.61965000000000003</v>
      </c>
      <c r="H330">
        <v>0.64216985142857141</v>
      </c>
      <c r="I330">
        <v>0.5556805669565219</v>
      </c>
    </row>
    <row r="331" spans="1:9" x14ac:dyDescent="0.3">
      <c r="A331">
        <v>332</v>
      </c>
      <c r="B331" t="s">
        <v>41</v>
      </c>
      <c r="C331" s="2">
        <v>47483</v>
      </c>
      <c r="D331">
        <v>2029</v>
      </c>
      <c r="E331" t="s">
        <v>15</v>
      </c>
      <c r="F331" t="s">
        <v>25</v>
      </c>
      <c r="G331">
        <v>0.55768499999999999</v>
      </c>
      <c r="H331">
        <v>0.57852648514285721</v>
      </c>
      <c r="I331">
        <v>0.49848310017391317</v>
      </c>
    </row>
    <row r="332" spans="1:9" x14ac:dyDescent="0.3">
      <c r="A332">
        <v>332</v>
      </c>
      <c r="B332" t="s">
        <v>41</v>
      </c>
      <c r="C332" s="2">
        <v>47848</v>
      </c>
      <c r="D332">
        <v>2030</v>
      </c>
      <c r="E332" t="s">
        <v>17</v>
      </c>
      <c r="F332" t="s">
        <v>25</v>
      </c>
      <c r="G332">
        <v>0.5019165000000001</v>
      </c>
      <c r="H332">
        <v>0.52119009360000013</v>
      </c>
      <c r="I332">
        <v>0.4471683210782611</v>
      </c>
    </row>
    <row r="333" spans="1:9" x14ac:dyDescent="0.3">
      <c r="A333" t="s">
        <v>71</v>
      </c>
      <c r="B333" t="s">
        <v>6</v>
      </c>
      <c r="C333" s="2">
        <v>46203</v>
      </c>
      <c r="D333">
        <v>2026</v>
      </c>
      <c r="E333" t="s">
        <v>7</v>
      </c>
      <c r="F333" t="s">
        <v>8</v>
      </c>
      <c r="G333">
        <v>55894.216286956827</v>
      </c>
      <c r="H333">
        <v>52633.364136739263</v>
      </c>
      <c r="I333">
        <v>59434.099703060769</v>
      </c>
    </row>
    <row r="334" spans="1:9" x14ac:dyDescent="0.3">
      <c r="A334" t="s">
        <v>71</v>
      </c>
      <c r="B334" t="s">
        <v>6</v>
      </c>
      <c r="C334" s="2">
        <v>46387</v>
      </c>
      <c r="D334">
        <v>2026</v>
      </c>
      <c r="E334" t="s">
        <v>9</v>
      </c>
      <c r="F334" t="s">
        <v>8</v>
      </c>
      <c r="G334">
        <v>56228.497834688897</v>
      </c>
      <c r="H334">
        <v>52849.733176102003</v>
      </c>
      <c r="I334">
        <v>59896.38353783304</v>
      </c>
    </row>
    <row r="335" spans="1:9" x14ac:dyDescent="0.3">
      <c r="A335" t="s">
        <v>71</v>
      </c>
      <c r="B335" t="s">
        <v>6</v>
      </c>
      <c r="C335" s="2">
        <v>46568</v>
      </c>
      <c r="D335">
        <v>2027</v>
      </c>
      <c r="E335" t="s">
        <v>10</v>
      </c>
      <c r="F335" t="s">
        <v>8</v>
      </c>
      <c r="G335">
        <v>56937.735204384422</v>
      </c>
      <c r="H335">
        <v>53416.700622997058</v>
      </c>
      <c r="I335">
        <v>60760.064874053744</v>
      </c>
    </row>
    <row r="336" spans="1:9" x14ac:dyDescent="0.3">
      <c r="A336" t="s">
        <v>71</v>
      </c>
      <c r="B336" t="s">
        <v>6</v>
      </c>
      <c r="C336" s="2">
        <v>46752</v>
      </c>
      <c r="D336">
        <v>2027</v>
      </c>
      <c r="E336" t="s">
        <v>11</v>
      </c>
      <c r="F336" t="s">
        <v>8</v>
      </c>
      <c r="G336">
        <v>57359.757865754007</v>
      </c>
      <c r="H336">
        <v>53712.234823202583</v>
      </c>
      <c r="I336">
        <v>61319.39961992656</v>
      </c>
    </row>
    <row r="337" spans="1:9" x14ac:dyDescent="0.3">
      <c r="A337" t="s">
        <v>71</v>
      </c>
      <c r="B337" t="s">
        <v>6</v>
      </c>
      <c r="C337" s="2">
        <v>46934</v>
      </c>
      <c r="D337">
        <v>2028</v>
      </c>
      <c r="E337" t="s">
        <v>12</v>
      </c>
      <c r="F337" t="s">
        <v>8</v>
      </c>
      <c r="G337">
        <v>58148.528487435011</v>
      </c>
      <c r="H337">
        <v>54349.076258639267</v>
      </c>
      <c r="I337">
        <v>62273.100015186057</v>
      </c>
    </row>
    <row r="338" spans="1:9" x14ac:dyDescent="0.3">
      <c r="A338" t="s">
        <v>71</v>
      </c>
      <c r="B338" t="s">
        <v>6</v>
      </c>
      <c r="C338" s="2">
        <v>47118</v>
      </c>
      <c r="D338">
        <v>2028</v>
      </c>
      <c r="E338" t="s">
        <v>13</v>
      </c>
      <c r="F338" t="s">
        <v>8</v>
      </c>
      <c r="G338">
        <v>58676.177343389703</v>
      </c>
      <c r="H338">
        <v>54739.553761700852</v>
      </c>
      <c r="I338">
        <v>62949.657982901139</v>
      </c>
    </row>
    <row r="339" spans="1:9" x14ac:dyDescent="0.3">
      <c r="A339" t="s">
        <v>71</v>
      </c>
      <c r="B339" t="s">
        <v>6</v>
      </c>
      <c r="C339" s="2">
        <v>47299</v>
      </c>
      <c r="D339">
        <v>2029</v>
      </c>
      <c r="E339" t="s">
        <v>14</v>
      </c>
      <c r="F339" t="s">
        <v>8</v>
      </c>
      <c r="G339">
        <v>59565.317653089878</v>
      </c>
      <c r="H339">
        <v>55464.79036566284</v>
      </c>
      <c r="I339">
        <v>64016.727245848073</v>
      </c>
    </row>
    <row r="340" spans="1:9" x14ac:dyDescent="0.3">
      <c r="A340" t="s">
        <v>71</v>
      </c>
      <c r="B340" t="s">
        <v>6</v>
      </c>
      <c r="C340" s="2">
        <v>47483</v>
      </c>
      <c r="D340">
        <v>2029</v>
      </c>
      <c r="E340" t="s">
        <v>15</v>
      </c>
      <c r="F340" t="s">
        <v>8</v>
      </c>
      <c r="G340">
        <v>60218.948763961882</v>
      </c>
      <c r="H340">
        <v>55968.030280039573</v>
      </c>
      <c r="I340">
        <v>64833.618534697212</v>
      </c>
    </row>
    <row r="341" spans="1:9" x14ac:dyDescent="0.3">
      <c r="A341" t="s">
        <v>71</v>
      </c>
      <c r="B341" t="s">
        <v>6</v>
      </c>
      <c r="C341" s="2">
        <v>47664</v>
      </c>
      <c r="D341">
        <v>2030</v>
      </c>
      <c r="E341" t="s">
        <v>16</v>
      </c>
      <c r="F341" t="s">
        <v>8</v>
      </c>
      <c r="G341">
        <v>61232.239830473409</v>
      </c>
      <c r="H341">
        <v>56802.623945673287</v>
      </c>
      <c r="I341">
        <v>66040.898146756881</v>
      </c>
    </row>
    <row r="342" spans="1:9" x14ac:dyDescent="0.3">
      <c r="A342" t="s">
        <v>71</v>
      </c>
      <c r="B342" t="s">
        <v>6</v>
      </c>
      <c r="C342" s="2">
        <v>47848</v>
      </c>
      <c r="D342">
        <v>2030</v>
      </c>
      <c r="E342" t="s">
        <v>17</v>
      </c>
      <c r="F342" t="s">
        <v>8</v>
      </c>
      <c r="G342">
        <v>62035.469907580176</v>
      </c>
      <c r="H342">
        <v>57439.173434127872</v>
      </c>
      <c r="I342">
        <v>67025.07167802086</v>
      </c>
    </row>
    <row r="343" spans="1:9" x14ac:dyDescent="0.3">
      <c r="A343" t="s">
        <v>72</v>
      </c>
      <c r="B343" t="s">
        <v>59</v>
      </c>
      <c r="C343" s="2">
        <v>46203</v>
      </c>
      <c r="D343">
        <v>2026</v>
      </c>
      <c r="E343" t="s">
        <v>7</v>
      </c>
      <c r="F343" t="s">
        <v>8</v>
      </c>
      <c r="G343">
        <v>8721.2600990757528</v>
      </c>
      <c r="H343">
        <v>8212.4643481759558</v>
      </c>
      <c r="I343">
        <v>9273.5935253778844</v>
      </c>
    </row>
    <row r="344" spans="1:9" x14ac:dyDescent="0.3">
      <c r="A344" t="s">
        <v>72</v>
      </c>
      <c r="B344" t="s">
        <v>59</v>
      </c>
      <c r="C344" s="2">
        <v>46387</v>
      </c>
      <c r="D344">
        <v>2026</v>
      </c>
      <c r="E344" t="s">
        <v>9</v>
      </c>
      <c r="F344" t="s">
        <v>8</v>
      </c>
      <c r="G344">
        <v>8773.4185605009152</v>
      </c>
      <c r="H344">
        <v>8246.2247404852751</v>
      </c>
      <c r="I344">
        <v>9345.7243795247377</v>
      </c>
    </row>
    <row r="345" spans="1:9" x14ac:dyDescent="0.3">
      <c r="A345" t="s">
        <v>72</v>
      </c>
      <c r="B345" t="s">
        <v>59</v>
      </c>
      <c r="C345" s="2">
        <v>46568</v>
      </c>
      <c r="D345">
        <v>2027</v>
      </c>
      <c r="E345" t="s">
        <v>10</v>
      </c>
      <c r="F345" t="s">
        <v>8</v>
      </c>
      <c r="G345">
        <v>8884.0819526011546</v>
      </c>
      <c r="H345">
        <v>8334.6895388231787</v>
      </c>
      <c r="I345">
        <v>9480.4859000589404</v>
      </c>
    </row>
    <row r="346" spans="1:9" x14ac:dyDescent="0.3">
      <c r="A346" t="s">
        <v>72</v>
      </c>
      <c r="B346" t="s">
        <v>59</v>
      </c>
      <c r="C346" s="2">
        <v>46752</v>
      </c>
      <c r="D346">
        <v>2027</v>
      </c>
      <c r="E346" t="s">
        <v>11</v>
      </c>
      <c r="F346" t="s">
        <v>8</v>
      </c>
      <c r="G346">
        <v>8949.9307942525447</v>
      </c>
      <c r="H346">
        <v>8380.8021923208544</v>
      </c>
      <c r="I346">
        <v>9567.7597563764448</v>
      </c>
    </row>
    <row r="347" spans="1:9" x14ac:dyDescent="0.3">
      <c r="A347" t="s">
        <v>72</v>
      </c>
      <c r="B347" t="s">
        <v>59</v>
      </c>
      <c r="C347" s="2">
        <v>46934</v>
      </c>
      <c r="D347">
        <v>2028</v>
      </c>
      <c r="E347" t="s">
        <v>12</v>
      </c>
      <c r="F347" t="s">
        <v>8</v>
      </c>
      <c r="G347">
        <v>9073.0038813654046</v>
      </c>
      <c r="H347">
        <v>8480.1695360152007</v>
      </c>
      <c r="I347">
        <v>9716.5670884436513</v>
      </c>
    </row>
    <row r="348" spans="1:9" x14ac:dyDescent="0.3">
      <c r="A348" t="s">
        <v>72</v>
      </c>
      <c r="B348" t="s">
        <v>59</v>
      </c>
      <c r="C348" s="2">
        <v>47118</v>
      </c>
      <c r="D348">
        <v>2028</v>
      </c>
      <c r="E348" t="s">
        <v>13</v>
      </c>
      <c r="F348" t="s">
        <v>8</v>
      </c>
      <c r="G348">
        <v>9155.3337397918185</v>
      </c>
      <c r="H348">
        <v>8541.0963383439848</v>
      </c>
      <c r="I348">
        <v>9822.1314634454029</v>
      </c>
    </row>
    <row r="349" spans="1:9" x14ac:dyDescent="0.3">
      <c r="A349" t="s">
        <v>72</v>
      </c>
      <c r="B349" t="s">
        <v>59</v>
      </c>
      <c r="C349" s="2">
        <v>47299</v>
      </c>
      <c r="D349">
        <v>2029</v>
      </c>
      <c r="E349" t="s">
        <v>14</v>
      </c>
      <c r="F349" t="s">
        <v>8</v>
      </c>
      <c r="G349">
        <v>9294.0676629164827</v>
      </c>
      <c r="H349">
        <v>8654.2561154495597</v>
      </c>
      <c r="I349">
        <v>9988.6279134199758</v>
      </c>
    </row>
    <row r="350" spans="1:9" x14ac:dyDescent="0.3">
      <c r="A350" t="s">
        <v>72</v>
      </c>
      <c r="B350" t="s">
        <v>59</v>
      </c>
      <c r="C350" s="2">
        <v>47483</v>
      </c>
      <c r="D350">
        <v>2029</v>
      </c>
      <c r="E350" t="s">
        <v>15</v>
      </c>
      <c r="F350" t="s">
        <v>8</v>
      </c>
      <c r="G350">
        <v>9396.0547253613113</v>
      </c>
      <c r="H350">
        <v>8732.7774093699172</v>
      </c>
      <c r="I350">
        <v>10116.088711262581</v>
      </c>
    </row>
    <row r="351" spans="1:9" x14ac:dyDescent="0.3">
      <c r="A351" t="s">
        <v>72</v>
      </c>
      <c r="B351" t="s">
        <v>59</v>
      </c>
      <c r="C351" s="2">
        <v>47664</v>
      </c>
      <c r="D351">
        <v>2030</v>
      </c>
      <c r="E351" t="s">
        <v>16</v>
      </c>
      <c r="F351" t="s">
        <v>8</v>
      </c>
      <c r="G351">
        <v>9554.1600810522741</v>
      </c>
      <c r="H351">
        <v>8863.0003361511826</v>
      </c>
      <c r="I351">
        <v>10304.462396565341</v>
      </c>
    </row>
    <row r="352" spans="1:9" x14ac:dyDescent="0.3">
      <c r="A352" t="s">
        <v>72</v>
      </c>
      <c r="B352" t="s">
        <v>59</v>
      </c>
      <c r="C352" s="2">
        <v>47848</v>
      </c>
      <c r="D352">
        <v>2030</v>
      </c>
      <c r="E352" t="s">
        <v>17</v>
      </c>
      <c r="F352" t="s">
        <v>8</v>
      </c>
      <c r="G352">
        <v>9679.4892991217203</v>
      </c>
      <c r="H352">
        <v>8962.32212691116</v>
      </c>
      <c r="I352">
        <v>10458.02449867468</v>
      </c>
    </row>
    <row r="353" spans="1:9" x14ac:dyDescent="0.3">
      <c r="A353" t="s">
        <v>73</v>
      </c>
      <c r="B353" t="s">
        <v>60</v>
      </c>
      <c r="C353" s="2">
        <v>46203</v>
      </c>
      <c r="D353">
        <v>2026</v>
      </c>
      <c r="E353" t="s">
        <v>7</v>
      </c>
      <c r="F353" t="s">
        <v>8</v>
      </c>
      <c r="G353">
        <v>47172.956187881093</v>
      </c>
      <c r="H353">
        <v>44420.899788563307</v>
      </c>
      <c r="I353">
        <v>50160.506177682902</v>
      </c>
    </row>
    <row r="354" spans="1:9" x14ac:dyDescent="0.3">
      <c r="A354" t="s">
        <v>73</v>
      </c>
      <c r="B354" t="s">
        <v>60</v>
      </c>
      <c r="C354" s="2">
        <v>46387</v>
      </c>
      <c r="D354">
        <v>2026</v>
      </c>
      <c r="E354" t="s">
        <v>9</v>
      </c>
      <c r="F354" t="s">
        <v>8</v>
      </c>
      <c r="G354">
        <v>47455.079274187992</v>
      </c>
      <c r="H354">
        <v>44603.508435616743</v>
      </c>
      <c r="I354">
        <v>50550.659158308314</v>
      </c>
    </row>
    <row r="355" spans="1:9" x14ac:dyDescent="0.3">
      <c r="A355" t="s">
        <v>73</v>
      </c>
      <c r="B355" t="s">
        <v>60</v>
      </c>
      <c r="C355" s="2">
        <v>46568</v>
      </c>
      <c r="D355">
        <v>2027</v>
      </c>
      <c r="E355" t="s">
        <v>10</v>
      </c>
      <c r="F355" t="s">
        <v>8</v>
      </c>
      <c r="G355">
        <v>48053.653251783267</v>
      </c>
      <c r="H355">
        <v>45082.011084173893</v>
      </c>
      <c r="I355">
        <v>51279.578973994801</v>
      </c>
    </row>
    <row r="356" spans="1:9" x14ac:dyDescent="0.3">
      <c r="A356" t="s">
        <v>73</v>
      </c>
      <c r="B356" t="s">
        <v>60</v>
      </c>
      <c r="C356" s="2">
        <v>46752</v>
      </c>
      <c r="D356">
        <v>2027</v>
      </c>
      <c r="E356" t="s">
        <v>11</v>
      </c>
      <c r="F356" t="s">
        <v>8</v>
      </c>
      <c r="G356">
        <v>48409.827071501481</v>
      </c>
      <c r="H356">
        <v>45331.432630881733</v>
      </c>
      <c r="I356">
        <v>51751.639863550117</v>
      </c>
    </row>
    <row r="357" spans="1:9" x14ac:dyDescent="0.3">
      <c r="A357" t="s">
        <v>73</v>
      </c>
      <c r="B357" t="s">
        <v>60</v>
      </c>
      <c r="C357" s="2">
        <v>46934</v>
      </c>
      <c r="D357">
        <v>2028</v>
      </c>
      <c r="E357" t="s">
        <v>12</v>
      </c>
      <c r="F357" t="s">
        <v>8</v>
      </c>
      <c r="G357">
        <v>49075.524606069623</v>
      </c>
      <c r="H357">
        <v>45868.90672262408</v>
      </c>
      <c r="I357">
        <v>52556.532926742417</v>
      </c>
    </row>
    <row r="358" spans="1:9" x14ac:dyDescent="0.3">
      <c r="A358" t="s">
        <v>73</v>
      </c>
      <c r="B358" t="s">
        <v>60</v>
      </c>
      <c r="C358" s="2">
        <v>47118</v>
      </c>
      <c r="D358">
        <v>2028</v>
      </c>
      <c r="E358" t="s">
        <v>13</v>
      </c>
      <c r="F358" t="s">
        <v>8</v>
      </c>
      <c r="G358">
        <v>49520.843603597888</v>
      </c>
      <c r="H358">
        <v>46198.457423356878</v>
      </c>
      <c r="I358">
        <v>53127.526519455743</v>
      </c>
    </row>
    <row r="359" spans="1:9" x14ac:dyDescent="0.3">
      <c r="A359" t="s">
        <v>73</v>
      </c>
      <c r="B359" t="s">
        <v>60</v>
      </c>
      <c r="C359" s="2">
        <v>47299</v>
      </c>
      <c r="D359">
        <v>2029</v>
      </c>
      <c r="E359" t="s">
        <v>14</v>
      </c>
      <c r="F359" t="s">
        <v>8</v>
      </c>
      <c r="G359">
        <v>50271.249990173397</v>
      </c>
      <c r="H359">
        <v>46810.534250213277</v>
      </c>
      <c r="I359">
        <v>54028.099332428108</v>
      </c>
    </row>
    <row r="360" spans="1:9" x14ac:dyDescent="0.3">
      <c r="A360" t="s">
        <v>73</v>
      </c>
      <c r="B360" t="s">
        <v>60</v>
      </c>
      <c r="C360" s="2">
        <v>47483</v>
      </c>
      <c r="D360">
        <v>2029</v>
      </c>
      <c r="E360" t="s">
        <v>15</v>
      </c>
      <c r="F360" t="s">
        <v>8</v>
      </c>
      <c r="G360">
        <v>50822.894038600578</v>
      </c>
      <c r="H360">
        <v>47235.252870669661</v>
      </c>
      <c r="I360">
        <v>54717.529823434626</v>
      </c>
    </row>
    <row r="361" spans="1:9" x14ac:dyDescent="0.3">
      <c r="A361" t="s">
        <v>73</v>
      </c>
      <c r="B361" t="s">
        <v>60</v>
      </c>
      <c r="C361" s="2">
        <v>47664</v>
      </c>
      <c r="D361">
        <v>2030</v>
      </c>
      <c r="E361" t="s">
        <v>16</v>
      </c>
      <c r="F361" t="s">
        <v>8</v>
      </c>
      <c r="G361">
        <v>51678.079749421137</v>
      </c>
      <c r="H361">
        <v>47939.62360952211</v>
      </c>
      <c r="I361">
        <v>55736.435750191551</v>
      </c>
    </row>
    <row r="362" spans="1:9" x14ac:dyDescent="0.3">
      <c r="A362" t="s">
        <v>73</v>
      </c>
      <c r="B362" t="s">
        <v>60</v>
      </c>
      <c r="C362" s="2">
        <v>47848</v>
      </c>
      <c r="D362">
        <v>2030</v>
      </c>
      <c r="E362" t="s">
        <v>17</v>
      </c>
      <c r="F362" t="s">
        <v>8</v>
      </c>
      <c r="G362">
        <v>52355.980608458471</v>
      </c>
      <c r="H362">
        <v>48476.851307216719</v>
      </c>
      <c r="I362">
        <v>56567.047179346191</v>
      </c>
    </row>
    <row r="363" spans="1:9" x14ac:dyDescent="0.3">
      <c r="A363" t="s">
        <v>74</v>
      </c>
      <c r="B363" t="s">
        <v>57</v>
      </c>
      <c r="C363" s="2">
        <v>46203</v>
      </c>
      <c r="D363">
        <v>2026</v>
      </c>
      <c r="E363" t="s">
        <v>7</v>
      </c>
      <c r="F363" t="s">
        <v>8</v>
      </c>
      <c r="G363">
        <v>12537.131244690319</v>
      </c>
      <c r="H363">
        <v>11805.718692684501</v>
      </c>
      <c r="I363">
        <v>13331.13080183151</v>
      </c>
    </row>
    <row r="364" spans="1:9" x14ac:dyDescent="0.3">
      <c r="A364" t="s">
        <v>75</v>
      </c>
      <c r="B364" t="s">
        <v>58</v>
      </c>
      <c r="C364" s="2">
        <v>46203</v>
      </c>
      <c r="D364">
        <v>2026</v>
      </c>
      <c r="E364" t="s">
        <v>7</v>
      </c>
      <c r="F364" t="s">
        <v>8</v>
      </c>
      <c r="G364">
        <v>43357.26636981326</v>
      </c>
      <c r="H364">
        <v>40827.816193005718</v>
      </c>
      <c r="I364">
        <v>46103.161712582711</v>
      </c>
    </row>
    <row r="365" spans="1:9" x14ac:dyDescent="0.3">
      <c r="A365" t="s">
        <v>74</v>
      </c>
      <c r="B365" t="s">
        <v>57</v>
      </c>
      <c r="C365" s="2">
        <v>46387</v>
      </c>
      <c r="D365">
        <v>2026</v>
      </c>
      <c r="E365" t="s">
        <v>9</v>
      </c>
      <c r="F365" t="s">
        <v>8</v>
      </c>
      <c r="G365">
        <v>12612.110945900889</v>
      </c>
      <c r="H365">
        <v>11854.25049479175</v>
      </c>
      <c r="I365">
        <v>13434.821550067139</v>
      </c>
    </row>
    <row r="366" spans="1:9" x14ac:dyDescent="0.3">
      <c r="A366" t="s">
        <v>75</v>
      </c>
      <c r="B366" t="s">
        <v>58</v>
      </c>
      <c r="C366" s="2">
        <v>46387</v>
      </c>
      <c r="D366">
        <v>2026</v>
      </c>
      <c r="E366" t="s">
        <v>9</v>
      </c>
      <c r="F366" t="s">
        <v>8</v>
      </c>
      <c r="G366">
        <v>43616.569300784227</v>
      </c>
      <c r="H366">
        <v>40995.654132188363</v>
      </c>
      <c r="I366">
        <v>46461.756298823602</v>
      </c>
    </row>
    <row r="367" spans="1:9" x14ac:dyDescent="0.3">
      <c r="A367" t="s">
        <v>74</v>
      </c>
      <c r="B367" t="s">
        <v>57</v>
      </c>
      <c r="C367" s="2">
        <v>46568</v>
      </c>
      <c r="D367">
        <v>2027</v>
      </c>
      <c r="E367" t="s">
        <v>10</v>
      </c>
      <c r="F367" t="s">
        <v>8</v>
      </c>
      <c r="G367">
        <v>12771.193630625579</v>
      </c>
      <c r="H367">
        <v>11981.421886849521</v>
      </c>
      <c r="I367">
        <v>13628.54617821467</v>
      </c>
    </row>
    <row r="368" spans="1:9" x14ac:dyDescent="0.3">
      <c r="A368" t="s">
        <v>75</v>
      </c>
      <c r="B368" t="s">
        <v>58</v>
      </c>
      <c r="C368" s="2">
        <v>46568</v>
      </c>
      <c r="D368">
        <v>2027</v>
      </c>
      <c r="E368" t="s">
        <v>10</v>
      </c>
      <c r="F368" t="s">
        <v>8</v>
      </c>
      <c r="G368">
        <v>44166.726286606223</v>
      </c>
      <c r="H368">
        <v>41435.452026336097</v>
      </c>
      <c r="I368">
        <v>47131.71580878269</v>
      </c>
    </row>
    <row r="369" spans="1:9" x14ac:dyDescent="0.3">
      <c r="A369" t="s">
        <v>74</v>
      </c>
      <c r="B369" t="s">
        <v>57</v>
      </c>
      <c r="C369" s="2">
        <v>46752</v>
      </c>
      <c r="D369">
        <v>2027</v>
      </c>
      <c r="E369" t="s">
        <v>11</v>
      </c>
      <c r="F369" t="s">
        <v>8</v>
      </c>
      <c r="G369">
        <v>12865.853755506139</v>
      </c>
      <c r="H369">
        <v>12047.710517434291</v>
      </c>
      <c r="I369">
        <v>13754.005547440311</v>
      </c>
    </row>
    <row r="370" spans="1:9" x14ac:dyDescent="0.3">
      <c r="A370" t="s">
        <v>75</v>
      </c>
      <c r="B370" t="s">
        <v>58</v>
      </c>
      <c r="C370" s="2">
        <v>46752</v>
      </c>
      <c r="D370">
        <v>2027</v>
      </c>
      <c r="E370" t="s">
        <v>11</v>
      </c>
      <c r="F370" t="s">
        <v>8</v>
      </c>
      <c r="G370">
        <v>44494.090192187417</v>
      </c>
      <c r="H370">
        <v>41664.698554705283</v>
      </c>
      <c r="I370">
        <v>47565.59299997893</v>
      </c>
    </row>
    <row r="371" spans="1:9" x14ac:dyDescent="0.3">
      <c r="A371" t="s">
        <v>74</v>
      </c>
      <c r="B371" t="s">
        <v>57</v>
      </c>
      <c r="C371" s="2">
        <v>46934</v>
      </c>
      <c r="D371">
        <v>2028</v>
      </c>
      <c r="E371" t="s">
        <v>12</v>
      </c>
      <c r="F371" t="s">
        <v>8</v>
      </c>
      <c r="G371">
        <v>13042.775831937121</v>
      </c>
      <c r="H371">
        <v>12190.55471829286</v>
      </c>
      <c r="I371">
        <v>13967.92154479676</v>
      </c>
    </row>
    <row r="372" spans="1:9" x14ac:dyDescent="0.3">
      <c r="A372" t="s">
        <v>75</v>
      </c>
      <c r="B372" t="s">
        <v>58</v>
      </c>
      <c r="C372" s="2">
        <v>46934</v>
      </c>
      <c r="D372">
        <v>2028</v>
      </c>
      <c r="E372" t="s">
        <v>12</v>
      </c>
      <c r="F372" t="s">
        <v>8</v>
      </c>
      <c r="G372">
        <v>45105.941296304023</v>
      </c>
      <c r="H372">
        <v>42158.697855273451</v>
      </c>
      <c r="I372">
        <v>48305.380491800541</v>
      </c>
    </row>
    <row r="373" spans="1:9" x14ac:dyDescent="0.3">
      <c r="A373" t="s">
        <v>74</v>
      </c>
      <c r="B373" t="s">
        <v>57</v>
      </c>
      <c r="C373" s="2">
        <v>47118</v>
      </c>
      <c r="D373">
        <v>2028</v>
      </c>
      <c r="E373" t="s">
        <v>13</v>
      </c>
      <c r="F373" t="s">
        <v>8</v>
      </c>
      <c r="G373">
        <v>13161.128022873159</v>
      </c>
      <c r="H373">
        <v>12278.13923113135</v>
      </c>
      <c r="I373">
        <v>14119.6742054359</v>
      </c>
    </row>
    <row r="374" spans="1:9" x14ac:dyDescent="0.3">
      <c r="A374" t="s">
        <v>75</v>
      </c>
      <c r="B374" t="s">
        <v>58</v>
      </c>
      <c r="C374" s="2">
        <v>47118</v>
      </c>
      <c r="D374">
        <v>2028</v>
      </c>
      <c r="E374" t="s">
        <v>13</v>
      </c>
      <c r="F374" t="s">
        <v>8</v>
      </c>
      <c r="G374">
        <v>45515.239673078882</v>
      </c>
      <c r="H374">
        <v>42461.592112252431</v>
      </c>
      <c r="I374">
        <v>48830.187993711741</v>
      </c>
    </row>
    <row r="375" spans="1:9" x14ac:dyDescent="0.3">
      <c r="A375" t="s">
        <v>74</v>
      </c>
      <c r="B375" t="s">
        <v>57</v>
      </c>
      <c r="C375" s="2">
        <v>47299</v>
      </c>
      <c r="D375">
        <v>2029</v>
      </c>
      <c r="E375" t="s">
        <v>14</v>
      </c>
      <c r="F375" t="s">
        <v>8</v>
      </c>
      <c r="G375">
        <v>13360.563125432371</v>
      </c>
      <c r="H375">
        <v>12440.810560856149</v>
      </c>
      <c r="I375">
        <v>14359.01895853269</v>
      </c>
    </row>
    <row r="376" spans="1:9" x14ac:dyDescent="0.3">
      <c r="A376" t="s">
        <v>75</v>
      </c>
      <c r="B376" t="s">
        <v>58</v>
      </c>
      <c r="C376" s="2">
        <v>47299</v>
      </c>
      <c r="D376">
        <v>2029</v>
      </c>
      <c r="E376" t="s">
        <v>14</v>
      </c>
      <c r="F376" t="s">
        <v>8</v>
      </c>
      <c r="G376">
        <v>46204.947764697747</v>
      </c>
      <c r="H376">
        <v>43024.159739244213</v>
      </c>
      <c r="I376">
        <v>49657.915965262648</v>
      </c>
    </row>
    <row r="377" spans="1:9" x14ac:dyDescent="0.3">
      <c r="A377" t="s">
        <v>74</v>
      </c>
      <c r="B377" t="s">
        <v>57</v>
      </c>
      <c r="C377" s="2">
        <v>47483</v>
      </c>
      <c r="D377">
        <v>2029</v>
      </c>
      <c r="E377" t="s">
        <v>15</v>
      </c>
      <c r="F377" t="s">
        <v>8</v>
      </c>
      <c r="G377">
        <v>13507.173268072969</v>
      </c>
      <c r="H377">
        <v>12553.687800635609</v>
      </c>
      <c r="I377">
        <v>14542.248530057001</v>
      </c>
    </row>
    <row r="378" spans="1:9" x14ac:dyDescent="0.3">
      <c r="A378" t="s">
        <v>75</v>
      </c>
      <c r="B378" t="s">
        <v>58</v>
      </c>
      <c r="C378" s="2">
        <v>47483</v>
      </c>
      <c r="D378">
        <v>2029</v>
      </c>
      <c r="E378" t="s">
        <v>15</v>
      </c>
      <c r="F378" t="s">
        <v>8</v>
      </c>
      <c r="G378">
        <v>46711.970853386927</v>
      </c>
      <c r="H378">
        <v>43414.524046412167</v>
      </c>
      <c r="I378">
        <v>50291.580332680867</v>
      </c>
    </row>
    <row r="379" spans="1:9" x14ac:dyDescent="0.3">
      <c r="A379" t="s">
        <v>74</v>
      </c>
      <c r="B379" t="s">
        <v>57</v>
      </c>
      <c r="C379" s="2">
        <v>47664</v>
      </c>
      <c r="D379">
        <v>2030</v>
      </c>
      <c r="E379" t="s">
        <v>16</v>
      </c>
      <c r="F379" t="s">
        <v>8</v>
      </c>
      <c r="G379">
        <v>13734.45551539364</v>
      </c>
      <c r="H379">
        <v>12740.888033810341</v>
      </c>
      <c r="I379">
        <v>14813.042611285809</v>
      </c>
    </row>
    <row r="380" spans="1:9" x14ac:dyDescent="0.3">
      <c r="A380" t="s">
        <v>75</v>
      </c>
      <c r="B380" t="s">
        <v>58</v>
      </c>
      <c r="C380" s="2">
        <v>47664</v>
      </c>
      <c r="D380">
        <v>2030</v>
      </c>
      <c r="E380" t="s">
        <v>16</v>
      </c>
      <c r="F380" t="s">
        <v>8</v>
      </c>
      <c r="G380">
        <v>47497.982959815643</v>
      </c>
      <c r="H380">
        <v>44061.920186393188</v>
      </c>
      <c r="I380">
        <v>51228.06978007171</v>
      </c>
    </row>
    <row r="381" spans="1:9" x14ac:dyDescent="0.3">
      <c r="A381" t="s">
        <v>74</v>
      </c>
      <c r="B381" t="s">
        <v>57</v>
      </c>
      <c r="C381" s="2">
        <v>47848</v>
      </c>
      <c r="D381">
        <v>2030</v>
      </c>
      <c r="E381" t="s">
        <v>17</v>
      </c>
      <c r="F381" t="s">
        <v>8</v>
      </c>
      <c r="G381">
        <v>13914.62086281833</v>
      </c>
      <c r="H381">
        <v>12883.666750655109</v>
      </c>
      <c r="I381">
        <v>15033.79376495904</v>
      </c>
    </row>
    <row r="382" spans="1:9" x14ac:dyDescent="0.3">
      <c r="A382" t="s">
        <v>75</v>
      </c>
      <c r="B382" t="s">
        <v>58</v>
      </c>
      <c r="C382" s="2">
        <v>47848</v>
      </c>
      <c r="D382">
        <v>2030</v>
      </c>
      <c r="E382" t="s">
        <v>17</v>
      </c>
      <c r="F382" t="s">
        <v>8</v>
      </c>
      <c r="G382">
        <v>48121.0502952725</v>
      </c>
      <c r="H382">
        <v>44555.693023045947</v>
      </c>
      <c r="I382">
        <v>51991.495350439531</v>
      </c>
    </row>
    <row r="383" spans="1:9" x14ac:dyDescent="0.3">
      <c r="A383" t="s">
        <v>78</v>
      </c>
      <c r="B383" t="s">
        <v>63</v>
      </c>
      <c r="C383" s="2">
        <v>46387</v>
      </c>
      <c r="D383">
        <v>2026</v>
      </c>
      <c r="E383" t="s">
        <v>9</v>
      </c>
      <c r="F383" t="s">
        <v>26</v>
      </c>
      <c r="G383">
        <v>17370.13780255078</v>
      </c>
      <c r="H383">
        <v>13896.11024204063</v>
      </c>
      <c r="I383">
        <v>20844.16536306094</v>
      </c>
    </row>
    <row r="384" spans="1:9" x14ac:dyDescent="0.3">
      <c r="A384" t="s">
        <v>78</v>
      </c>
      <c r="B384" t="s">
        <v>63</v>
      </c>
      <c r="C384" s="2">
        <v>46752</v>
      </c>
      <c r="D384">
        <v>2027</v>
      </c>
      <c r="E384" t="s">
        <v>11</v>
      </c>
      <c r="F384" t="s">
        <v>26</v>
      </c>
      <c r="G384">
        <v>18957.986443793259</v>
      </c>
      <c r="H384">
        <v>15052.64123637185</v>
      </c>
      <c r="I384">
        <v>22863.33165121467</v>
      </c>
    </row>
    <row r="385" spans="1:9" x14ac:dyDescent="0.3">
      <c r="A385" t="s">
        <v>78</v>
      </c>
      <c r="B385" t="s">
        <v>63</v>
      </c>
      <c r="C385" s="2">
        <v>47118</v>
      </c>
      <c r="D385">
        <v>2028</v>
      </c>
      <c r="E385" t="s">
        <v>13</v>
      </c>
      <c r="F385" t="s">
        <v>26</v>
      </c>
      <c r="G385">
        <v>20767.420529046809</v>
      </c>
      <c r="H385">
        <v>16364.72737688889</v>
      </c>
      <c r="I385">
        <v>25170.113681204741</v>
      </c>
    </row>
    <row r="386" spans="1:9" x14ac:dyDescent="0.3">
      <c r="A386" t="s">
        <v>78</v>
      </c>
      <c r="B386" t="s">
        <v>63</v>
      </c>
      <c r="C386" s="2">
        <v>47483</v>
      </c>
      <c r="D386">
        <v>2029</v>
      </c>
      <c r="E386" t="s">
        <v>15</v>
      </c>
      <c r="F386" t="s">
        <v>26</v>
      </c>
      <c r="G386">
        <v>22798.440058311451</v>
      </c>
      <c r="H386">
        <v>17828.38012559955</v>
      </c>
      <c r="I386">
        <v>27768.499991023338</v>
      </c>
    </row>
    <row r="387" spans="1:9" x14ac:dyDescent="0.3">
      <c r="A387" t="s">
        <v>78</v>
      </c>
      <c r="B387" t="s">
        <v>63</v>
      </c>
      <c r="C387" s="2">
        <v>47848</v>
      </c>
      <c r="D387">
        <v>2030</v>
      </c>
      <c r="E387" t="s">
        <v>17</v>
      </c>
      <c r="F387" t="s">
        <v>26</v>
      </c>
      <c r="G387">
        <v>25051.04503158716</v>
      </c>
      <c r="H387">
        <v>19439.610944511642</v>
      </c>
      <c r="I387">
        <v>30662.47911866269</v>
      </c>
    </row>
    <row r="388" spans="1:9" x14ac:dyDescent="0.3">
      <c r="A388" t="s">
        <v>79</v>
      </c>
      <c r="B388" t="s">
        <v>54</v>
      </c>
      <c r="C388" s="2">
        <v>46387</v>
      </c>
      <c r="D388">
        <v>2026</v>
      </c>
      <c r="E388" t="s">
        <v>9</v>
      </c>
      <c r="F388" t="s">
        <v>26</v>
      </c>
      <c r="G388">
        <v>3882.965030497624</v>
      </c>
      <c r="H388">
        <v>3106.3720243981002</v>
      </c>
      <c r="I388">
        <v>4659.5580365971491</v>
      </c>
    </row>
    <row r="389" spans="1:9" x14ac:dyDescent="0.3">
      <c r="A389" t="s">
        <v>80</v>
      </c>
      <c r="B389" t="s">
        <v>55</v>
      </c>
      <c r="C389" s="2">
        <v>46387</v>
      </c>
      <c r="D389">
        <v>2026</v>
      </c>
      <c r="E389" t="s">
        <v>9</v>
      </c>
      <c r="F389" t="s">
        <v>26</v>
      </c>
      <c r="G389">
        <v>7993.5712202772638</v>
      </c>
      <c r="H389">
        <v>6394.8569762218112</v>
      </c>
      <c r="I389">
        <v>9592.2854643327155</v>
      </c>
    </row>
    <row r="390" spans="1:9" x14ac:dyDescent="0.3">
      <c r="A390" t="s">
        <v>81</v>
      </c>
      <c r="B390" t="s">
        <v>56</v>
      </c>
      <c r="C390" s="2">
        <v>46387</v>
      </c>
      <c r="D390">
        <v>2026</v>
      </c>
      <c r="E390" t="s">
        <v>9</v>
      </c>
      <c r="F390" t="s">
        <v>26</v>
      </c>
      <c r="G390">
        <v>5493.601551775897</v>
      </c>
      <c r="H390">
        <v>4394.8812414207177</v>
      </c>
      <c r="I390">
        <v>6592.3218621310752</v>
      </c>
    </row>
    <row r="391" spans="1:9" x14ac:dyDescent="0.3">
      <c r="A391" t="s">
        <v>79</v>
      </c>
      <c r="B391" t="s">
        <v>54</v>
      </c>
      <c r="C391" s="2">
        <v>46752</v>
      </c>
      <c r="D391">
        <v>2027</v>
      </c>
      <c r="E391" t="s">
        <v>11</v>
      </c>
      <c r="F391" t="s">
        <v>26</v>
      </c>
      <c r="G391">
        <v>4237.9167768655952</v>
      </c>
      <c r="H391">
        <v>3364.9059208312819</v>
      </c>
      <c r="I391">
        <v>5110.9276328999076</v>
      </c>
    </row>
    <row r="392" spans="1:9" x14ac:dyDescent="0.3">
      <c r="A392" t="s">
        <v>80</v>
      </c>
      <c r="B392" t="s">
        <v>55</v>
      </c>
      <c r="C392" s="2">
        <v>46752</v>
      </c>
      <c r="D392">
        <v>2027</v>
      </c>
      <c r="E392" t="s">
        <v>11</v>
      </c>
      <c r="F392" t="s">
        <v>26</v>
      </c>
      <c r="G392">
        <v>8724.2839725346639</v>
      </c>
      <c r="H392">
        <v>6927.0814741925242</v>
      </c>
      <c r="I392">
        <v>10521.486470876809</v>
      </c>
    </row>
    <row r="393" spans="1:9" x14ac:dyDescent="0.3">
      <c r="A393" t="s">
        <v>81</v>
      </c>
      <c r="B393" t="s">
        <v>56</v>
      </c>
      <c r="C393" s="2">
        <v>46752</v>
      </c>
      <c r="D393">
        <v>2027</v>
      </c>
      <c r="E393" t="s">
        <v>11</v>
      </c>
      <c r="F393" t="s">
        <v>26</v>
      </c>
      <c r="G393">
        <v>5995.7856943930001</v>
      </c>
      <c r="H393">
        <v>4760.6538413480421</v>
      </c>
      <c r="I393">
        <v>7230.9175474379581</v>
      </c>
    </row>
    <row r="394" spans="1:9" x14ac:dyDescent="0.3">
      <c r="A394" t="s">
        <v>79</v>
      </c>
      <c r="B394" t="s">
        <v>54</v>
      </c>
      <c r="C394" s="2">
        <v>47118</v>
      </c>
      <c r="D394">
        <v>2028</v>
      </c>
      <c r="E394" t="s">
        <v>13</v>
      </c>
      <c r="F394" t="s">
        <v>26</v>
      </c>
      <c r="G394">
        <v>4642.4023001179348</v>
      </c>
      <c r="H394">
        <v>3658.2130124929331</v>
      </c>
      <c r="I394">
        <v>5626.591587742937</v>
      </c>
    </row>
    <row r="395" spans="1:9" x14ac:dyDescent="0.3">
      <c r="A395" t="s">
        <v>80</v>
      </c>
      <c r="B395" t="s">
        <v>55</v>
      </c>
      <c r="C395" s="2">
        <v>47118</v>
      </c>
      <c r="D395">
        <v>2028</v>
      </c>
      <c r="E395" t="s">
        <v>13</v>
      </c>
      <c r="F395" t="s">
        <v>26</v>
      </c>
      <c r="G395">
        <v>9556.9682260094723</v>
      </c>
      <c r="H395">
        <v>7530.8909620954637</v>
      </c>
      <c r="I395">
        <v>11583.045489923479</v>
      </c>
    </row>
    <row r="396" spans="1:9" x14ac:dyDescent="0.3">
      <c r="A396" t="s">
        <v>81</v>
      </c>
      <c r="B396" t="s">
        <v>56</v>
      </c>
      <c r="C396" s="2">
        <v>47118</v>
      </c>
      <c r="D396">
        <v>2028</v>
      </c>
      <c r="E396" t="s">
        <v>13</v>
      </c>
      <c r="F396" t="s">
        <v>26</v>
      </c>
      <c r="G396">
        <v>6568.0500029194072</v>
      </c>
      <c r="H396">
        <v>5175.6234023004927</v>
      </c>
      <c r="I396">
        <v>7960.4766035383218</v>
      </c>
    </row>
    <row r="397" spans="1:9" x14ac:dyDescent="0.3">
      <c r="A397" t="s">
        <v>79</v>
      </c>
      <c r="B397" t="s">
        <v>54</v>
      </c>
      <c r="C397" s="2">
        <v>47483</v>
      </c>
      <c r="D397">
        <v>2029</v>
      </c>
      <c r="E397" t="s">
        <v>15</v>
      </c>
      <c r="F397" t="s">
        <v>26</v>
      </c>
      <c r="G397">
        <v>5096.4216002546455</v>
      </c>
      <c r="H397">
        <v>3985.4016913991331</v>
      </c>
      <c r="I397">
        <v>6207.4415091101582</v>
      </c>
    </row>
    <row r="398" spans="1:9" x14ac:dyDescent="0.3">
      <c r="A398" t="s">
        <v>80</v>
      </c>
      <c r="B398" t="s">
        <v>55</v>
      </c>
      <c r="C398" s="2">
        <v>47483</v>
      </c>
      <c r="D398">
        <v>2029</v>
      </c>
      <c r="E398" t="s">
        <v>15</v>
      </c>
      <c r="F398" t="s">
        <v>26</v>
      </c>
      <c r="G398">
        <v>10491.62398070169</v>
      </c>
      <c r="H398">
        <v>8204.4499529087188</v>
      </c>
      <c r="I398">
        <v>12778.79800849465</v>
      </c>
    </row>
    <row r="399" spans="1:9" x14ac:dyDescent="0.3">
      <c r="A399" t="s">
        <v>81</v>
      </c>
      <c r="B399" t="s">
        <v>56</v>
      </c>
      <c r="C399" s="2">
        <v>47483</v>
      </c>
      <c r="D399">
        <v>2029</v>
      </c>
      <c r="E399" t="s">
        <v>15</v>
      </c>
      <c r="F399" t="s">
        <v>26</v>
      </c>
      <c r="G399">
        <v>7210.3944773551166</v>
      </c>
      <c r="H399">
        <v>5638.5284812917034</v>
      </c>
      <c r="I399">
        <v>8782.2604734185334</v>
      </c>
    </row>
    <row r="400" spans="1:9" x14ac:dyDescent="0.3">
      <c r="A400" t="s">
        <v>79</v>
      </c>
      <c r="B400" t="s">
        <v>54</v>
      </c>
      <c r="C400" s="2">
        <v>47848</v>
      </c>
      <c r="D400">
        <v>2030</v>
      </c>
      <c r="E400" t="s">
        <v>17</v>
      </c>
      <c r="F400" t="s">
        <v>26</v>
      </c>
      <c r="G400">
        <v>5599.9746772757262</v>
      </c>
      <c r="H400">
        <v>4345.5803495659638</v>
      </c>
      <c r="I400">
        <v>6854.3690049854886</v>
      </c>
    </row>
    <row r="401" spans="1:9" x14ac:dyDescent="0.3">
      <c r="A401" t="s">
        <v>80</v>
      </c>
      <c r="B401" t="s">
        <v>55</v>
      </c>
      <c r="C401" s="2">
        <v>47848</v>
      </c>
      <c r="D401">
        <v>2030</v>
      </c>
      <c r="E401" t="s">
        <v>17</v>
      </c>
      <c r="F401" t="s">
        <v>26</v>
      </c>
      <c r="G401">
        <v>11528.25123661131</v>
      </c>
      <c r="H401">
        <v>8945.9229596103742</v>
      </c>
      <c r="I401">
        <v>14110.57951361224</v>
      </c>
    </row>
    <row r="402" spans="1:9" x14ac:dyDescent="0.3">
      <c r="A402" t="s">
        <v>81</v>
      </c>
      <c r="B402" t="s">
        <v>56</v>
      </c>
      <c r="C402" s="2">
        <v>47848</v>
      </c>
      <c r="D402">
        <v>2030</v>
      </c>
      <c r="E402" t="s">
        <v>17</v>
      </c>
      <c r="F402" t="s">
        <v>26</v>
      </c>
      <c r="G402">
        <v>7922.8191177001318</v>
      </c>
      <c r="H402">
        <v>6148.1076353353019</v>
      </c>
      <c r="I402">
        <v>9697.5306000649616</v>
      </c>
    </row>
    <row r="403" spans="1:9" x14ac:dyDescent="0.3">
      <c r="A403" t="s">
        <v>78</v>
      </c>
      <c r="B403" t="s">
        <v>63</v>
      </c>
      <c r="C403" s="2">
        <v>46387</v>
      </c>
      <c r="D403">
        <v>2026</v>
      </c>
      <c r="E403" t="s">
        <v>9</v>
      </c>
      <c r="F403" t="s">
        <v>22</v>
      </c>
      <c r="G403">
        <v>18662.155890000002</v>
      </c>
      <c r="H403">
        <v>14929.724711999999</v>
      </c>
      <c r="I403">
        <v>22394.587068000001</v>
      </c>
    </row>
    <row r="404" spans="1:9" x14ac:dyDescent="0.3">
      <c r="A404" t="s">
        <v>78</v>
      </c>
      <c r="B404" t="s">
        <v>63</v>
      </c>
      <c r="C404" s="2">
        <v>46752</v>
      </c>
      <c r="D404">
        <v>2027</v>
      </c>
      <c r="E404" t="s">
        <v>11</v>
      </c>
      <c r="F404" t="s">
        <v>22</v>
      </c>
      <c r="G404">
        <v>20323.6408782</v>
      </c>
      <c r="H404">
        <v>16136.9708572908</v>
      </c>
      <c r="I404">
        <v>24510.310899109201</v>
      </c>
    </row>
    <row r="405" spans="1:9" x14ac:dyDescent="0.3">
      <c r="A405" t="s">
        <v>78</v>
      </c>
      <c r="B405" t="s">
        <v>63</v>
      </c>
      <c r="C405" s="2">
        <v>47118</v>
      </c>
      <c r="D405">
        <v>2028</v>
      </c>
      <c r="E405" t="s">
        <v>13</v>
      </c>
      <c r="F405" t="s">
        <v>22</v>
      </c>
      <c r="G405">
        <v>21985.125866400002</v>
      </c>
      <c r="H405">
        <v>17324.279182723199</v>
      </c>
      <c r="I405">
        <v>26645.9725500768</v>
      </c>
    </row>
    <row r="406" spans="1:9" x14ac:dyDescent="0.3">
      <c r="A406" t="s">
        <v>78</v>
      </c>
      <c r="B406" t="s">
        <v>63</v>
      </c>
      <c r="C406" s="2">
        <v>47483</v>
      </c>
      <c r="D406">
        <v>2029</v>
      </c>
      <c r="E406" t="s">
        <v>15</v>
      </c>
      <c r="F406" t="s">
        <v>22</v>
      </c>
      <c r="G406">
        <v>23646.6108546</v>
      </c>
      <c r="H406">
        <v>18491.649688297199</v>
      </c>
      <c r="I406">
        <v>28801.5720209028</v>
      </c>
    </row>
    <row r="407" spans="1:9" x14ac:dyDescent="0.3">
      <c r="A407" t="s">
        <v>78</v>
      </c>
      <c r="B407" t="s">
        <v>63</v>
      </c>
      <c r="C407" s="2">
        <v>47848</v>
      </c>
      <c r="D407">
        <v>2030</v>
      </c>
      <c r="E407" t="s">
        <v>17</v>
      </c>
      <c r="F407" t="s">
        <v>22</v>
      </c>
      <c r="G407">
        <v>25308.095842800001</v>
      </c>
      <c r="H407">
        <v>19639.0823740128</v>
      </c>
      <c r="I407">
        <v>30977.109311587199</v>
      </c>
    </row>
    <row r="408" spans="1:9" x14ac:dyDescent="0.3">
      <c r="A408" t="s">
        <v>79</v>
      </c>
      <c r="B408" t="s">
        <v>54</v>
      </c>
      <c r="C408" s="2">
        <v>46387</v>
      </c>
      <c r="D408">
        <v>2026</v>
      </c>
      <c r="E408" t="s">
        <v>9</v>
      </c>
      <c r="F408" t="s">
        <v>22</v>
      </c>
      <c r="G408">
        <v>4171.7860582501517</v>
      </c>
      <c r="H408">
        <v>3337.4288466001221</v>
      </c>
      <c r="I408">
        <v>5006.1432699001816</v>
      </c>
    </row>
    <row r="409" spans="1:9" x14ac:dyDescent="0.3">
      <c r="A409" t="s">
        <v>80</v>
      </c>
      <c r="B409" t="s">
        <v>55</v>
      </c>
      <c r="C409" s="2">
        <v>46387</v>
      </c>
      <c r="D409">
        <v>2026</v>
      </c>
      <c r="E409" t="s">
        <v>9</v>
      </c>
      <c r="F409" t="s">
        <v>22</v>
      </c>
      <c r="G409">
        <v>8588.145582168343</v>
      </c>
      <c r="H409">
        <v>6870.516465734675</v>
      </c>
      <c r="I409">
        <v>10305.77469860201</v>
      </c>
    </row>
    <row r="410" spans="1:9" x14ac:dyDescent="0.3">
      <c r="A410" t="s">
        <v>81</v>
      </c>
      <c r="B410" t="s">
        <v>56</v>
      </c>
      <c r="C410" s="2">
        <v>46387</v>
      </c>
      <c r="D410">
        <v>2026</v>
      </c>
      <c r="E410" t="s">
        <v>9</v>
      </c>
      <c r="F410" t="s">
        <v>22</v>
      </c>
      <c r="G410">
        <v>5902.224249581509</v>
      </c>
      <c r="H410">
        <v>4721.7793996652072</v>
      </c>
      <c r="I410">
        <v>7082.6690994978098</v>
      </c>
    </row>
    <row r="411" spans="1:9" x14ac:dyDescent="0.3">
      <c r="A411" t="s">
        <v>79</v>
      </c>
      <c r="B411" t="s">
        <v>54</v>
      </c>
      <c r="C411" s="2">
        <v>46752</v>
      </c>
      <c r="D411">
        <v>2027</v>
      </c>
      <c r="E411" t="s">
        <v>11</v>
      </c>
      <c r="F411" t="s">
        <v>22</v>
      </c>
      <c r="G411">
        <v>4543.1986619503914</v>
      </c>
      <c r="H411">
        <v>3607.2997375886112</v>
      </c>
      <c r="I411">
        <v>5479.0975863121721</v>
      </c>
    </row>
    <row r="412" spans="1:9" x14ac:dyDescent="0.3">
      <c r="A412" t="s">
        <v>80</v>
      </c>
      <c r="B412" t="s">
        <v>55</v>
      </c>
      <c r="C412" s="2">
        <v>46752</v>
      </c>
      <c r="D412">
        <v>2027</v>
      </c>
      <c r="E412" t="s">
        <v>11</v>
      </c>
      <c r="F412" t="s">
        <v>22</v>
      </c>
      <c r="G412">
        <v>9352.7450767473601</v>
      </c>
      <c r="H412">
        <v>7426.0795909374046</v>
      </c>
      <c r="I412">
        <v>11279.410562557319</v>
      </c>
    </row>
    <row r="413" spans="1:9" x14ac:dyDescent="0.3">
      <c r="A413" t="s">
        <v>81</v>
      </c>
      <c r="B413" t="s">
        <v>56</v>
      </c>
      <c r="C413" s="2">
        <v>46752</v>
      </c>
      <c r="D413">
        <v>2027</v>
      </c>
      <c r="E413" t="s">
        <v>11</v>
      </c>
      <c r="F413" t="s">
        <v>22</v>
      </c>
      <c r="G413">
        <v>6427.6971395022492</v>
      </c>
      <c r="H413">
        <v>5103.5915287647867</v>
      </c>
      <c r="I413">
        <v>7751.8027502397144</v>
      </c>
    </row>
    <row r="414" spans="1:9" x14ac:dyDescent="0.3">
      <c r="A414" t="s">
        <v>79</v>
      </c>
      <c r="B414" t="s">
        <v>54</v>
      </c>
      <c r="C414" s="2">
        <v>47118</v>
      </c>
      <c r="D414">
        <v>2028</v>
      </c>
      <c r="E414" t="s">
        <v>13</v>
      </c>
      <c r="F414" t="s">
        <v>22</v>
      </c>
      <c r="G414">
        <v>4914.611265650632</v>
      </c>
      <c r="H414">
        <v>3872.7136773326979</v>
      </c>
      <c r="I414">
        <v>5956.5088539685657</v>
      </c>
    </row>
    <row r="415" spans="1:9" x14ac:dyDescent="0.3">
      <c r="A415" t="s">
        <v>80</v>
      </c>
      <c r="B415" t="s">
        <v>55</v>
      </c>
      <c r="C415" s="2">
        <v>47118</v>
      </c>
      <c r="D415">
        <v>2028</v>
      </c>
      <c r="E415" t="s">
        <v>13</v>
      </c>
      <c r="F415" t="s">
        <v>22</v>
      </c>
      <c r="G415">
        <v>10117.344571326381</v>
      </c>
      <c r="H415">
        <v>7972.4675222051874</v>
      </c>
      <c r="I415">
        <v>12262.22162044757</v>
      </c>
    </row>
    <row r="416" spans="1:9" x14ac:dyDescent="0.3">
      <c r="A416" t="s">
        <v>81</v>
      </c>
      <c r="B416" t="s">
        <v>56</v>
      </c>
      <c r="C416" s="2">
        <v>47118</v>
      </c>
      <c r="D416">
        <v>2028</v>
      </c>
      <c r="E416" t="s">
        <v>13</v>
      </c>
      <c r="F416" t="s">
        <v>22</v>
      </c>
      <c r="G416">
        <v>6953.1700294229913</v>
      </c>
      <c r="H416">
        <v>5479.0979831853183</v>
      </c>
      <c r="I416">
        <v>8427.2420756606643</v>
      </c>
    </row>
    <row r="417" spans="1:9" x14ac:dyDescent="0.3">
      <c r="A417" t="s">
        <v>79</v>
      </c>
      <c r="B417" t="s">
        <v>54</v>
      </c>
      <c r="C417" s="2">
        <v>47483</v>
      </c>
      <c r="D417">
        <v>2029</v>
      </c>
      <c r="E417" t="s">
        <v>15</v>
      </c>
      <c r="F417" t="s">
        <v>22</v>
      </c>
      <c r="G417">
        <v>5286.0238693508727</v>
      </c>
      <c r="H417">
        <v>4133.6706658323828</v>
      </c>
      <c r="I417">
        <v>6438.3770728693626</v>
      </c>
    </row>
    <row r="418" spans="1:9" x14ac:dyDescent="0.3">
      <c r="A418" t="s">
        <v>80</v>
      </c>
      <c r="B418" t="s">
        <v>55</v>
      </c>
      <c r="C418" s="2">
        <v>47483</v>
      </c>
      <c r="D418">
        <v>2029</v>
      </c>
      <c r="E418" t="s">
        <v>15</v>
      </c>
      <c r="F418" t="s">
        <v>22</v>
      </c>
      <c r="G418">
        <v>10881.9440659054</v>
      </c>
      <c r="H418">
        <v>8509.6802595380213</v>
      </c>
      <c r="I418">
        <v>13254.207872272769</v>
      </c>
    </row>
    <row r="419" spans="1:9" x14ac:dyDescent="0.3">
      <c r="A419" t="s">
        <v>81</v>
      </c>
      <c r="B419" t="s">
        <v>56</v>
      </c>
      <c r="C419" s="2">
        <v>47483</v>
      </c>
      <c r="D419">
        <v>2029</v>
      </c>
      <c r="E419" t="s">
        <v>15</v>
      </c>
      <c r="F419" t="s">
        <v>22</v>
      </c>
      <c r="G419">
        <v>7478.6429193437334</v>
      </c>
      <c r="H419">
        <v>5848.2987629267991</v>
      </c>
      <c r="I419">
        <v>9108.9870757606677</v>
      </c>
    </row>
    <row r="420" spans="1:9" x14ac:dyDescent="0.3">
      <c r="A420" t="s">
        <v>79</v>
      </c>
      <c r="B420" t="s">
        <v>54</v>
      </c>
      <c r="C420" s="2">
        <v>47848</v>
      </c>
      <c r="D420">
        <v>2030</v>
      </c>
      <c r="E420" t="s">
        <v>17</v>
      </c>
      <c r="F420" t="s">
        <v>22</v>
      </c>
      <c r="G420">
        <v>5657.4364730511124</v>
      </c>
      <c r="H420">
        <v>4390.1707030876642</v>
      </c>
      <c r="I420">
        <v>6924.7022430145616</v>
      </c>
    </row>
    <row r="421" spans="1:9" x14ac:dyDescent="0.3">
      <c r="A421" t="s">
        <v>80</v>
      </c>
      <c r="B421" t="s">
        <v>55</v>
      </c>
      <c r="C421" s="2">
        <v>47848</v>
      </c>
      <c r="D421">
        <v>2030</v>
      </c>
      <c r="E421" t="s">
        <v>17</v>
      </c>
      <c r="F421" t="s">
        <v>22</v>
      </c>
      <c r="G421">
        <v>11646.543560484421</v>
      </c>
      <c r="H421">
        <v>9037.7178029359075</v>
      </c>
      <c r="I421">
        <v>14255.369318032919</v>
      </c>
    </row>
    <row r="422" spans="1:9" x14ac:dyDescent="0.3">
      <c r="A422" t="s">
        <v>81</v>
      </c>
      <c r="B422" t="s">
        <v>56</v>
      </c>
      <c r="C422" s="2">
        <v>47848</v>
      </c>
      <c r="D422">
        <v>2030</v>
      </c>
      <c r="E422" t="s">
        <v>17</v>
      </c>
      <c r="F422" t="s">
        <v>22</v>
      </c>
      <c r="G422">
        <v>8004.1158092644746</v>
      </c>
      <c r="H422">
        <v>6211.1938679892328</v>
      </c>
      <c r="I422">
        <v>9797.0377505397155</v>
      </c>
    </row>
    <row r="423" spans="1:9" x14ac:dyDescent="0.3">
      <c r="A423" t="s">
        <v>76</v>
      </c>
      <c r="B423" t="s">
        <v>61</v>
      </c>
      <c r="C423" s="2">
        <v>46203</v>
      </c>
      <c r="D423">
        <v>2026</v>
      </c>
      <c r="E423" t="s">
        <v>7</v>
      </c>
      <c r="F423" t="s">
        <v>8</v>
      </c>
      <c r="G423">
        <v>51260.595121212886</v>
      </c>
      <c r="H423">
        <v>48370.08567434227</v>
      </c>
      <c r="I423">
        <v>54291.004041569555</v>
      </c>
    </row>
    <row r="424" spans="1:9" x14ac:dyDescent="0.3">
      <c r="A424" t="s">
        <v>76</v>
      </c>
      <c r="B424" t="s">
        <v>61</v>
      </c>
      <c r="C424" s="2">
        <v>46387</v>
      </c>
      <c r="D424">
        <v>2026</v>
      </c>
      <c r="E424" t="s">
        <v>9</v>
      </c>
      <c r="F424" t="s">
        <v>8</v>
      </c>
      <c r="G424">
        <v>51455.868033972649</v>
      </c>
      <c r="H424">
        <v>48458.556359833121</v>
      </c>
      <c r="I424">
        <v>54598.995006497091</v>
      </c>
    </row>
    <row r="425" spans="1:9" x14ac:dyDescent="0.3">
      <c r="A425" t="s">
        <v>76</v>
      </c>
      <c r="B425" t="s">
        <v>61</v>
      </c>
      <c r="C425" s="2">
        <v>46568</v>
      </c>
      <c r="D425">
        <v>2027</v>
      </c>
      <c r="E425" t="s">
        <v>10</v>
      </c>
      <c r="F425" t="s">
        <v>8</v>
      </c>
      <c r="G425">
        <v>52021.926509646677</v>
      </c>
      <c r="H425">
        <v>48893.788502240117</v>
      </c>
      <c r="I425">
        <v>55303.754686777713</v>
      </c>
    </row>
    <row r="426" spans="1:9" x14ac:dyDescent="0.3">
      <c r="A426" t="s">
        <v>76</v>
      </c>
      <c r="B426" t="s">
        <v>61</v>
      </c>
      <c r="C426" s="2">
        <v>46752</v>
      </c>
      <c r="D426">
        <v>2027</v>
      </c>
      <c r="E426" t="s">
        <v>11</v>
      </c>
      <c r="F426" t="s">
        <v>8</v>
      </c>
      <c r="G426">
        <v>52296.474910174133</v>
      </c>
      <c r="H426">
        <v>49053.635338822925</v>
      </c>
      <c r="I426">
        <v>55699.400127032255</v>
      </c>
    </row>
    <row r="427" spans="1:9" x14ac:dyDescent="0.3">
      <c r="A427" t="s">
        <v>76</v>
      </c>
      <c r="B427" t="s">
        <v>61</v>
      </c>
      <c r="C427" s="2">
        <v>46934</v>
      </c>
      <c r="D427">
        <v>2028</v>
      </c>
      <c r="E427" t="s">
        <v>12</v>
      </c>
      <c r="F427" t="s">
        <v>8</v>
      </c>
      <c r="G427">
        <v>52933.347043187729</v>
      </c>
      <c r="H427">
        <v>49550.71878972822</v>
      </c>
      <c r="I427">
        <v>56484.500537504922</v>
      </c>
    </row>
    <row r="428" spans="1:9" x14ac:dyDescent="0.3">
      <c r="A428" t="s">
        <v>76</v>
      </c>
      <c r="B428" t="s">
        <v>61</v>
      </c>
      <c r="C428" s="2">
        <v>47118</v>
      </c>
      <c r="D428">
        <v>2028</v>
      </c>
      <c r="E428" t="s">
        <v>13</v>
      </c>
      <c r="F428" t="s">
        <v>8</v>
      </c>
      <c r="G428">
        <v>53304.540455814997</v>
      </c>
      <c r="H428">
        <v>49797.245568722465</v>
      </c>
      <c r="I428">
        <v>56987.400520889569</v>
      </c>
    </row>
    <row r="429" spans="1:9" x14ac:dyDescent="0.3">
      <c r="A429" t="s">
        <v>76</v>
      </c>
      <c r="B429" t="s">
        <v>61</v>
      </c>
      <c r="C429" s="2">
        <v>47299</v>
      </c>
      <c r="D429">
        <v>2029</v>
      </c>
      <c r="E429" t="s">
        <v>14</v>
      </c>
      <c r="F429" t="s">
        <v>8</v>
      </c>
      <c r="G429">
        <v>54032.531658887943</v>
      </c>
      <c r="H429">
        <v>50374.212926895103</v>
      </c>
      <c r="I429">
        <v>57875.602059976161</v>
      </c>
    </row>
    <row r="430" spans="1:9" x14ac:dyDescent="0.3">
      <c r="A430" t="s">
        <v>76</v>
      </c>
      <c r="B430" t="s">
        <v>61</v>
      </c>
      <c r="C430" s="2">
        <v>47483</v>
      </c>
      <c r="D430">
        <v>2029</v>
      </c>
      <c r="E430" t="s">
        <v>15</v>
      </c>
      <c r="F430" t="s">
        <v>8</v>
      </c>
      <c r="G430">
        <v>54520.179189933886</v>
      </c>
      <c r="H430">
        <v>50724.735518108806</v>
      </c>
      <c r="I430">
        <v>58508.259593249124</v>
      </c>
    </row>
    <row r="431" spans="1:9" x14ac:dyDescent="0.3">
      <c r="A431" t="s">
        <v>76</v>
      </c>
      <c r="B431" t="s">
        <v>61</v>
      </c>
      <c r="C431" s="2">
        <v>47664</v>
      </c>
      <c r="D431">
        <v>2030</v>
      </c>
      <c r="E431" t="s">
        <v>16</v>
      </c>
      <c r="F431" t="s">
        <v>8</v>
      </c>
      <c r="G431">
        <v>55362.507169224577</v>
      </c>
      <c r="H431">
        <v>51402.030340884601</v>
      </c>
      <c r="I431">
        <v>59525.778437065368</v>
      </c>
    </row>
    <row r="432" spans="1:9" x14ac:dyDescent="0.3">
      <c r="A432" t="s">
        <v>76</v>
      </c>
      <c r="B432" t="s">
        <v>61</v>
      </c>
      <c r="C432" s="2">
        <v>47848</v>
      </c>
      <c r="D432">
        <v>2030</v>
      </c>
      <c r="E432" t="s">
        <v>17</v>
      </c>
      <c r="F432" t="s">
        <v>8</v>
      </c>
      <c r="G432">
        <v>55989.645266493884</v>
      </c>
      <c r="H432">
        <v>51876.562021195532</v>
      </c>
      <c r="I432">
        <v>60314.498377038588</v>
      </c>
    </row>
    <row r="433" spans="1:9" x14ac:dyDescent="0.3">
      <c r="A433" t="s">
        <v>77</v>
      </c>
      <c r="B433" t="s">
        <v>62</v>
      </c>
      <c r="C433" s="2">
        <v>46203</v>
      </c>
      <c r="D433">
        <v>2026</v>
      </c>
      <c r="E433" t="s">
        <v>7</v>
      </c>
      <c r="F433" t="s">
        <v>8</v>
      </c>
      <c r="G433">
        <v>4633.6211657439417</v>
      </c>
      <c r="H433">
        <v>4263.2784623969783</v>
      </c>
      <c r="I433">
        <v>5143.0956614912157</v>
      </c>
    </row>
    <row r="434" spans="1:9" x14ac:dyDescent="0.3">
      <c r="A434" t="s">
        <v>77</v>
      </c>
      <c r="B434" t="s">
        <v>62</v>
      </c>
      <c r="C434" s="2">
        <v>46387</v>
      </c>
      <c r="D434">
        <v>2026</v>
      </c>
      <c r="E434" t="s">
        <v>9</v>
      </c>
      <c r="F434" t="s">
        <v>8</v>
      </c>
      <c r="G434">
        <v>4772.6298007162604</v>
      </c>
      <c r="H434">
        <v>4391.1768162688877</v>
      </c>
      <c r="I434">
        <v>5297.3885313359524</v>
      </c>
    </row>
    <row r="435" spans="1:9" x14ac:dyDescent="0.3">
      <c r="A435" t="s">
        <v>77</v>
      </c>
      <c r="B435" t="s">
        <v>62</v>
      </c>
      <c r="C435" s="2">
        <v>46568</v>
      </c>
      <c r="D435">
        <v>2027</v>
      </c>
      <c r="E435" t="s">
        <v>10</v>
      </c>
      <c r="F435" t="s">
        <v>8</v>
      </c>
      <c r="G435">
        <v>4915.8086947377487</v>
      </c>
      <c r="H435">
        <v>4522.9121207569542</v>
      </c>
      <c r="I435">
        <v>5456.3101872760308</v>
      </c>
    </row>
    <row r="436" spans="1:9" x14ac:dyDescent="0.3">
      <c r="A436" t="s">
        <v>77</v>
      </c>
      <c r="B436" t="s">
        <v>62</v>
      </c>
      <c r="C436" s="2">
        <v>46752</v>
      </c>
      <c r="D436">
        <v>2027</v>
      </c>
      <c r="E436" t="s">
        <v>11</v>
      </c>
      <c r="F436" t="s">
        <v>8</v>
      </c>
      <c r="G436">
        <v>5063.2829555798817</v>
      </c>
      <c r="H436">
        <v>4658.5994843796634</v>
      </c>
      <c r="I436">
        <v>5619.9994928943115</v>
      </c>
    </row>
    <row r="437" spans="1:9" x14ac:dyDescent="0.3">
      <c r="A437" t="s">
        <v>77</v>
      </c>
      <c r="B437" t="s">
        <v>62</v>
      </c>
      <c r="C437" s="2">
        <v>46934</v>
      </c>
      <c r="D437">
        <v>2028</v>
      </c>
      <c r="E437" t="s">
        <v>12</v>
      </c>
      <c r="F437" t="s">
        <v>8</v>
      </c>
      <c r="G437">
        <v>5215.1814442472787</v>
      </c>
      <c r="H437">
        <v>4798.3574689110537</v>
      </c>
      <c r="I437">
        <v>5788.5994776811413</v>
      </c>
    </row>
    <row r="438" spans="1:9" x14ac:dyDescent="0.3">
      <c r="A438" t="s">
        <v>77</v>
      </c>
      <c r="B438" t="s">
        <v>62</v>
      </c>
      <c r="C438" s="2">
        <v>47118</v>
      </c>
      <c r="D438">
        <v>2028</v>
      </c>
      <c r="E438" t="s">
        <v>13</v>
      </c>
      <c r="F438" t="s">
        <v>8</v>
      </c>
      <c r="G438">
        <v>5371.6368875746975</v>
      </c>
      <c r="H438">
        <v>4942.3081929783857</v>
      </c>
      <c r="I438">
        <v>5962.2574620115756</v>
      </c>
    </row>
    <row r="439" spans="1:9" x14ac:dyDescent="0.3">
      <c r="A439" t="s">
        <v>77</v>
      </c>
      <c r="B439" t="s">
        <v>62</v>
      </c>
      <c r="C439" s="2">
        <v>47299</v>
      </c>
      <c r="D439">
        <v>2029</v>
      </c>
      <c r="E439" t="s">
        <v>14</v>
      </c>
      <c r="F439" t="s">
        <v>8</v>
      </c>
      <c r="G439">
        <v>5532.7859942019386</v>
      </c>
      <c r="H439">
        <v>5090.5774387677375</v>
      </c>
      <c r="I439">
        <v>6141.1251858719233</v>
      </c>
    </row>
    <row r="440" spans="1:9" x14ac:dyDescent="0.3">
      <c r="A440" t="s">
        <v>77</v>
      </c>
      <c r="B440" t="s">
        <v>62</v>
      </c>
      <c r="C440" s="2">
        <v>47483</v>
      </c>
      <c r="D440">
        <v>2029</v>
      </c>
      <c r="E440" t="s">
        <v>15</v>
      </c>
      <c r="F440" t="s">
        <v>8</v>
      </c>
      <c r="G440">
        <v>5698.7695740279969</v>
      </c>
      <c r="H440">
        <v>5243.2947619307697</v>
      </c>
      <c r="I440">
        <v>6325.3589414480812</v>
      </c>
    </row>
    <row r="441" spans="1:9" x14ac:dyDescent="0.3">
      <c r="A441" t="s">
        <v>77</v>
      </c>
      <c r="B441" t="s">
        <v>62</v>
      </c>
      <c r="C441" s="2">
        <v>47664</v>
      </c>
      <c r="D441">
        <v>2030</v>
      </c>
      <c r="E441" t="s">
        <v>16</v>
      </c>
      <c r="F441" t="s">
        <v>8</v>
      </c>
      <c r="G441">
        <v>5869.7326612488368</v>
      </c>
      <c r="H441">
        <v>5400.5936047886926</v>
      </c>
      <c r="I441">
        <v>6515.1197096915239</v>
      </c>
    </row>
    <row r="442" spans="1:9" x14ac:dyDescent="0.3">
      <c r="A442" t="s">
        <v>77</v>
      </c>
      <c r="B442" t="s">
        <v>62</v>
      </c>
      <c r="C442" s="2">
        <v>47848</v>
      </c>
      <c r="D442">
        <v>2030</v>
      </c>
      <c r="E442" t="s">
        <v>17</v>
      </c>
      <c r="F442" t="s">
        <v>8</v>
      </c>
      <c r="G442">
        <v>6045.8246410863021</v>
      </c>
      <c r="H442">
        <v>5562.6114129323532</v>
      </c>
      <c r="I442">
        <v>6710.5733009822698</v>
      </c>
    </row>
    <row r="443" spans="1:9" x14ac:dyDescent="0.3">
      <c r="A443">
        <v>14.3</v>
      </c>
      <c r="B443" t="s">
        <v>61</v>
      </c>
      <c r="C443" s="2">
        <v>46203</v>
      </c>
      <c r="D443">
        <v>2026</v>
      </c>
      <c r="E443" t="s">
        <v>7</v>
      </c>
      <c r="F443" t="s">
        <v>27</v>
      </c>
      <c r="G443">
        <v>53184.163304725829</v>
      </c>
      <c r="H443">
        <v>50081.414848975357</v>
      </c>
      <c r="I443">
        <v>56552.414086080753</v>
      </c>
    </row>
    <row r="444" spans="1:9" x14ac:dyDescent="0.3">
      <c r="A444">
        <v>14.3</v>
      </c>
      <c r="B444" t="s">
        <v>61</v>
      </c>
      <c r="C444" s="2">
        <v>46387</v>
      </c>
      <c r="D444">
        <v>2026</v>
      </c>
      <c r="E444" t="s">
        <v>9</v>
      </c>
      <c r="F444" t="s">
        <v>27</v>
      </c>
      <c r="G444">
        <v>53526.535975186511</v>
      </c>
      <c r="H444">
        <v>50310.440217615651</v>
      </c>
      <c r="I444">
        <v>57034.506789580322</v>
      </c>
    </row>
    <row r="445" spans="1:9" x14ac:dyDescent="0.3">
      <c r="A445">
        <v>14.3</v>
      </c>
      <c r="B445" t="s">
        <v>61</v>
      </c>
      <c r="C445" s="2">
        <v>46568</v>
      </c>
      <c r="D445">
        <v>2027</v>
      </c>
      <c r="E445" t="s">
        <v>10</v>
      </c>
      <c r="F445" t="s">
        <v>27</v>
      </c>
      <c r="G445">
        <v>53873.065912246195</v>
      </c>
      <c r="H445">
        <v>50534.43164683941</v>
      </c>
      <c r="I445">
        <v>57514.56106805458</v>
      </c>
    </row>
    <row r="446" spans="1:9" x14ac:dyDescent="0.3">
      <c r="A446">
        <v>14.3</v>
      </c>
      <c r="B446" t="s">
        <v>61</v>
      </c>
      <c r="C446" s="2">
        <v>46752</v>
      </c>
      <c r="D446">
        <v>2027</v>
      </c>
      <c r="E446" t="s">
        <v>11</v>
      </c>
      <c r="F446" t="s">
        <v>27</v>
      </c>
      <c r="G446">
        <v>54215.88309044324</v>
      </c>
      <c r="H446">
        <v>50753.287504158223</v>
      </c>
      <c r="I446">
        <v>57992.462157122616</v>
      </c>
    </row>
    <row r="447" spans="1:9" x14ac:dyDescent="0.3">
      <c r="A447">
        <v>14.3</v>
      </c>
      <c r="B447" t="s">
        <v>61</v>
      </c>
      <c r="C447" s="2">
        <v>46934</v>
      </c>
      <c r="D447">
        <v>2028</v>
      </c>
      <c r="E447" t="s">
        <v>12</v>
      </c>
      <c r="F447" t="s">
        <v>27</v>
      </c>
      <c r="G447">
        <v>54554.876127011761</v>
      </c>
      <c r="H447">
        <v>50966.903108108992</v>
      </c>
      <c r="I447">
        <v>58468.091849472083</v>
      </c>
    </row>
    <row r="448" spans="1:9" x14ac:dyDescent="0.3">
      <c r="A448">
        <v>14.3</v>
      </c>
      <c r="B448" t="s">
        <v>61</v>
      </c>
      <c r="C448" s="2">
        <v>47118</v>
      </c>
      <c r="D448">
        <v>2028</v>
      </c>
      <c r="E448" t="s">
        <v>13</v>
      </c>
      <c r="F448" t="s">
        <v>27</v>
      </c>
      <c r="G448">
        <v>54889.930297702944</v>
      </c>
      <c r="H448">
        <v>51175.17063678478</v>
      </c>
      <c r="I448">
        <v>58941.328391571289</v>
      </c>
    </row>
    <row r="449" spans="1:9" x14ac:dyDescent="0.3">
      <c r="A449">
        <v>14.3</v>
      </c>
      <c r="B449" t="s">
        <v>61</v>
      </c>
      <c r="C449" s="2">
        <v>47299</v>
      </c>
      <c r="D449">
        <v>2029</v>
      </c>
      <c r="E449" t="s">
        <v>14</v>
      </c>
      <c r="F449" t="s">
        <v>27</v>
      </c>
      <c r="G449">
        <v>55220.927436540442</v>
      </c>
      <c r="H449">
        <v>51377.979033621363</v>
      </c>
      <c r="I449">
        <v>59412.04637728259</v>
      </c>
    </row>
    <row r="450" spans="1:9" x14ac:dyDescent="0.3">
      <c r="A450">
        <v>14.3</v>
      </c>
      <c r="B450" t="s">
        <v>61</v>
      </c>
      <c r="C450" s="2">
        <v>47483</v>
      </c>
      <c r="D450">
        <v>2029</v>
      </c>
      <c r="E450" t="s">
        <v>15</v>
      </c>
      <c r="F450" t="s">
        <v>27</v>
      </c>
      <c r="G450">
        <v>55547.745832568638</v>
      </c>
      <c r="H450">
        <v>51575.213910357692</v>
      </c>
      <c r="I450">
        <v>59880.116638284191</v>
      </c>
    </row>
    <row r="451" spans="1:9" x14ac:dyDescent="0.3">
      <c r="A451">
        <v>14.3</v>
      </c>
      <c r="B451" t="s">
        <v>61</v>
      </c>
      <c r="C451" s="2">
        <v>47664</v>
      </c>
      <c r="D451">
        <v>2030</v>
      </c>
      <c r="E451" t="s">
        <v>16</v>
      </c>
      <c r="F451" t="s">
        <v>27</v>
      </c>
      <c r="G451">
        <v>55870.260123503278</v>
      </c>
      <c r="H451">
        <v>51766.757447084776</v>
      </c>
      <c r="I451">
        <v>60345.406131204654</v>
      </c>
    </row>
    <row r="452" spans="1:9" x14ac:dyDescent="0.3">
      <c r="A452">
        <v>14.3</v>
      </c>
      <c r="B452" t="s">
        <v>61</v>
      </c>
      <c r="C452" s="2">
        <v>47848</v>
      </c>
      <c r="D452">
        <v>2030</v>
      </c>
      <c r="E452" t="s">
        <v>17</v>
      </c>
      <c r="F452" t="s">
        <v>27</v>
      </c>
      <c r="G452">
        <v>56188.341186191523</v>
      </c>
      <c r="H452">
        <v>51952.488289296452</v>
      </c>
      <c r="I452">
        <v>60807.777821371405</v>
      </c>
    </row>
    <row r="453" spans="1:9" x14ac:dyDescent="0.3">
      <c r="A453">
        <v>14.4</v>
      </c>
      <c r="B453" t="s">
        <v>62</v>
      </c>
      <c r="C453" s="2">
        <v>46203</v>
      </c>
      <c r="D453">
        <v>2026</v>
      </c>
      <c r="E453" t="s">
        <v>7</v>
      </c>
      <c r="F453" t="s">
        <v>27</v>
      </c>
      <c r="G453">
        <v>3997.37172978836</v>
      </c>
      <c r="H453">
        <v>3764.1662379467821</v>
      </c>
      <c r="I453">
        <v>4250.5326261078344</v>
      </c>
    </row>
    <row r="454" spans="1:9" x14ac:dyDescent="0.3">
      <c r="A454">
        <v>14.4</v>
      </c>
      <c r="B454" t="s">
        <v>62</v>
      </c>
      <c r="C454" s="2">
        <v>46387</v>
      </c>
      <c r="D454">
        <v>2026</v>
      </c>
      <c r="E454" t="s">
        <v>9</v>
      </c>
      <c r="F454" t="s">
        <v>27</v>
      </c>
      <c r="G454">
        <v>4125.2876251415873</v>
      </c>
      <c r="H454">
        <v>3877.0912250851857</v>
      </c>
      <c r="I454">
        <v>4378.0486048910698</v>
      </c>
    </row>
    <row r="455" spans="1:9" x14ac:dyDescent="0.3">
      <c r="A455">
        <v>14.4</v>
      </c>
      <c r="B455" t="s">
        <v>62</v>
      </c>
      <c r="C455" s="2">
        <v>46568</v>
      </c>
      <c r="D455">
        <v>2027</v>
      </c>
      <c r="E455" t="s">
        <v>10</v>
      </c>
      <c r="F455" t="s">
        <v>27</v>
      </c>
      <c r="G455">
        <v>4249.0462538958354</v>
      </c>
      <c r="H455">
        <v>3993.4039618377415</v>
      </c>
      <c r="I455">
        <v>4509.3900630378021</v>
      </c>
    </row>
    <row r="456" spans="1:9" x14ac:dyDescent="0.3">
      <c r="A456">
        <v>14.4</v>
      </c>
      <c r="B456" t="s">
        <v>62</v>
      </c>
      <c r="C456" s="2">
        <v>46752</v>
      </c>
      <c r="D456">
        <v>2027</v>
      </c>
      <c r="E456" t="s">
        <v>11</v>
      </c>
      <c r="F456" t="s">
        <v>27</v>
      </c>
      <c r="G456">
        <v>4376.5176415127107</v>
      </c>
      <c r="H456">
        <v>4113.2060806928739</v>
      </c>
      <c r="I456">
        <v>4644.6717649289367</v>
      </c>
    </row>
    <row r="457" spans="1:9" x14ac:dyDescent="0.3">
      <c r="A457">
        <v>14.4</v>
      </c>
      <c r="B457" t="s">
        <v>62</v>
      </c>
      <c r="C457" s="2">
        <v>46934</v>
      </c>
      <c r="D457">
        <v>2028</v>
      </c>
      <c r="E457" t="s">
        <v>12</v>
      </c>
      <c r="F457" t="s">
        <v>27</v>
      </c>
      <c r="G457">
        <v>4507.8131707580924</v>
      </c>
      <c r="H457">
        <v>4236.6022631136602</v>
      </c>
      <c r="I457">
        <v>4784.0119178768045</v>
      </c>
    </row>
    <row r="458" spans="1:9" x14ac:dyDescent="0.3">
      <c r="A458">
        <v>14.4</v>
      </c>
      <c r="B458" t="s">
        <v>62</v>
      </c>
      <c r="C458" s="2">
        <v>47118</v>
      </c>
      <c r="D458">
        <v>2028</v>
      </c>
      <c r="E458" t="s">
        <v>13</v>
      </c>
      <c r="F458" t="s">
        <v>27</v>
      </c>
      <c r="G458">
        <v>4643.0475658808355</v>
      </c>
      <c r="H458">
        <v>4363.7003310070704</v>
      </c>
      <c r="I458">
        <v>4927.5322754131084</v>
      </c>
    </row>
    <row r="459" spans="1:9" x14ac:dyDescent="0.3">
      <c r="A459">
        <v>14.4</v>
      </c>
      <c r="B459" t="s">
        <v>62</v>
      </c>
      <c r="C459" s="2">
        <v>47299</v>
      </c>
      <c r="D459">
        <v>2029</v>
      </c>
      <c r="E459" t="s">
        <v>14</v>
      </c>
      <c r="F459" t="s">
        <v>27</v>
      </c>
      <c r="G459">
        <v>4782.3389928572606</v>
      </c>
      <c r="H459">
        <v>4494.6113409372829</v>
      </c>
      <c r="I459">
        <v>5075.3582436755014</v>
      </c>
    </row>
    <row r="460" spans="1:9" x14ac:dyDescent="0.3">
      <c r="A460">
        <v>14.4</v>
      </c>
      <c r="B460" t="s">
        <v>62</v>
      </c>
      <c r="C460" s="2">
        <v>47483</v>
      </c>
      <c r="D460">
        <v>2029</v>
      </c>
      <c r="E460" t="s">
        <v>15</v>
      </c>
      <c r="F460" t="s">
        <v>27</v>
      </c>
      <c r="G460">
        <v>4925.8091626429787</v>
      </c>
      <c r="H460">
        <v>4629.4496811654017</v>
      </c>
      <c r="I460">
        <v>5227.6189909857667</v>
      </c>
    </row>
    <row r="461" spans="1:9" x14ac:dyDescent="0.3">
      <c r="A461">
        <v>14.4</v>
      </c>
      <c r="B461" t="s">
        <v>62</v>
      </c>
      <c r="C461" s="2">
        <v>47664</v>
      </c>
      <c r="D461">
        <v>2030</v>
      </c>
      <c r="E461" t="s">
        <v>16</v>
      </c>
      <c r="F461" t="s">
        <v>27</v>
      </c>
      <c r="G461">
        <v>5073.5834375222685</v>
      </c>
      <c r="H461">
        <v>4768.333171600364</v>
      </c>
      <c r="I461">
        <v>5384.4475607153399</v>
      </c>
    </row>
    <row r="462" spans="1:9" x14ac:dyDescent="0.3">
      <c r="A462">
        <v>14.4</v>
      </c>
      <c r="B462" t="s">
        <v>62</v>
      </c>
      <c r="C462" s="2">
        <v>47848</v>
      </c>
      <c r="D462">
        <v>2030</v>
      </c>
      <c r="E462" t="s">
        <v>17</v>
      </c>
      <c r="F462" t="s">
        <v>27</v>
      </c>
      <c r="G462">
        <v>5225.7909406479366</v>
      </c>
      <c r="H462">
        <v>4911.3831667483755</v>
      </c>
      <c r="I462">
        <v>5545.9809875368001</v>
      </c>
    </row>
    <row r="463" spans="1:9" x14ac:dyDescent="0.3">
      <c r="A463" t="s">
        <v>71</v>
      </c>
      <c r="B463" t="s">
        <v>6</v>
      </c>
      <c r="C463" s="2">
        <v>46203</v>
      </c>
      <c r="D463">
        <v>2026</v>
      </c>
      <c r="E463" t="s">
        <v>7</v>
      </c>
      <c r="F463" t="s">
        <v>82</v>
      </c>
      <c r="G463">
        <v>55171.105118790183</v>
      </c>
      <c r="H463">
        <v>51952.439061592617</v>
      </c>
      <c r="I463">
        <v>58665.192575987538</v>
      </c>
    </row>
    <row r="464" spans="1:9" x14ac:dyDescent="0.3">
      <c r="A464" t="s">
        <v>74</v>
      </c>
      <c r="B464" t="s">
        <v>57</v>
      </c>
      <c r="C464" s="2">
        <v>46203</v>
      </c>
      <c r="D464">
        <v>2026</v>
      </c>
      <c r="E464" t="s">
        <v>7</v>
      </c>
      <c r="F464" t="s">
        <v>82</v>
      </c>
      <c r="G464">
        <v>12374.93665244013</v>
      </c>
      <c r="H464">
        <v>11652.986485275311</v>
      </c>
      <c r="I464">
        <v>13158.66412804179</v>
      </c>
    </row>
    <row r="465" spans="1:9" x14ac:dyDescent="0.3">
      <c r="A465" t="s">
        <v>75</v>
      </c>
      <c r="B465" t="s">
        <v>58</v>
      </c>
      <c r="C465" s="2">
        <v>46203</v>
      </c>
      <c r="D465">
        <v>2026</v>
      </c>
      <c r="E465" t="s">
        <v>7</v>
      </c>
      <c r="F465" t="s">
        <v>82</v>
      </c>
      <c r="G465">
        <v>42796.34744803737</v>
      </c>
      <c r="H465">
        <v>40299.621116265618</v>
      </c>
      <c r="I465">
        <v>45506.718764872203</v>
      </c>
    </row>
    <row r="466" spans="1:9" x14ac:dyDescent="0.3">
      <c r="A466" t="s">
        <v>72</v>
      </c>
      <c r="B466" t="s">
        <v>59</v>
      </c>
      <c r="C466" s="2">
        <v>46203</v>
      </c>
      <c r="D466">
        <v>2026</v>
      </c>
      <c r="E466" t="s">
        <v>7</v>
      </c>
      <c r="F466" t="s">
        <v>82</v>
      </c>
      <c r="G466">
        <v>8608.43195696976</v>
      </c>
      <c r="H466">
        <v>8106.218566718916</v>
      </c>
      <c r="I466">
        <v>9153.6197697246807</v>
      </c>
    </row>
    <row r="467" spans="1:9" x14ac:dyDescent="0.3">
      <c r="A467" t="s">
        <v>73</v>
      </c>
      <c r="B467" t="s">
        <v>60</v>
      </c>
      <c r="C467" s="2">
        <v>46203</v>
      </c>
      <c r="D467">
        <v>2026</v>
      </c>
      <c r="E467" t="s">
        <v>7</v>
      </c>
      <c r="F467" t="s">
        <v>82</v>
      </c>
      <c r="G467">
        <v>46562.673161820421</v>
      </c>
      <c r="H467">
        <v>43846.220494873713</v>
      </c>
      <c r="I467">
        <v>49511.57280626287</v>
      </c>
    </row>
    <row r="468" spans="1:9" x14ac:dyDescent="0.3">
      <c r="A468" t="s">
        <v>71</v>
      </c>
      <c r="B468" t="s">
        <v>6</v>
      </c>
      <c r="C468" s="2">
        <v>46387</v>
      </c>
      <c r="D468">
        <v>2026</v>
      </c>
      <c r="E468" t="s">
        <v>9</v>
      </c>
      <c r="F468" t="s">
        <v>82</v>
      </c>
      <c r="G468">
        <v>55967.26459514397</v>
      </c>
      <c r="H468">
        <v>52604.197415085087</v>
      </c>
      <c r="I468">
        <v>59618.109585812912</v>
      </c>
    </row>
    <row r="469" spans="1:9" x14ac:dyDescent="0.3">
      <c r="A469" t="s">
        <v>74</v>
      </c>
      <c r="B469" t="s">
        <v>57</v>
      </c>
      <c r="C469" s="2">
        <v>46387</v>
      </c>
      <c r="D469">
        <v>2026</v>
      </c>
      <c r="E469" t="s">
        <v>9</v>
      </c>
      <c r="F469" t="s">
        <v>82</v>
      </c>
      <c r="G469">
        <v>12553.516056711709</v>
      </c>
      <c r="H469">
        <v>11799.176566474551</v>
      </c>
      <c r="I469">
        <v>13372.40441122501</v>
      </c>
    </row>
    <row r="470" spans="1:9" x14ac:dyDescent="0.3">
      <c r="A470" t="s">
        <v>75</v>
      </c>
      <c r="B470" t="s">
        <v>58</v>
      </c>
      <c r="C470" s="2">
        <v>46387</v>
      </c>
      <c r="D470">
        <v>2026</v>
      </c>
      <c r="E470" t="s">
        <v>9</v>
      </c>
      <c r="F470" t="s">
        <v>82</v>
      </c>
      <c r="G470">
        <v>43413.930102956503</v>
      </c>
      <c r="H470">
        <v>40805.191502941168</v>
      </c>
      <c r="I470">
        <v>46245.898582891503</v>
      </c>
    </row>
    <row r="471" spans="1:9" x14ac:dyDescent="0.3">
      <c r="A471" t="s">
        <v>72</v>
      </c>
      <c r="B471" t="s">
        <v>59</v>
      </c>
      <c r="C471" s="2">
        <v>46387</v>
      </c>
      <c r="D471">
        <v>2026</v>
      </c>
      <c r="E471" t="s">
        <v>9</v>
      </c>
      <c r="F471" t="s">
        <v>82</v>
      </c>
      <c r="G471">
        <v>8732.6579383839708</v>
      </c>
      <c r="H471">
        <v>8207.9134199640375</v>
      </c>
      <c r="I471">
        <v>9302.3048689638272</v>
      </c>
    </row>
    <row r="472" spans="1:9" x14ac:dyDescent="0.3">
      <c r="A472" t="s">
        <v>73</v>
      </c>
      <c r="B472" t="s">
        <v>60</v>
      </c>
      <c r="C472" s="2">
        <v>46387</v>
      </c>
      <c r="D472">
        <v>2026</v>
      </c>
      <c r="E472" t="s">
        <v>9</v>
      </c>
      <c r="F472" t="s">
        <v>82</v>
      </c>
      <c r="G472">
        <v>47234.606656760006</v>
      </c>
      <c r="H472">
        <v>44396.283995121063</v>
      </c>
      <c r="I472">
        <v>50315.804716849103</v>
      </c>
    </row>
    <row r="473" spans="1:9" x14ac:dyDescent="0.3">
      <c r="A473" t="s">
        <v>71</v>
      </c>
      <c r="B473" t="s">
        <v>6</v>
      </c>
      <c r="C473" s="2">
        <v>46568</v>
      </c>
      <c r="D473">
        <v>2027</v>
      </c>
      <c r="E473" t="s">
        <v>10</v>
      </c>
      <c r="F473" t="s">
        <v>82</v>
      </c>
      <c r="G473">
        <v>56889.849334480503</v>
      </c>
      <c r="H473">
        <v>53371.776019523677</v>
      </c>
      <c r="I473">
        <v>60708.964342016967</v>
      </c>
    </row>
    <row r="474" spans="1:9" x14ac:dyDescent="0.3">
      <c r="A474" t="s">
        <v>74</v>
      </c>
      <c r="B474" t="s">
        <v>57</v>
      </c>
      <c r="C474" s="2">
        <v>46568</v>
      </c>
      <c r="D474">
        <v>2027</v>
      </c>
      <c r="E474" t="s">
        <v>10</v>
      </c>
      <c r="F474" t="s">
        <v>82</v>
      </c>
      <c r="G474">
        <v>12760.45277986082</v>
      </c>
      <c r="H474">
        <v>11971.34525124611</v>
      </c>
      <c r="I474">
        <v>13617.08427536717</v>
      </c>
    </row>
    <row r="475" spans="1:9" x14ac:dyDescent="0.3">
      <c r="A475" t="s">
        <v>75</v>
      </c>
      <c r="B475" t="s">
        <v>58</v>
      </c>
      <c r="C475" s="2">
        <v>46568</v>
      </c>
      <c r="D475">
        <v>2027</v>
      </c>
      <c r="E475" t="s">
        <v>10</v>
      </c>
      <c r="F475" t="s">
        <v>82</v>
      </c>
      <c r="G475">
        <v>44129.581112119551</v>
      </c>
      <c r="H475">
        <v>41400.603912725317</v>
      </c>
      <c r="I475">
        <v>47092.077013817172</v>
      </c>
    </row>
    <row r="476" spans="1:9" x14ac:dyDescent="0.3">
      <c r="A476" t="s">
        <v>72</v>
      </c>
      <c r="B476" t="s">
        <v>59</v>
      </c>
      <c r="C476" s="2">
        <v>46568</v>
      </c>
      <c r="D476">
        <v>2027</v>
      </c>
      <c r="E476" t="s">
        <v>10</v>
      </c>
      <c r="F476" t="s">
        <v>82</v>
      </c>
      <c r="G476">
        <v>8876.6102470429523</v>
      </c>
      <c r="H476">
        <v>8327.6798841975942</v>
      </c>
      <c r="I476">
        <v>9472.5126058489332</v>
      </c>
    </row>
    <row r="477" spans="1:9" x14ac:dyDescent="0.3">
      <c r="A477" t="s">
        <v>73</v>
      </c>
      <c r="B477" t="s">
        <v>60</v>
      </c>
      <c r="C477" s="2">
        <v>46568</v>
      </c>
      <c r="D477">
        <v>2027</v>
      </c>
      <c r="E477" t="s">
        <v>10</v>
      </c>
      <c r="F477" t="s">
        <v>82</v>
      </c>
      <c r="G477">
        <v>48013.239087437563</v>
      </c>
      <c r="H477">
        <v>45044.096135326086</v>
      </c>
      <c r="I477">
        <v>51236.451736168048</v>
      </c>
    </row>
    <row r="478" spans="1:9" x14ac:dyDescent="0.3">
      <c r="A478" t="s">
        <v>71</v>
      </c>
      <c r="B478" t="s">
        <v>6</v>
      </c>
      <c r="C478" s="2">
        <v>46752</v>
      </c>
      <c r="D478">
        <v>2027</v>
      </c>
      <c r="E478" t="s">
        <v>11</v>
      </c>
      <c r="F478" t="s">
        <v>82</v>
      </c>
      <c r="G478">
        <v>57951.82222692357</v>
      </c>
      <c r="H478">
        <v>54266.649646082697</v>
      </c>
      <c r="I478">
        <v>61952.335192078754</v>
      </c>
    </row>
    <row r="479" spans="1:9" x14ac:dyDescent="0.3">
      <c r="A479" t="s">
        <v>74</v>
      </c>
      <c r="B479" t="s">
        <v>57</v>
      </c>
      <c r="C479" s="2">
        <v>46752</v>
      </c>
      <c r="D479">
        <v>2027</v>
      </c>
      <c r="E479" t="s">
        <v>11</v>
      </c>
      <c r="F479" t="s">
        <v>82</v>
      </c>
      <c r="G479">
        <v>12998.65441171677</v>
      </c>
      <c r="H479">
        <v>12172.066342780599</v>
      </c>
      <c r="I479">
        <v>13895.973659074019</v>
      </c>
    </row>
    <row r="480" spans="1:9" x14ac:dyDescent="0.3">
      <c r="A480" t="s">
        <v>75</v>
      </c>
      <c r="B480" t="s">
        <v>58</v>
      </c>
      <c r="C480" s="2">
        <v>46752</v>
      </c>
      <c r="D480">
        <v>2027</v>
      </c>
      <c r="E480" t="s">
        <v>11</v>
      </c>
      <c r="F480" t="s">
        <v>82</v>
      </c>
      <c r="G480">
        <v>44953.35581787421</v>
      </c>
      <c r="H480">
        <v>42094.75935082732</v>
      </c>
      <c r="I480">
        <v>48056.562513816389</v>
      </c>
    </row>
    <row r="481" spans="1:9" x14ac:dyDescent="0.3">
      <c r="A481" t="s">
        <v>72</v>
      </c>
      <c r="B481" t="s">
        <v>59</v>
      </c>
      <c r="C481" s="2">
        <v>46752</v>
      </c>
      <c r="D481">
        <v>2027</v>
      </c>
      <c r="E481" t="s">
        <v>11</v>
      </c>
      <c r="F481" t="s">
        <v>82</v>
      </c>
      <c r="G481">
        <v>9042.3115025291136</v>
      </c>
      <c r="H481">
        <v>8467.3083855251225</v>
      </c>
      <c r="I481">
        <v>9666.5176622455838</v>
      </c>
    </row>
    <row r="482" spans="1:9" x14ac:dyDescent="0.3">
      <c r="A482" t="s">
        <v>73</v>
      </c>
      <c r="B482" t="s">
        <v>60</v>
      </c>
      <c r="C482" s="2">
        <v>46752</v>
      </c>
      <c r="D482">
        <v>2027</v>
      </c>
      <c r="E482" t="s">
        <v>11</v>
      </c>
      <c r="F482" t="s">
        <v>82</v>
      </c>
      <c r="G482">
        <v>48909.510724394473</v>
      </c>
      <c r="H482">
        <v>45799.341260557587</v>
      </c>
      <c r="I482">
        <v>52285.817529833177</v>
      </c>
    </row>
    <row r="483" spans="1:9" x14ac:dyDescent="0.3">
      <c r="A483" t="s">
        <v>71</v>
      </c>
      <c r="B483" t="s">
        <v>6</v>
      </c>
      <c r="C483" s="2">
        <v>46934</v>
      </c>
      <c r="D483">
        <v>2028</v>
      </c>
      <c r="E483" t="s">
        <v>12</v>
      </c>
      <c r="F483" t="s">
        <v>82</v>
      </c>
      <c r="G483">
        <v>59166.789232411807</v>
      </c>
      <c r="H483">
        <v>55300.803367122877</v>
      </c>
      <c r="I483">
        <v>63363.587682938152</v>
      </c>
    </row>
    <row r="484" spans="1:9" x14ac:dyDescent="0.3">
      <c r="A484" t="s">
        <v>74</v>
      </c>
      <c r="B484" t="s">
        <v>57</v>
      </c>
      <c r="C484" s="2">
        <v>46934</v>
      </c>
      <c r="D484">
        <v>2028</v>
      </c>
      <c r="E484" t="s">
        <v>12</v>
      </c>
      <c r="F484" t="s">
        <v>82</v>
      </c>
      <c r="G484">
        <v>13271.172783341721</v>
      </c>
      <c r="H484">
        <v>12404.028105359081</v>
      </c>
      <c r="I484">
        <v>14212.51907061473</v>
      </c>
    </row>
    <row r="485" spans="1:9" x14ac:dyDescent="0.3">
      <c r="A485" t="s">
        <v>75</v>
      </c>
      <c r="B485" t="s">
        <v>58</v>
      </c>
      <c r="C485" s="2">
        <v>46934</v>
      </c>
      <c r="D485">
        <v>2028</v>
      </c>
      <c r="E485" t="s">
        <v>12</v>
      </c>
      <c r="F485" t="s">
        <v>82</v>
      </c>
      <c r="G485">
        <v>45895.808393236301</v>
      </c>
      <c r="H485">
        <v>42896.954664207813</v>
      </c>
      <c r="I485">
        <v>49151.274171407553</v>
      </c>
    </row>
    <row r="486" spans="1:9" x14ac:dyDescent="0.3">
      <c r="A486" t="s">
        <v>72</v>
      </c>
      <c r="B486" t="s">
        <v>59</v>
      </c>
      <c r="C486" s="2">
        <v>46934</v>
      </c>
      <c r="D486">
        <v>2028</v>
      </c>
      <c r="E486" t="s">
        <v>12</v>
      </c>
      <c r="F486" t="s">
        <v>82</v>
      </c>
      <c r="G486">
        <v>9231.8846635921273</v>
      </c>
      <c r="H486">
        <v>8628.6689731271545</v>
      </c>
      <c r="I486">
        <v>9886.7175479558591</v>
      </c>
    </row>
    <row r="487" spans="1:9" x14ac:dyDescent="0.3">
      <c r="A487" t="s">
        <v>73</v>
      </c>
      <c r="B487" t="s">
        <v>60</v>
      </c>
      <c r="C487" s="2">
        <v>46934</v>
      </c>
      <c r="D487">
        <v>2028</v>
      </c>
      <c r="E487" t="s">
        <v>12</v>
      </c>
      <c r="F487" t="s">
        <v>82</v>
      </c>
      <c r="G487">
        <v>49934.904568819693</v>
      </c>
      <c r="H487">
        <v>46672.134393995737</v>
      </c>
      <c r="I487">
        <v>53476.870134982288</v>
      </c>
    </row>
    <row r="488" spans="1:9" x14ac:dyDescent="0.3">
      <c r="A488" t="s">
        <v>71</v>
      </c>
      <c r="B488" t="s">
        <v>6</v>
      </c>
      <c r="C488" s="2">
        <v>47118</v>
      </c>
      <c r="D488">
        <v>2028</v>
      </c>
      <c r="E488" t="s">
        <v>13</v>
      </c>
      <c r="F488" t="s">
        <v>82</v>
      </c>
      <c r="G488">
        <v>60548.99938069874</v>
      </c>
      <c r="H488">
        <v>56486.726928715732</v>
      </c>
      <c r="I488">
        <v>64958.880670014812</v>
      </c>
    </row>
    <row r="489" spans="1:9" x14ac:dyDescent="0.3">
      <c r="A489" t="s">
        <v>74</v>
      </c>
      <c r="B489" t="s">
        <v>57</v>
      </c>
      <c r="C489" s="2">
        <v>47118</v>
      </c>
      <c r="D489">
        <v>2028</v>
      </c>
      <c r="E489" t="s">
        <v>13</v>
      </c>
      <c r="F489" t="s">
        <v>82</v>
      </c>
      <c r="G489">
        <v>13581.203967030749</v>
      </c>
      <c r="H489">
        <v>12670.03200210447</v>
      </c>
      <c r="I489">
        <v>14570.344958181229</v>
      </c>
    </row>
    <row r="490" spans="1:9" x14ac:dyDescent="0.3">
      <c r="A490" t="s">
        <v>75</v>
      </c>
      <c r="B490" t="s">
        <v>58</v>
      </c>
      <c r="C490" s="2">
        <v>47118</v>
      </c>
      <c r="D490">
        <v>2028</v>
      </c>
      <c r="E490" t="s">
        <v>13</v>
      </c>
      <c r="F490" t="s">
        <v>82</v>
      </c>
      <c r="G490">
        <v>46967.991841889823</v>
      </c>
      <c r="H490">
        <v>43816.878176333659</v>
      </c>
      <c r="I490">
        <v>50388.746446239653</v>
      </c>
    </row>
    <row r="491" spans="1:9" x14ac:dyDescent="0.3">
      <c r="A491" t="s">
        <v>72</v>
      </c>
      <c r="B491" t="s">
        <v>59</v>
      </c>
      <c r="C491" s="2">
        <v>47118</v>
      </c>
      <c r="D491">
        <v>2028</v>
      </c>
      <c r="E491" t="s">
        <v>13</v>
      </c>
      <c r="F491" t="s">
        <v>82</v>
      </c>
      <c r="G491">
        <v>9447.5530281489318</v>
      </c>
      <c r="H491">
        <v>8813.7104411955952</v>
      </c>
      <c r="I491">
        <v>10135.633553917891</v>
      </c>
    </row>
    <row r="492" spans="1:9" x14ac:dyDescent="0.3">
      <c r="A492" t="s">
        <v>73</v>
      </c>
      <c r="B492" t="s">
        <v>60</v>
      </c>
      <c r="C492" s="2">
        <v>47118</v>
      </c>
      <c r="D492">
        <v>2028</v>
      </c>
      <c r="E492" t="s">
        <v>13</v>
      </c>
      <c r="F492" t="s">
        <v>82</v>
      </c>
      <c r="G492">
        <v>51101.446352549807</v>
      </c>
      <c r="H492">
        <v>47673.016487520137</v>
      </c>
      <c r="I492">
        <v>54823.247116096944</v>
      </c>
    </row>
    <row r="493" spans="1:9" x14ac:dyDescent="0.3">
      <c r="A493" t="s">
        <v>71</v>
      </c>
      <c r="B493" t="s">
        <v>6</v>
      </c>
      <c r="C493" s="2">
        <v>47299</v>
      </c>
      <c r="D493">
        <v>2029</v>
      </c>
      <c r="E493" t="s">
        <v>14</v>
      </c>
      <c r="F493" t="s">
        <v>82</v>
      </c>
      <c r="G493">
        <v>62113.344771352698</v>
      </c>
      <c r="H493">
        <v>57837.409123167949</v>
      </c>
      <c r="I493">
        <v>66755.172426227189</v>
      </c>
    </row>
    <row r="494" spans="1:9" x14ac:dyDescent="0.3">
      <c r="A494" t="s">
        <v>74</v>
      </c>
      <c r="B494" t="s">
        <v>57</v>
      </c>
      <c r="C494" s="2">
        <v>47299</v>
      </c>
      <c r="D494">
        <v>2029</v>
      </c>
      <c r="E494" t="s">
        <v>14</v>
      </c>
      <c r="F494" t="s">
        <v>82</v>
      </c>
      <c r="G494">
        <v>13932.08827631181</v>
      </c>
      <c r="H494">
        <v>12972.99143273281</v>
      </c>
      <c r="I494">
        <v>14973.255080147561</v>
      </c>
    </row>
    <row r="495" spans="1:9" x14ac:dyDescent="0.3">
      <c r="A495" t="s">
        <v>75</v>
      </c>
      <c r="B495" t="s">
        <v>58</v>
      </c>
      <c r="C495" s="2">
        <v>47299</v>
      </c>
      <c r="D495">
        <v>2029</v>
      </c>
      <c r="E495" t="s">
        <v>14</v>
      </c>
      <c r="F495" t="s">
        <v>82</v>
      </c>
      <c r="G495">
        <v>48181.457998186939</v>
      </c>
      <c r="H495">
        <v>44864.6053219327</v>
      </c>
      <c r="I495">
        <v>51782.133907871772</v>
      </c>
    </row>
    <row r="496" spans="1:9" x14ac:dyDescent="0.3">
      <c r="A496" t="s">
        <v>72</v>
      </c>
      <c r="B496" t="s">
        <v>59</v>
      </c>
      <c r="C496" s="2">
        <v>47299</v>
      </c>
      <c r="D496">
        <v>2029</v>
      </c>
      <c r="E496" t="s">
        <v>14</v>
      </c>
      <c r="F496" t="s">
        <v>82</v>
      </c>
      <c r="G496">
        <v>9691.6402332837351</v>
      </c>
      <c r="H496">
        <v>9024.459450870092</v>
      </c>
      <c r="I496">
        <v>10415.91170540544</v>
      </c>
    </row>
    <row r="497" spans="1:9" x14ac:dyDescent="0.3">
      <c r="A497" t="s">
        <v>73</v>
      </c>
      <c r="B497" t="s">
        <v>60</v>
      </c>
      <c r="C497" s="2">
        <v>47299</v>
      </c>
      <c r="D497">
        <v>2029</v>
      </c>
      <c r="E497" t="s">
        <v>14</v>
      </c>
      <c r="F497" t="s">
        <v>82</v>
      </c>
      <c r="G497">
        <v>52421.704538068967</v>
      </c>
      <c r="H497">
        <v>48812.949672297873</v>
      </c>
      <c r="I497">
        <v>56339.26072082176</v>
      </c>
    </row>
    <row r="498" spans="1:9" x14ac:dyDescent="0.3">
      <c r="A498" t="s">
        <v>71</v>
      </c>
      <c r="B498" t="s">
        <v>6</v>
      </c>
      <c r="C498" s="2">
        <v>47483</v>
      </c>
      <c r="D498">
        <v>2029</v>
      </c>
      <c r="E498" t="s">
        <v>15</v>
      </c>
      <c r="F498" t="s">
        <v>82</v>
      </c>
      <c r="G498">
        <v>63875.360573756872</v>
      </c>
      <c r="H498">
        <v>59366.332161545834</v>
      </c>
      <c r="I498">
        <v>68770.226751011302</v>
      </c>
    </row>
    <row r="499" spans="1:9" x14ac:dyDescent="0.3">
      <c r="A499" t="s">
        <v>74</v>
      </c>
      <c r="B499" t="s">
        <v>57</v>
      </c>
      <c r="C499" s="2">
        <v>47483</v>
      </c>
      <c r="D499">
        <v>2029</v>
      </c>
      <c r="E499" t="s">
        <v>15</v>
      </c>
      <c r="F499" t="s">
        <v>82</v>
      </c>
      <c r="G499">
        <v>14327.310265945731</v>
      </c>
      <c r="H499">
        <v>13315.930471304629</v>
      </c>
      <c r="I499">
        <v>15425.23387532917</v>
      </c>
    </row>
    <row r="500" spans="1:9" x14ac:dyDescent="0.3">
      <c r="A500" t="s">
        <v>75</v>
      </c>
      <c r="B500" t="s">
        <v>58</v>
      </c>
      <c r="C500" s="2">
        <v>47483</v>
      </c>
      <c r="D500">
        <v>2029</v>
      </c>
      <c r="E500" t="s">
        <v>15</v>
      </c>
      <c r="F500" t="s">
        <v>82</v>
      </c>
      <c r="G500">
        <v>49548.257527147973</v>
      </c>
      <c r="H500">
        <v>46050.594281748607</v>
      </c>
      <c r="I500">
        <v>53345.215974552368</v>
      </c>
    </row>
    <row r="501" spans="1:9" x14ac:dyDescent="0.3">
      <c r="A501" t="s">
        <v>72</v>
      </c>
      <c r="B501" t="s">
        <v>59</v>
      </c>
      <c r="C501" s="2">
        <v>47483</v>
      </c>
      <c r="D501">
        <v>2029</v>
      </c>
      <c r="E501" t="s">
        <v>15</v>
      </c>
      <c r="F501" t="s">
        <v>82</v>
      </c>
      <c r="G501">
        <v>9966.5702552479997</v>
      </c>
      <c r="H501">
        <v>9263.0196521743947</v>
      </c>
      <c r="I501">
        <v>10730.32371522748</v>
      </c>
    </row>
    <row r="502" spans="1:9" x14ac:dyDescent="0.3">
      <c r="A502" t="s">
        <v>73</v>
      </c>
      <c r="B502" t="s">
        <v>60</v>
      </c>
      <c r="C502" s="2">
        <v>47483</v>
      </c>
      <c r="D502">
        <v>2029</v>
      </c>
      <c r="E502" t="s">
        <v>15</v>
      </c>
      <c r="F502" t="s">
        <v>82</v>
      </c>
      <c r="G502">
        <v>53908.79031850888</v>
      </c>
      <c r="H502">
        <v>50103.312509371441</v>
      </c>
      <c r="I502">
        <v>58039.903035783827</v>
      </c>
    </row>
    <row r="503" spans="1:9" x14ac:dyDescent="0.3">
      <c r="A503" t="s">
        <v>71</v>
      </c>
      <c r="B503" t="s">
        <v>6</v>
      </c>
      <c r="C503" s="2">
        <v>47664</v>
      </c>
      <c r="D503">
        <v>2030</v>
      </c>
      <c r="E503" t="s">
        <v>16</v>
      </c>
      <c r="F503" t="s">
        <v>82</v>
      </c>
      <c r="G503">
        <v>65851.225027109307</v>
      </c>
      <c r="H503">
        <v>61087.466046199661</v>
      </c>
      <c r="I503">
        <v>71022.619079339842</v>
      </c>
    </row>
    <row r="504" spans="1:9" x14ac:dyDescent="0.3">
      <c r="A504" t="s">
        <v>74</v>
      </c>
      <c r="B504" t="s">
        <v>57</v>
      </c>
      <c r="C504" s="2">
        <v>47664</v>
      </c>
      <c r="D504">
        <v>2030</v>
      </c>
      <c r="E504" t="s">
        <v>16</v>
      </c>
      <c r="F504" t="s">
        <v>82</v>
      </c>
      <c r="G504">
        <v>14770.498731926211</v>
      </c>
      <c r="H504">
        <v>13701.982603976259</v>
      </c>
      <c r="I504">
        <v>15930.44783324234</v>
      </c>
    </row>
    <row r="505" spans="1:9" x14ac:dyDescent="0.3">
      <c r="A505" t="s">
        <v>75</v>
      </c>
      <c r="B505" t="s">
        <v>58</v>
      </c>
      <c r="C505" s="2">
        <v>47664</v>
      </c>
      <c r="D505">
        <v>2030</v>
      </c>
      <c r="E505" t="s">
        <v>16</v>
      </c>
      <c r="F505" t="s">
        <v>82</v>
      </c>
      <c r="G505">
        <v>51080.939924461367</v>
      </c>
      <c r="H505">
        <v>47385.681617295741</v>
      </c>
      <c r="I505">
        <v>55092.401651998807</v>
      </c>
    </row>
    <row r="506" spans="1:9" x14ac:dyDescent="0.3">
      <c r="A506" t="s">
        <v>72</v>
      </c>
      <c r="B506" t="s">
        <v>59</v>
      </c>
      <c r="C506" s="2">
        <v>47664</v>
      </c>
      <c r="D506">
        <v>2030</v>
      </c>
      <c r="E506" t="s">
        <v>16</v>
      </c>
      <c r="F506" t="s">
        <v>82</v>
      </c>
      <c r="G506">
        <v>10274.867409460459</v>
      </c>
      <c r="H506">
        <v>9531.5708059527406</v>
      </c>
      <c r="I506">
        <v>11081.76793692775</v>
      </c>
    </row>
    <row r="507" spans="1:9" x14ac:dyDescent="0.3">
      <c r="A507" t="s">
        <v>73</v>
      </c>
      <c r="B507" t="s">
        <v>60</v>
      </c>
      <c r="C507" s="2">
        <v>47664</v>
      </c>
      <c r="D507">
        <v>2030</v>
      </c>
      <c r="E507" t="s">
        <v>16</v>
      </c>
      <c r="F507" t="s">
        <v>82</v>
      </c>
      <c r="G507">
        <v>55576.35761764885</v>
      </c>
      <c r="H507">
        <v>51555.895240246929</v>
      </c>
      <c r="I507">
        <v>59940.851142412102</v>
      </c>
    </row>
    <row r="508" spans="1:9" x14ac:dyDescent="0.3">
      <c r="A508" t="s">
        <v>71</v>
      </c>
      <c r="B508" t="s">
        <v>6</v>
      </c>
      <c r="C508" s="2">
        <v>47848</v>
      </c>
      <c r="D508">
        <v>2030</v>
      </c>
      <c r="E508" t="s">
        <v>17</v>
      </c>
      <c r="F508" t="s">
        <v>82</v>
      </c>
      <c r="G508">
        <v>68057.759440422902</v>
      </c>
      <c r="H508">
        <v>63015.262943288137</v>
      </c>
      <c r="I508">
        <v>73531.742590741007</v>
      </c>
    </row>
    <row r="509" spans="1:9" x14ac:dyDescent="0.3">
      <c r="A509" t="s">
        <v>74</v>
      </c>
      <c r="B509" t="s">
        <v>57</v>
      </c>
      <c r="C509" s="2">
        <v>47848</v>
      </c>
      <c r="D509">
        <v>2030</v>
      </c>
      <c r="E509" t="s">
        <v>17</v>
      </c>
      <c r="F509" t="s">
        <v>82</v>
      </c>
      <c r="G509">
        <v>15265.42671147986</v>
      </c>
      <c r="H509">
        <v>14134.389466751159</v>
      </c>
      <c r="I509">
        <v>16493.246864363478</v>
      </c>
    </row>
    <row r="510" spans="1:9" x14ac:dyDescent="0.3">
      <c r="A510" t="s">
        <v>75</v>
      </c>
      <c r="B510" t="s">
        <v>58</v>
      </c>
      <c r="C510" s="2">
        <v>47848</v>
      </c>
      <c r="D510">
        <v>2030</v>
      </c>
      <c r="E510" t="s">
        <v>17</v>
      </c>
      <c r="F510" t="s">
        <v>82</v>
      </c>
      <c r="G510">
        <v>52792.553516483807</v>
      </c>
      <c r="H510">
        <v>48881.077905613849</v>
      </c>
      <c r="I510">
        <v>57038.734272176684</v>
      </c>
    </row>
    <row r="511" spans="1:9" x14ac:dyDescent="0.3">
      <c r="A511" t="s">
        <v>72</v>
      </c>
      <c r="B511" t="s">
        <v>59</v>
      </c>
      <c r="C511" s="2">
        <v>47848</v>
      </c>
      <c r="D511">
        <v>2030</v>
      </c>
      <c r="E511" t="s">
        <v>17</v>
      </c>
      <c r="F511" t="s">
        <v>82</v>
      </c>
      <c r="G511">
        <v>10619.156350507121</v>
      </c>
      <c r="H511">
        <v>9832.3679058062226</v>
      </c>
      <c r="I511">
        <v>11473.270317984339</v>
      </c>
    </row>
    <row r="512" spans="1:9" x14ac:dyDescent="0.3">
      <c r="A512" t="s">
        <v>73</v>
      </c>
      <c r="B512" t="s">
        <v>60</v>
      </c>
      <c r="C512" s="2">
        <v>47848</v>
      </c>
      <c r="D512">
        <v>2030</v>
      </c>
      <c r="E512" t="s">
        <v>17</v>
      </c>
      <c r="F512" t="s">
        <v>82</v>
      </c>
      <c r="G512">
        <v>57438.603089915778</v>
      </c>
      <c r="H512">
        <v>53182.895037481932</v>
      </c>
      <c r="I512">
        <v>62058.472272756677</v>
      </c>
    </row>
    <row r="513" spans="1:9" x14ac:dyDescent="0.3">
      <c r="A513" t="s">
        <v>76</v>
      </c>
      <c r="B513" t="s">
        <v>61</v>
      </c>
      <c r="C513" s="2">
        <v>46203</v>
      </c>
      <c r="D513">
        <v>2026</v>
      </c>
      <c r="E513" t="s">
        <v>7</v>
      </c>
      <c r="F513" t="s">
        <v>82</v>
      </c>
      <c r="G513">
        <v>51314.275885893258</v>
      </c>
      <c r="H513">
        <v>48320.616112575721</v>
      </c>
      <c r="I513">
        <v>54564.103261328593</v>
      </c>
    </row>
    <row r="514" spans="1:9" x14ac:dyDescent="0.3">
      <c r="A514" t="s">
        <v>76</v>
      </c>
      <c r="B514" t="s">
        <v>61</v>
      </c>
      <c r="C514" s="2">
        <v>46387</v>
      </c>
      <c r="D514">
        <v>2026</v>
      </c>
      <c r="E514" t="s">
        <v>9</v>
      </c>
      <c r="F514" t="s">
        <v>82</v>
      </c>
      <c r="G514">
        <v>51917.593900602202</v>
      </c>
      <c r="H514">
        <v>48790.783318617337</v>
      </c>
      <c r="I514">
        <v>55311.965805421023</v>
      </c>
    </row>
    <row r="515" spans="1:9" x14ac:dyDescent="0.3">
      <c r="A515" t="s">
        <v>76</v>
      </c>
      <c r="B515" t="s">
        <v>61</v>
      </c>
      <c r="C515" s="2">
        <v>46568</v>
      </c>
      <c r="D515">
        <v>2027</v>
      </c>
      <c r="E515" t="s">
        <v>10</v>
      </c>
      <c r="F515" t="s">
        <v>82</v>
      </c>
      <c r="G515">
        <v>52637.695105211649</v>
      </c>
      <c r="H515">
        <v>49367.69121823254</v>
      </c>
      <c r="I515">
        <v>56187.513372605485</v>
      </c>
    </row>
    <row r="516" spans="1:9" x14ac:dyDescent="0.3">
      <c r="A516" t="s">
        <v>76</v>
      </c>
      <c r="B516" t="s">
        <v>61</v>
      </c>
      <c r="C516" s="2">
        <v>46752</v>
      </c>
      <c r="D516">
        <v>2027</v>
      </c>
      <c r="E516" t="s">
        <v>11</v>
      </c>
      <c r="F516" t="s">
        <v>82</v>
      </c>
      <c r="G516">
        <v>53487.060286191278</v>
      </c>
      <c r="H516">
        <v>50062.360604727015</v>
      </c>
      <c r="I516">
        <v>57204.811674196695</v>
      </c>
    </row>
    <row r="517" spans="1:9" x14ac:dyDescent="0.3">
      <c r="A517" t="s">
        <v>76</v>
      </c>
      <c r="B517" t="s">
        <v>61</v>
      </c>
      <c r="C517" s="2">
        <v>46934</v>
      </c>
      <c r="D517">
        <v>2028</v>
      </c>
      <c r="E517" t="s">
        <v>12</v>
      </c>
      <c r="F517" t="s">
        <v>82</v>
      </c>
      <c r="G517">
        <v>54478.789194642908</v>
      </c>
      <c r="H517">
        <v>50886.299873699405</v>
      </c>
      <c r="I517">
        <v>58378.687989161976</v>
      </c>
    </row>
    <row r="518" spans="1:9" x14ac:dyDescent="0.3">
      <c r="A518" t="s">
        <v>76</v>
      </c>
      <c r="B518" t="s">
        <v>61</v>
      </c>
      <c r="C518" s="2">
        <v>47118</v>
      </c>
      <c r="D518">
        <v>2028</v>
      </c>
      <c r="E518" t="s">
        <v>13</v>
      </c>
      <c r="F518" t="s">
        <v>82</v>
      </c>
      <c r="G518">
        <v>55626.599341041379</v>
      </c>
      <c r="H518">
        <v>51851.498260621083</v>
      </c>
      <c r="I518">
        <v>59724.735991549838</v>
      </c>
    </row>
    <row r="519" spans="1:9" x14ac:dyDescent="0.3">
      <c r="A519" t="s">
        <v>76</v>
      </c>
      <c r="B519" t="s">
        <v>61</v>
      </c>
      <c r="C519" s="2">
        <v>47299</v>
      </c>
      <c r="D519">
        <v>2029</v>
      </c>
      <c r="E519" t="s">
        <v>14</v>
      </c>
      <c r="F519" t="s">
        <v>82</v>
      </c>
      <c r="G519">
        <v>56944.824729712469</v>
      </c>
      <c r="H519">
        <v>52970.41902166856</v>
      </c>
      <c r="I519">
        <v>61259.32051383896</v>
      </c>
    </row>
    <row r="520" spans="1:9" x14ac:dyDescent="0.3">
      <c r="A520" t="s">
        <v>76</v>
      </c>
      <c r="B520" t="s">
        <v>61</v>
      </c>
      <c r="C520" s="2">
        <v>47483</v>
      </c>
      <c r="D520">
        <v>2029</v>
      </c>
      <c r="E520" t="s">
        <v>15</v>
      </c>
      <c r="F520" t="s">
        <v>82</v>
      </c>
      <c r="G520">
        <v>58448.414530034635</v>
      </c>
      <c r="H520">
        <v>54255.992554971475</v>
      </c>
      <c r="I520">
        <v>62999.582243003664</v>
      </c>
    </row>
    <row r="521" spans="1:9" x14ac:dyDescent="0.3">
      <c r="A521" t="s">
        <v>76</v>
      </c>
      <c r="B521" t="s">
        <v>61</v>
      </c>
      <c r="C521" s="2">
        <v>47664</v>
      </c>
      <c r="D521">
        <v>2030</v>
      </c>
      <c r="E521" t="s">
        <v>16</v>
      </c>
      <c r="F521" t="s">
        <v>82</v>
      </c>
      <c r="G521">
        <v>60152.931681200957</v>
      </c>
      <c r="H521">
        <v>55721.609459296589</v>
      </c>
      <c r="I521">
        <v>64963.44234593182</v>
      </c>
    </row>
    <row r="522" spans="1:9" x14ac:dyDescent="0.3">
      <c r="A522" t="s">
        <v>76</v>
      </c>
      <c r="B522" t="s">
        <v>61</v>
      </c>
      <c r="C522" s="2">
        <v>47848</v>
      </c>
      <c r="D522">
        <v>2030</v>
      </c>
      <c r="E522" t="s">
        <v>17</v>
      </c>
      <c r="F522" t="s">
        <v>82</v>
      </c>
      <c r="G522">
        <v>62074.551427219129</v>
      </c>
      <c r="H522">
        <v>57381.113527039917</v>
      </c>
      <c r="I522">
        <v>67169.607020662588</v>
      </c>
    </row>
    <row r="523" spans="1:9" x14ac:dyDescent="0.3">
      <c r="A523" t="s">
        <v>77</v>
      </c>
      <c r="B523" t="s">
        <v>62</v>
      </c>
      <c r="C523" s="2">
        <v>46203</v>
      </c>
      <c r="D523">
        <v>2026</v>
      </c>
      <c r="E523" t="s">
        <v>7</v>
      </c>
      <c r="F523" t="s">
        <v>82</v>
      </c>
      <c r="G523">
        <v>3856.8292328969201</v>
      </c>
      <c r="H523">
        <v>3631.822949016906</v>
      </c>
      <c r="I523">
        <v>4101.0893146589506</v>
      </c>
    </row>
    <row r="524" spans="1:9" x14ac:dyDescent="0.3">
      <c r="A524" t="s">
        <v>77</v>
      </c>
      <c r="B524" t="s">
        <v>62</v>
      </c>
      <c r="C524" s="2">
        <v>46387</v>
      </c>
      <c r="D524">
        <v>2026</v>
      </c>
      <c r="E524" t="s">
        <v>9</v>
      </c>
      <c r="F524" t="s">
        <v>82</v>
      </c>
      <c r="G524">
        <v>4049.6706945417664</v>
      </c>
      <c r="H524">
        <v>3813.4140964677513</v>
      </c>
      <c r="I524">
        <v>4306.143780391898</v>
      </c>
    </row>
    <row r="525" spans="1:9" x14ac:dyDescent="0.3">
      <c r="A525" t="s">
        <v>77</v>
      </c>
      <c r="B525" t="s">
        <v>62</v>
      </c>
      <c r="C525" s="2">
        <v>46568</v>
      </c>
      <c r="D525">
        <v>2027</v>
      </c>
      <c r="E525" t="s">
        <v>10</v>
      </c>
      <c r="F525" t="s">
        <v>82</v>
      </c>
      <c r="G525">
        <v>4252.1542292688546</v>
      </c>
      <c r="H525">
        <v>4004.0848012911392</v>
      </c>
      <c r="I525">
        <v>4521.4509694114931</v>
      </c>
    </row>
    <row r="526" spans="1:9" x14ac:dyDescent="0.3">
      <c r="A526" t="s">
        <v>77</v>
      </c>
      <c r="B526" t="s">
        <v>62</v>
      </c>
      <c r="C526" s="2">
        <v>46752</v>
      </c>
      <c r="D526">
        <v>2027</v>
      </c>
      <c r="E526" t="s">
        <v>11</v>
      </c>
      <c r="F526" t="s">
        <v>82</v>
      </c>
      <c r="G526">
        <v>4464.7619407322973</v>
      </c>
      <c r="H526">
        <v>4204.2890413556961</v>
      </c>
      <c r="I526">
        <v>4747.5235178820676</v>
      </c>
    </row>
    <row r="527" spans="1:9" x14ac:dyDescent="0.3">
      <c r="A527" t="s">
        <v>77</v>
      </c>
      <c r="B527" t="s">
        <v>62</v>
      </c>
      <c r="C527" s="2">
        <v>46934</v>
      </c>
      <c r="D527">
        <v>2028</v>
      </c>
      <c r="E527" t="s">
        <v>12</v>
      </c>
      <c r="F527" t="s">
        <v>82</v>
      </c>
      <c r="G527">
        <v>4688.0000377689121</v>
      </c>
      <c r="H527">
        <v>4414.5034934234809</v>
      </c>
      <c r="I527">
        <v>4984.8996937761713</v>
      </c>
    </row>
    <row r="528" spans="1:9" x14ac:dyDescent="0.3">
      <c r="A528" t="s">
        <v>77</v>
      </c>
      <c r="B528" t="s">
        <v>62</v>
      </c>
      <c r="C528" s="2">
        <v>47118</v>
      </c>
      <c r="D528">
        <v>2028</v>
      </c>
      <c r="E528" t="s">
        <v>13</v>
      </c>
      <c r="F528" t="s">
        <v>82</v>
      </c>
      <c r="G528">
        <v>4922.4000396573583</v>
      </c>
      <c r="H528">
        <v>4635.2286680946554</v>
      </c>
      <c r="I528">
        <v>5234.1446784649797</v>
      </c>
    </row>
    <row r="529" spans="1:9" x14ac:dyDescent="0.3">
      <c r="A529" t="s">
        <v>77</v>
      </c>
      <c r="B529" t="s">
        <v>62</v>
      </c>
      <c r="C529" s="2">
        <v>47299</v>
      </c>
      <c r="D529">
        <v>2029</v>
      </c>
      <c r="E529" t="s">
        <v>14</v>
      </c>
      <c r="F529" t="s">
        <v>82</v>
      </c>
      <c r="G529">
        <v>5168.5200416402267</v>
      </c>
      <c r="H529">
        <v>4866.9901014993884</v>
      </c>
      <c r="I529">
        <v>5495.8519123882288</v>
      </c>
    </row>
    <row r="530" spans="1:9" x14ac:dyDescent="0.3">
      <c r="A530" t="s">
        <v>77</v>
      </c>
      <c r="B530" t="s">
        <v>62</v>
      </c>
      <c r="C530" s="2">
        <v>47483</v>
      </c>
      <c r="D530">
        <v>2029</v>
      </c>
      <c r="E530" t="s">
        <v>15</v>
      </c>
      <c r="F530" t="s">
        <v>82</v>
      </c>
      <c r="G530">
        <v>5426.9460437222388</v>
      </c>
      <c r="H530">
        <v>5110.3396065743582</v>
      </c>
      <c r="I530">
        <v>5770.6445080076401</v>
      </c>
    </row>
    <row r="531" spans="1:9" x14ac:dyDescent="0.3">
      <c r="A531" t="s">
        <v>77</v>
      </c>
      <c r="B531" t="s">
        <v>62</v>
      </c>
      <c r="C531" s="2">
        <v>47664</v>
      </c>
      <c r="D531">
        <v>2030</v>
      </c>
      <c r="E531" t="s">
        <v>16</v>
      </c>
      <c r="F531" t="s">
        <v>82</v>
      </c>
      <c r="G531">
        <v>5698.2933459083506</v>
      </c>
      <c r="H531">
        <v>5365.8565869030763</v>
      </c>
      <c r="I531">
        <v>6059.1767334080223</v>
      </c>
    </row>
    <row r="532" spans="1:9" x14ac:dyDescent="0.3">
      <c r="A532" t="s">
        <v>77</v>
      </c>
      <c r="B532" t="s">
        <v>62</v>
      </c>
      <c r="C532" s="2">
        <v>47848</v>
      </c>
      <c r="D532">
        <v>2030</v>
      </c>
      <c r="E532" t="s">
        <v>17</v>
      </c>
      <c r="F532" t="s">
        <v>82</v>
      </c>
      <c r="G532">
        <v>5983.2080132037681</v>
      </c>
      <c r="H532">
        <v>5634.1494162482304</v>
      </c>
      <c r="I532">
        <v>6362.1355700784234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Licec Ximena Silva Goyeneche</cp:lastModifiedBy>
  <dcterms:created xsi:type="dcterms:W3CDTF">2025-11-09T21:13:00Z</dcterms:created>
  <dcterms:modified xsi:type="dcterms:W3CDTF">2026-01-21T20:25:17Z</dcterms:modified>
</cp:coreProperties>
</file>