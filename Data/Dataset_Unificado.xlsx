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3164" documentId="11_C54DB9D477E07092D1C9E253F65DD242EE9209D1" xr6:coauthVersionLast="47" xr6:coauthVersionMax="47" xr10:uidLastSave="{EC44D1A3-E096-4F3D-973F-BE5FAD9222EB}"/>
  <bookViews>
    <workbookView xWindow="-108" yWindow="-108" windowWidth="23256" windowHeight="12456" xr2:uid="{00000000-000D-0000-FFFF-FFFF00000000}"/>
  </bookViews>
  <sheets>
    <sheet name="Unificado" sheetId="1" r:id="rId1"/>
    <sheet name="Unificado (2)" sheetId="5" r:id="rId2"/>
    <sheet name="Semestral_Original" sheetId="3" r:id="rId3"/>
    <sheet name="Base_Indicadores" sheetId="2" r:id="rId4"/>
    <sheet name="Cierres_Original" sheetId="4" r:id="rId5"/>
  </sheets>
  <definedNames>
    <definedName name="_xlnm._FilterDatabase" localSheetId="3" hidden="1">Base_Indicadores!$A$1:$M$58</definedName>
    <definedName name="_xlnm._FilterDatabase" localSheetId="4" hidden="1">Cierres_Original!$A$1:$T$180</definedName>
    <definedName name="_xlnm._FilterDatabase" localSheetId="2" hidden="1">Semestral_Original!$A$1:$T$248</definedName>
    <definedName name="_xlnm._FilterDatabase" localSheetId="0" hidden="1">Unificado!$A$1:$AD$658</definedName>
    <definedName name="_xlnm._FilterDatabase" localSheetId="1" hidden="1">'Unificado (2)'!$A$1:$AD$658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1" i="1" l="1"/>
  <c r="N226" i="1"/>
  <c r="N225" i="1"/>
  <c r="N224" i="1"/>
  <c r="N223" i="1"/>
  <c r="N222" i="1"/>
  <c r="N221" i="1"/>
  <c r="N220" i="1"/>
  <c r="N219" i="1"/>
  <c r="M226" i="1"/>
  <c r="M225" i="1"/>
  <c r="M224" i="1"/>
  <c r="M223" i="1"/>
  <c r="M222" i="1"/>
  <c r="M221" i="1"/>
  <c r="M220" i="1"/>
  <c r="M219" i="1"/>
  <c r="M521" i="1"/>
  <c r="L479" i="1"/>
  <c r="L478" i="1"/>
  <c r="K531" i="1"/>
  <c r="L531" i="1"/>
  <c r="L392" i="1"/>
  <c r="L393" i="1"/>
  <c r="L484" i="1"/>
  <c r="L428" i="1"/>
  <c r="L451" i="1"/>
  <c r="L450" i="1"/>
  <c r="L443" i="1"/>
  <c r="L442" i="1"/>
  <c r="L483" i="1"/>
  <c r="L435" i="1"/>
  <c r="Q650" i="5" l="1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N637" i="5"/>
  <c r="M637" i="5"/>
  <c r="Q636" i="5"/>
  <c r="N636" i="5"/>
  <c r="M636" i="5"/>
  <c r="Q635" i="5"/>
  <c r="N635" i="5"/>
  <c r="M635" i="5"/>
  <c r="Q634" i="5"/>
  <c r="N634" i="5"/>
  <c r="M634" i="5"/>
  <c r="Q633" i="5"/>
  <c r="N633" i="5"/>
  <c r="M633" i="5"/>
  <c r="Q632" i="5"/>
  <c r="N632" i="5"/>
  <c r="M632" i="5"/>
  <c r="Q631" i="5"/>
  <c r="N631" i="5"/>
  <c r="M631" i="5"/>
  <c r="Q630" i="5"/>
  <c r="N630" i="5"/>
  <c r="M630" i="5"/>
  <c r="Q629" i="5"/>
  <c r="N629" i="5"/>
  <c r="M629" i="5"/>
  <c r="Q628" i="5"/>
  <c r="N628" i="5"/>
  <c r="M628" i="5"/>
  <c r="Q627" i="5"/>
  <c r="N627" i="5"/>
  <c r="M627" i="5"/>
  <c r="Q626" i="5"/>
  <c r="N626" i="5"/>
  <c r="M626" i="5"/>
  <c r="Q625" i="5"/>
  <c r="N625" i="5"/>
  <c r="M625" i="5"/>
  <c r="Q624" i="5"/>
  <c r="N624" i="5"/>
  <c r="M624" i="5"/>
  <c r="Q623" i="5"/>
  <c r="N623" i="5"/>
  <c r="M623" i="5"/>
  <c r="Q622" i="5"/>
  <c r="N622" i="5"/>
  <c r="M622" i="5"/>
  <c r="Q621" i="5"/>
  <c r="N621" i="5"/>
  <c r="M621" i="5"/>
  <c r="Q620" i="5"/>
  <c r="N620" i="5"/>
  <c r="M620" i="5"/>
  <c r="Q619" i="5"/>
  <c r="N619" i="5"/>
  <c r="M619" i="5"/>
  <c r="Q618" i="5"/>
  <c r="N618" i="5"/>
  <c r="M618" i="5"/>
  <c r="Q617" i="5"/>
  <c r="N617" i="5"/>
  <c r="M617" i="5"/>
  <c r="Q616" i="5"/>
  <c r="N616" i="5"/>
  <c r="M616" i="5"/>
  <c r="Q615" i="5"/>
  <c r="N615" i="5"/>
  <c r="M615" i="5"/>
  <c r="Q614" i="5"/>
  <c r="N614" i="5"/>
  <c r="M614" i="5"/>
  <c r="Q613" i="5"/>
  <c r="N613" i="5"/>
  <c r="M613" i="5"/>
  <c r="Q612" i="5"/>
  <c r="N612" i="5"/>
  <c r="M612" i="5"/>
  <c r="Q611" i="5"/>
  <c r="N611" i="5"/>
  <c r="M611" i="5"/>
  <c r="Q610" i="5"/>
  <c r="N610" i="5"/>
  <c r="M610" i="5"/>
  <c r="Q609" i="5"/>
  <c r="N609" i="5"/>
  <c r="M609" i="5"/>
  <c r="Q608" i="5"/>
  <c r="N608" i="5"/>
  <c r="M608" i="5"/>
  <c r="Q607" i="5"/>
  <c r="N607" i="5"/>
  <c r="M607" i="5"/>
  <c r="Q606" i="5"/>
  <c r="N606" i="5"/>
  <c r="M606" i="5"/>
  <c r="Q605" i="5"/>
  <c r="N605" i="5"/>
  <c r="M605" i="5"/>
  <c r="Q604" i="5"/>
  <c r="N604" i="5"/>
  <c r="M604" i="5"/>
  <c r="Q603" i="5"/>
  <c r="N603" i="5"/>
  <c r="M603" i="5"/>
  <c r="Q602" i="5"/>
  <c r="N602" i="5"/>
  <c r="M602" i="5"/>
  <c r="Q601" i="5"/>
  <c r="N601" i="5"/>
  <c r="M601" i="5"/>
  <c r="Q600" i="5"/>
  <c r="N600" i="5"/>
  <c r="M600" i="5"/>
  <c r="Q599" i="5"/>
  <c r="N599" i="5"/>
  <c r="M599" i="5"/>
  <c r="Q598" i="5"/>
  <c r="N598" i="5"/>
  <c r="M598" i="5"/>
  <c r="Q597" i="5"/>
  <c r="N597" i="5"/>
  <c r="M597" i="5"/>
  <c r="Q596" i="5"/>
  <c r="N596" i="5"/>
  <c r="M596" i="5"/>
  <c r="Q595" i="5"/>
  <c r="N595" i="5"/>
  <c r="M595" i="5"/>
  <c r="Q594" i="5"/>
  <c r="N594" i="5"/>
  <c r="M594" i="5"/>
  <c r="Q593" i="5"/>
  <c r="N593" i="5"/>
  <c r="M593" i="5"/>
  <c r="Q592" i="5"/>
  <c r="N592" i="5"/>
  <c r="M592" i="5"/>
  <c r="Q591" i="5"/>
  <c r="N591" i="5"/>
  <c r="M591" i="5"/>
  <c r="Q590" i="5"/>
  <c r="N590" i="5"/>
  <c r="M590" i="5"/>
  <c r="Q589" i="5"/>
  <c r="Q588" i="5"/>
  <c r="N588" i="5"/>
  <c r="M588" i="5"/>
  <c r="Q587" i="5"/>
  <c r="N587" i="5"/>
  <c r="M587" i="5"/>
  <c r="Q586" i="5"/>
  <c r="N586" i="5"/>
  <c r="M586" i="5"/>
  <c r="Q585" i="5"/>
  <c r="N585" i="5"/>
  <c r="M585" i="5"/>
  <c r="Q584" i="5"/>
  <c r="Q583" i="5"/>
  <c r="Q582" i="5"/>
  <c r="Q581" i="5"/>
  <c r="N581" i="5"/>
  <c r="M581" i="5"/>
  <c r="Q580" i="5"/>
  <c r="N580" i="5"/>
  <c r="M580" i="5"/>
  <c r="Q579" i="5"/>
  <c r="N579" i="5"/>
  <c r="M579" i="5"/>
  <c r="Q578" i="5"/>
  <c r="N578" i="5"/>
  <c r="M578" i="5"/>
  <c r="Q577" i="5"/>
  <c r="N577" i="5"/>
  <c r="M577" i="5"/>
  <c r="Q576" i="5"/>
  <c r="N576" i="5"/>
  <c r="M576" i="5"/>
  <c r="Q575" i="5"/>
  <c r="N575" i="5"/>
  <c r="M575" i="5"/>
  <c r="Q574" i="5"/>
  <c r="N574" i="5"/>
  <c r="M574" i="5"/>
  <c r="Q573" i="5"/>
  <c r="N573" i="5"/>
  <c r="M573" i="5"/>
  <c r="Q572" i="5"/>
  <c r="N572" i="5"/>
  <c r="M572" i="5"/>
  <c r="Q571" i="5"/>
  <c r="N571" i="5"/>
  <c r="M571" i="5"/>
  <c r="Q570" i="5"/>
  <c r="N570" i="5"/>
  <c r="M570" i="5"/>
  <c r="Q569" i="5"/>
  <c r="N569" i="5"/>
  <c r="M569" i="5"/>
  <c r="Q568" i="5"/>
  <c r="N568" i="5"/>
  <c r="M568" i="5"/>
  <c r="Q567" i="5"/>
  <c r="N567" i="5"/>
  <c r="M567" i="5"/>
  <c r="Q566" i="5"/>
  <c r="N566" i="5"/>
  <c r="M566" i="5"/>
  <c r="Q565" i="5"/>
  <c r="N565" i="5"/>
  <c r="M565" i="5"/>
  <c r="Q564" i="5"/>
  <c r="N564" i="5"/>
  <c r="M564" i="5"/>
  <c r="Q563" i="5"/>
  <c r="N563" i="5"/>
  <c r="M563" i="5"/>
  <c r="Q562" i="5"/>
  <c r="N562" i="5"/>
  <c r="M562" i="5"/>
  <c r="Q561" i="5"/>
  <c r="N561" i="5"/>
  <c r="M561" i="5"/>
  <c r="Q560" i="5"/>
  <c r="N560" i="5"/>
  <c r="M560" i="5"/>
  <c r="Q559" i="5"/>
  <c r="N559" i="5"/>
  <c r="M559" i="5"/>
  <c r="Q558" i="5"/>
  <c r="N558" i="5"/>
  <c r="M558" i="5"/>
  <c r="Q557" i="5"/>
  <c r="Q556" i="5"/>
  <c r="N556" i="5"/>
  <c r="M556" i="5"/>
  <c r="Q555" i="5"/>
  <c r="N555" i="5"/>
  <c r="M555" i="5"/>
  <c r="Q554" i="5"/>
  <c r="N554" i="5"/>
  <c r="M554" i="5"/>
  <c r="Q553" i="5"/>
  <c r="N553" i="5"/>
  <c r="M553" i="5"/>
  <c r="Q552" i="5"/>
  <c r="N552" i="5"/>
  <c r="M552" i="5"/>
  <c r="Q551" i="5"/>
  <c r="N551" i="5"/>
  <c r="M551" i="5"/>
  <c r="Q550" i="5"/>
  <c r="N550" i="5"/>
  <c r="M550" i="5"/>
  <c r="Q549" i="5"/>
  <c r="N549" i="5"/>
  <c r="M549" i="5"/>
  <c r="Q548" i="5"/>
  <c r="N548" i="5"/>
  <c r="M548" i="5"/>
  <c r="Q547" i="5"/>
  <c r="N547" i="5"/>
  <c r="M547" i="5"/>
  <c r="Q546" i="5"/>
  <c r="N546" i="5"/>
  <c r="M546" i="5"/>
  <c r="Q545" i="5"/>
  <c r="N545" i="5"/>
  <c r="M545" i="5"/>
  <c r="Q544" i="5"/>
  <c r="N544" i="5"/>
  <c r="M544" i="5"/>
  <c r="Q543" i="5"/>
  <c r="N543" i="5"/>
  <c r="M543" i="5"/>
  <c r="Q542" i="5"/>
  <c r="N542" i="5"/>
  <c r="M542" i="5"/>
  <c r="Q541" i="5"/>
  <c r="N541" i="5"/>
  <c r="M541" i="5"/>
  <c r="Q540" i="5"/>
  <c r="N540" i="5"/>
  <c r="M540" i="5"/>
  <c r="Q539" i="5"/>
  <c r="N539" i="5"/>
  <c r="M539" i="5"/>
  <c r="Q538" i="5"/>
  <c r="N538" i="5"/>
  <c r="M538" i="5"/>
  <c r="Q537" i="5"/>
  <c r="N537" i="5"/>
  <c r="M537" i="5"/>
  <c r="Q536" i="5"/>
  <c r="K536" i="5"/>
  <c r="Q535" i="5"/>
  <c r="K535" i="5"/>
  <c r="Q534" i="5"/>
  <c r="Q533" i="5"/>
  <c r="Q532" i="5"/>
  <c r="Q531" i="5"/>
  <c r="K531" i="5"/>
  <c r="Q530" i="5"/>
  <c r="L530" i="5"/>
  <c r="K530" i="5"/>
  <c r="Q529" i="5"/>
  <c r="N529" i="5"/>
  <c r="M529" i="5"/>
  <c r="Q528" i="5"/>
  <c r="L528" i="5"/>
  <c r="K528" i="5"/>
  <c r="Q527" i="5"/>
  <c r="Q526" i="5"/>
  <c r="N526" i="5"/>
  <c r="M526" i="5"/>
  <c r="Q525" i="5"/>
  <c r="N525" i="5"/>
  <c r="M525" i="5"/>
  <c r="Q524" i="5"/>
  <c r="N524" i="5"/>
  <c r="M524" i="5"/>
  <c r="Q523" i="5"/>
  <c r="N523" i="5"/>
  <c r="M523" i="5"/>
  <c r="Q522" i="5"/>
  <c r="N522" i="5"/>
  <c r="M522" i="5"/>
  <c r="Q521" i="5"/>
  <c r="Q520" i="5"/>
  <c r="L520" i="5"/>
  <c r="Q519" i="5"/>
  <c r="L519" i="5"/>
  <c r="Q518" i="5"/>
  <c r="N518" i="5"/>
  <c r="M518" i="5"/>
  <c r="Q517" i="5"/>
  <c r="M517" i="5"/>
  <c r="Q516" i="5"/>
  <c r="N516" i="5"/>
  <c r="M516" i="5"/>
  <c r="Q515" i="5"/>
  <c r="N515" i="5"/>
  <c r="M515" i="5"/>
  <c r="Q514" i="5"/>
  <c r="N514" i="5"/>
  <c r="M514" i="5"/>
  <c r="Q513" i="5"/>
  <c r="M513" i="5"/>
  <c r="Q512" i="5"/>
  <c r="L512" i="5"/>
  <c r="K512" i="5"/>
  <c r="Q511" i="5"/>
  <c r="Q510" i="5"/>
  <c r="N510" i="5"/>
  <c r="M510" i="5"/>
  <c r="Q509" i="5"/>
  <c r="N509" i="5"/>
  <c r="M509" i="5"/>
  <c r="Q508" i="5"/>
  <c r="L508" i="5"/>
  <c r="K508" i="5"/>
  <c r="Q507" i="5"/>
  <c r="N507" i="5"/>
  <c r="M507" i="5"/>
  <c r="Q506" i="5"/>
  <c r="N506" i="5"/>
  <c r="M506" i="5"/>
  <c r="Q505" i="5"/>
  <c r="N505" i="5"/>
  <c r="M505" i="5"/>
  <c r="Q504" i="5"/>
  <c r="N504" i="5"/>
  <c r="M504" i="5"/>
  <c r="Q503" i="5"/>
  <c r="L503" i="5"/>
  <c r="K503" i="5"/>
  <c r="K532" i="5" s="1"/>
  <c r="Q502" i="5"/>
  <c r="N502" i="5"/>
  <c r="M502" i="5"/>
  <c r="Q501" i="5"/>
  <c r="N501" i="5"/>
  <c r="M501" i="5"/>
  <c r="Q500" i="5"/>
  <c r="N500" i="5"/>
  <c r="M500" i="5"/>
  <c r="Q499" i="5"/>
  <c r="N499" i="5"/>
  <c r="M499" i="5"/>
  <c r="Q498" i="5"/>
  <c r="N498" i="5"/>
  <c r="M498" i="5"/>
  <c r="Q497" i="5"/>
  <c r="M497" i="5"/>
  <c r="Q496" i="5"/>
  <c r="M496" i="5"/>
  <c r="Q495" i="5"/>
  <c r="N495" i="5"/>
  <c r="M495" i="5"/>
  <c r="Q494" i="5"/>
  <c r="N494" i="5"/>
  <c r="M494" i="5"/>
  <c r="Q493" i="5"/>
  <c r="N493" i="5"/>
  <c r="M493" i="5"/>
  <c r="Q492" i="5"/>
  <c r="N492" i="5"/>
  <c r="M492" i="5"/>
  <c r="Q491" i="5"/>
  <c r="N491" i="5"/>
  <c r="M491" i="5"/>
  <c r="Q490" i="5"/>
  <c r="Q489" i="5"/>
  <c r="N489" i="5"/>
  <c r="M489" i="5"/>
  <c r="Q488" i="5"/>
  <c r="N488" i="5"/>
  <c r="M488" i="5"/>
  <c r="Q487" i="5"/>
  <c r="Q486" i="5"/>
  <c r="N486" i="5"/>
  <c r="M486" i="5"/>
  <c r="Q485" i="5"/>
  <c r="N485" i="5"/>
  <c r="M485" i="5"/>
  <c r="Q484" i="5"/>
  <c r="L484" i="5"/>
  <c r="K484" i="5"/>
  <c r="K533" i="5" s="1"/>
  <c r="Q483" i="5"/>
  <c r="L483" i="5"/>
  <c r="K483" i="5"/>
  <c r="Q482" i="5"/>
  <c r="M482" i="5"/>
  <c r="Q481" i="5"/>
  <c r="N481" i="5"/>
  <c r="M481" i="5"/>
  <c r="Q480" i="5"/>
  <c r="N480" i="5"/>
  <c r="M480" i="5"/>
  <c r="Q479" i="5"/>
  <c r="M479" i="5"/>
  <c r="L479" i="5"/>
  <c r="N479" i="5" s="1"/>
  <c r="K479" i="5"/>
  <c r="K519" i="5" s="1"/>
  <c r="H479" i="5"/>
  <c r="G479" i="5"/>
  <c r="Q478" i="5"/>
  <c r="K478" i="5"/>
  <c r="M478" i="5" s="1"/>
  <c r="H478" i="5"/>
  <c r="G478" i="5"/>
  <c r="Q477" i="5"/>
  <c r="N477" i="5"/>
  <c r="M477" i="5"/>
  <c r="Q476" i="5"/>
  <c r="N476" i="5"/>
  <c r="Q475" i="5"/>
  <c r="N475" i="5"/>
  <c r="Q474" i="5"/>
  <c r="N474" i="5"/>
  <c r="Q473" i="5"/>
  <c r="N473" i="5"/>
  <c r="Q472" i="5"/>
  <c r="N472" i="5"/>
  <c r="Q471" i="5"/>
  <c r="N471" i="5"/>
  <c r="Q470" i="5"/>
  <c r="Q469" i="5"/>
  <c r="Q468" i="5"/>
  <c r="Q467" i="5"/>
  <c r="Q466" i="5"/>
  <c r="Q465" i="5"/>
  <c r="N465" i="5"/>
  <c r="M465" i="5"/>
  <c r="Q464" i="5"/>
  <c r="N464" i="5"/>
  <c r="M464" i="5"/>
  <c r="Q463" i="5"/>
  <c r="N463" i="5"/>
  <c r="M463" i="5"/>
  <c r="Q462" i="5"/>
  <c r="N462" i="5"/>
  <c r="M462" i="5"/>
  <c r="Q461" i="5"/>
  <c r="N461" i="5"/>
  <c r="M461" i="5"/>
  <c r="Q460" i="5"/>
  <c r="N460" i="5"/>
  <c r="M460" i="5"/>
  <c r="Q459" i="5"/>
  <c r="N459" i="5"/>
  <c r="M459" i="5"/>
  <c r="Q458" i="5"/>
  <c r="N458" i="5"/>
  <c r="M458" i="5"/>
  <c r="Q457" i="5"/>
  <c r="N457" i="5"/>
  <c r="M457" i="5"/>
  <c r="Q456" i="5"/>
  <c r="N456" i="5"/>
  <c r="M456" i="5"/>
  <c r="Q455" i="5"/>
  <c r="N455" i="5"/>
  <c r="M455" i="5"/>
  <c r="Q454" i="5"/>
  <c r="N454" i="5"/>
  <c r="M454" i="5"/>
  <c r="Q453" i="5"/>
  <c r="N453" i="5"/>
  <c r="M453" i="5"/>
  <c r="Q452" i="5"/>
  <c r="N452" i="5"/>
  <c r="M452" i="5"/>
  <c r="Q451" i="5"/>
  <c r="L451" i="5"/>
  <c r="K451" i="5"/>
  <c r="Q450" i="5"/>
  <c r="L450" i="5"/>
  <c r="K450" i="5"/>
  <c r="Q449" i="5"/>
  <c r="N449" i="5"/>
  <c r="M449" i="5"/>
  <c r="Q448" i="5"/>
  <c r="N448" i="5"/>
  <c r="M448" i="5"/>
  <c r="Q447" i="5"/>
  <c r="L447" i="5"/>
  <c r="M447" i="5" s="1"/>
  <c r="Q446" i="5"/>
  <c r="L446" i="5"/>
  <c r="N446" i="5" s="1"/>
  <c r="Q445" i="5"/>
  <c r="L445" i="5"/>
  <c r="K445" i="5"/>
  <c r="Q444" i="5"/>
  <c r="L444" i="5"/>
  <c r="M444" i="5" s="1"/>
  <c r="K444" i="5"/>
  <c r="Q443" i="5"/>
  <c r="N443" i="5"/>
  <c r="L443" i="5"/>
  <c r="K443" i="5"/>
  <c r="Q442" i="5"/>
  <c r="L442" i="5"/>
  <c r="M442" i="5" s="1"/>
  <c r="K442" i="5"/>
  <c r="Q441" i="5"/>
  <c r="N441" i="5"/>
  <c r="M441" i="5"/>
  <c r="Q440" i="5"/>
  <c r="N440" i="5"/>
  <c r="M440" i="5"/>
  <c r="Q439" i="5"/>
  <c r="L439" i="5"/>
  <c r="M439" i="5" s="1"/>
  <c r="Q438" i="5"/>
  <c r="N438" i="5"/>
  <c r="M438" i="5"/>
  <c r="L438" i="5"/>
  <c r="Q437" i="5"/>
  <c r="L437" i="5"/>
  <c r="K437" i="5"/>
  <c r="G437" i="5"/>
  <c r="Q436" i="5"/>
  <c r="M436" i="5"/>
  <c r="L436" i="5"/>
  <c r="K436" i="5"/>
  <c r="G436" i="5"/>
  <c r="Q435" i="5"/>
  <c r="L435" i="5"/>
  <c r="M435" i="5" s="1"/>
  <c r="K435" i="5"/>
  <c r="Q434" i="5"/>
  <c r="N434" i="5"/>
  <c r="M434" i="5"/>
  <c r="Q433" i="5"/>
  <c r="N433" i="5"/>
  <c r="M433" i="5"/>
  <c r="Q432" i="5"/>
  <c r="L432" i="5"/>
  <c r="M432" i="5" s="1"/>
  <c r="Q431" i="5"/>
  <c r="L431" i="5"/>
  <c r="N431" i="5" s="1"/>
  <c r="Q430" i="5"/>
  <c r="L430" i="5"/>
  <c r="M430" i="5" s="1"/>
  <c r="K430" i="5"/>
  <c r="K534" i="5" s="1"/>
  <c r="Q429" i="5"/>
  <c r="L429" i="5"/>
  <c r="M429" i="5" s="1"/>
  <c r="K429" i="5"/>
  <c r="Q428" i="5"/>
  <c r="L428" i="5"/>
  <c r="M428" i="5" s="1"/>
  <c r="K428" i="5"/>
  <c r="Q427" i="5"/>
  <c r="N427" i="5"/>
  <c r="M427" i="5"/>
  <c r="Q426" i="5"/>
  <c r="N426" i="5"/>
  <c r="M426" i="5"/>
  <c r="Q425" i="5"/>
  <c r="N425" i="5"/>
  <c r="M425" i="5"/>
  <c r="Q424" i="5"/>
  <c r="N424" i="5"/>
  <c r="M424" i="5"/>
  <c r="Q423" i="5"/>
  <c r="N423" i="5"/>
  <c r="M423" i="5"/>
  <c r="Q422" i="5"/>
  <c r="N422" i="5"/>
  <c r="M422" i="5"/>
  <c r="Q421" i="5"/>
  <c r="N421" i="5"/>
  <c r="M421" i="5"/>
  <c r="H421" i="5"/>
  <c r="G421" i="5"/>
  <c r="Q420" i="5"/>
  <c r="N420" i="5"/>
  <c r="M420" i="5"/>
  <c r="Q419" i="5"/>
  <c r="N419" i="5"/>
  <c r="M419" i="5"/>
  <c r="Q418" i="5"/>
  <c r="N418" i="5"/>
  <c r="M418" i="5"/>
  <c r="Q417" i="5"/>
  <c r="N417" i="5"/>
  <c r="M417" i="5"/>
  <c r="Q416" i="5"/>
  <c r="N416" i="5"/>
  <c r="M416" i="5"/>
  <c r="Q415" i="5"/>
  <c r="N415" i="5"/>
  <c r="M415" i="5"/>
  <c r="Q414" i="5"/>
  <c r="N414" i="5"/>
  <c r="M414" i="5"/>
  <c r="Q413" i="5"/>
  <c r="N413" i="5"/>
  <c r="M413" i="5"/>
  <c r="Q412" i="5"/>
  <c r="N412" i="5"/>
  <c r="M412" i="5"/>
  <c r="Q411" i="5"/>
  <c r="N411" i="5"/>
  <c r="M411" i="5"/>
  <c r="Q410" i="5"/>
  <c r="H410" i="5"/>
  <c r="G410" i="5"/>
  <c r="Q409" i="5"/>
  <c r="H409" i="5"/>
  <c r="G409" i="5"/>
  <c r="Q408" i="5"/>
  <c r="H408" i="5"/>
  <c r="G408" i="5"/>
  <c r="Q407" i="5"/>
  <c r="H407" i="5"/>
  <c r="G407" i="5"/>
  <c r="Q406" i="5"/>
  <c r="H406" i="5"/>
  <c r="G406" i="5"/>
  <c r="Q405" i="5"/>
  <c r="H405" i="5"/>
  <c r="G405" i="5"/>
  <c r="Q404" i="5"/>
  <c r="H404" i="5"/>
  <c r="G404" i="5"/>
  <c r="Q403" i="5"/>
  <c r="H403" i="5"/>
  <c r="G403" i="5"/>
  <c r="Q402" i="5"/>
  <c r="H402" i="5"/>
  <c r="G402" i="5"/>
  <c r="Q401" i="5"/>
  <c r="H401" i="5"/>
  <c r="G401" i="5"/>
  <c r="Q400" i="5"/>
  <c r="H400" i="5"/>
  <c r="G400" i="5"/>
  <c r="Q399" i="5"/>
  <c r="H399" i="5"/>
  <c r="G399" i="5"/>
  <c r="Q398" i="5"/>
  <c r="Q397" i="5"/>
  <c r="Q396" i="5"/>
  <c r="Q395" i="5"/>
  <c r="Q394" i="5"/>
  <c r="Q393" i="5"/>
  <c r="M393" i="5"/>
  <c r="L393" i="5"/>
  <c r="N393" i="5" s="1"/>
  <c r="Q392" i="5"/>
  <c r="L392" i="5"/>
  <c r="M392" i="5" s="1"/>
  <c r="Q391" i="5"/>
  <c r="N391" i="5"/>
  <c r="M391" i="5"/>
  <c r="Q390" i="5"/>
  <c r="N390" i="5"/>
  <c r="M390" i="5"/>
  <c r="Q389" i="5"/>
  <c r="N389" i="5"/>
  <c r="M389" i="5"/>
  <c r="Q388" i="5"/>
  <c r="N388" i="5"/>
  <c r="M388" i="5"/>
  <c r="Q387" i="5"/>
  <c r="N387" i="5"/>
  <c r="M387" i="5"/>
  <c r="Q386" i="5"/>
  <c r="N386" i="5"/>
  <c r="M386" i="5"/>
  <c r="Q385" i="5"/>
  <c r="L385" i="5"/>
  <c r="K385" i="5"/>
  <c r="N385" i="5" s="1"/>
  <c r="Q384" i="5"/>
  <c r="N384" i="5"/>
  <c r="M384" i="5"/>
  <c r="Q383" i="5"/>
  <c r="N383" i="5"/>
  <c r="M383" i="5"/>
  <c r="Q382" i="5"/>
  <c r="N382" i="5"/>
  <c r="M382" i="5"/>
  <c r="Q381" i="5"/>
  <c r="N381" i="5"/>
  <c r="M381" i="5"/>
  <c r="Q380" i="5"/>
  <c r="Q379" i="5"/>
  <c r="Q378" i="5"/>
  <c r="Q377" i="5"/>
  <c r="N377" i="5"/>
  <c r="M377" i="5"/>
  <c r="Q376" i="5"/>
  <c r="N376" i="5"/>
  <c r="M376" i="5"/>
  <c r="Q375" i="5"/>
  <c r="N375" i="5"/>
  <c r="M375" i="5"/>
  <c r="Q374" i="5"/>
  <c r="N374" i="5"/>
  <c r="M374" i="5"/>
  <c r="Q373" i="5"/>
  <c r="N373" i="5"/>
  <c r="M373" i="5"/>
  <c r="Q372" i="5"/>
  <c r="N372" i="5"/>
  <c r="M372" i="5"/>
  <c r="Q371" i="5"/>
  <c r="N371" i="5"/>
  <c r="M371" i="5"/>
  <c r="Q370" i="5"/>
  <c r="N370" i="5"/>
  <c r="M370" i="5"/>
  <c r="Q369" i="5"/>
  <c r="N369" i="5"/>
  <c r="M369" i="5"/>
  <c r="Q368" i="5"/>
  <c r="N368" i="5"/>
  <c r="M368" i="5"/>
  <c r="Q367" i="5"/>
  <c r="N367" i="5"/>
  <c r="M367" i="5"/>
  <c r="Q366" i="5"/>
  <c r="Q365" i="5"/>
  <c r="Q364" i="5"/>
  <c r="Q363" i="5"/>
  <c r="M363" i="5"/>
  <c r="Q362" i="5"/>
  <c r="M362" i="5"/>
  <c r="Q361" i="5"/>
  <c r="Q360" i="5"/>
  <c r="Q359" i="5"/>
  <c r="H359" i="5"/>
  <c r="G359" i="5"/>
  <c r="Q358" i="5"/>
  <c r="Q357" i="5"/>
  <c r="Q356" i="5"/>
  <c r="Q355" i="5"/>
  <c r="Q354" i="5"/>
  <c r="Q353" i="5"/>
  <c r="Q352" i="5"/>
  <c r="N352" i="5"/>
  <c r="M352" i="5"/>
  <c r="Q351" i="5"/>
  <c r="N351" i="5"/>
  <c r="M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N301" i="5"/>
  <c r="M301" i="5"/>
  <c r="Q300" i="5"/>
  <c r="N300" i="5"/>
  <c r="M300" i="5"/>
  <c r="Q299" i="5"/>
  <c r="N299" i="5"/>
  <c r="M299" i="5"/>
  <c r="Q298" i="5"/>
  <c r="N298" i="5"/>
  <c r="M298" i="5"/>
  <c r="Q297" i="5"/>
  <c r="N297" i="5"/>
  <c r="M297" i="5"/>
  <c r="Q296" i="5"/>
  <c r="N296" i="5"/>
  <c r="M296" i="5"/>
  <c r="Q295" i="5"/>
  <c r="N295" i="5"/>
  <c r="M295" i="5"/>
  <c r="Q294" i="5"/>
  <c r="N294" i="5"/>
  <c r="M294" i="5"/>
  <c r="Q293" i="5"/>
  <c r="N293" i="5"/>
  <c r="M293" i="5"/>
  <c r="Q292" i="5"/>
  <c r="N292" i="5"/>
  <c r="M292" i="5"/>
  <c r="Q291" i="5"/>
  <c r="N291" i="5"/>
  <c r="M291" i="5"/>
  <c r="Q290" i="5"/>
  <c r="N290" i="5"/>
  <c r="M290" i="5"/>
  <c r="Q289" i="5"/>
  <c r="N289" i="5"/>
  <c r="M289" i="5"/>
  <c r="Q288" i="5"/>
  <c r="N288" i="5"/>
  <c r="M288" i="5"/>
  <c r="Q287" i="5"/>
  <c r="N287" i="5"/>
  <c r="M287" i="5"/>
  <c r="Q286" i="5"/>
  <c r="N286" i="5"/>
  <c r="M286" i="5"/>
  <c r="Q285" i="5"/>
  <c r="N285" i="5"/>
  <c r="M285" i="5"/>
  <c r="Q284" i="5"/>
  <c r="N284" i="5"/>
  <c r="M284" i="5"/>
  <c r="Q283" i="5"/>
  <c r="N283" i="5"/>
  <c r="M283" i="5"/>
  <c r="Q282" i="5"/>
  <c r="N282" i="5"/>
  <c r="M282" i="5"/>
  <c r="H282" i="5"/>
  <c r="G282" i="5"/>
  <c r="Q281" i="5"/>
  <c r="N281" i="5"/>
  <c r="M281" i="5"/>
  <c r="H281" i="5"/>
  <c r="Q280" i="5"/>
  <c r="N280" i="5"/>
  <c r="M280" i="5"/>
  <c r="Q279" i="5"/>
  <c r="N279" i="5"/>
  <c r="M279" i="5"/>
  <c r="Q278" i="5"/>
  <c r="N278" i="5"/>
  <c r="M278" i="5"/>
  <c r="Q277" i="5"/>
  <c r="N277" i="5"/>
  <c r="M277" i="5"/>
  <c r="Q276" i="5"/>
  <c r="N276" i="5"/>
  <c r="M276" i="5"/>
  <c r="Q275" i="5"/>
  <c r="N275" i="5"/>
  <c r="M275" i="5"/>
  <c r="Q274" i="5"/>
  <c r="N274" i="5"/>
  <c r="M274" i="5"/>
  <c r="Q273" i="5"/>
  <c r="N273" i="5"/>
  <c r="M273" i="5"/>
  <c r="Q272" i="5"/>
  <c r="N272" i="5"/>
  <c r="M272" i="5"/>
  <c r="Q271" i="5"/>
  <c r="N271" i="5"/>
  <c r="M271" i="5"/>
  <c r="Q270" i="5"/>
  <c r="H270" i="5"/>
  <c r="G270" i="5"/>
  <c r="Q269" i="5"/>
  <c r="H269" i="5"/>
  <c r="G269" i="5"/>
  <c r="Q268" i="5"/>
  <c r="H268" i="5"/>
  <c r="G268" i="5"/>
  <c r="Q267" i="5"/>
  <c r="H267" i="5"/>
  <c r="G267" i="5"/>
  <c r="Q266" i="5"/>
  <c r="H266" i="5"/>
  <c r="G266" i="5"/>
  <c r="Q265" i="5"/>
  <c r="H265" i="5"/>
  <c r="G265" i="5"/>
  <c r="Q264" i="5"/>
  <c r="H264" i="5"/>
  <c r="G264" i="5"/>
  <c r="Q263" i="5"/>
  <c r="H263" i="5"/>
  <c r="G263" i="5"/>
  <c r="Q262" i="5"/>
  <c r="H262" i="5"/>
  <c r="G262" i="5"/>
  <c r="Q261" i="5"/>
  <c r="H261" i="5"/>
  <c r="G261" i="5"/>
  <c r="Q260" i="5"/>
  <c r="H260" i="5"/>
  <c r="G260" i="5"/>
  <c r="Q259" i="5"/>
  <c r="H259" i="5"/>
  <c r="G259" i="5"/>
  <c r="Q258" i="5"/>
  <c r="N258" i="5"/>
  <c r="M258" i="5"/>
  <c r="Q257" i="5"/>
  <c r="N257" i="5"/>
  <c r="M257" i="5"/>
  <c r="Q256" i="5"/>
  <c r="N256" i="5"/>
  <c r="M256" i="5"/>
  <c r="Q255" i="5"/>
  <c r="N255" i="5"/>
  <c r="M255" i="5"/>
  <c r="Q254" i="5"/>
  <c r="N254" i="5"/>
  <c r="M254" i="5"/>
  <c r="Q253" i="5"/>
  <c r="N253" i="5"/>
  <c r="M253" i="5"/>
  <c r="Q252" i="5"/>
  <c r="N252" i="5"/>
  <c r="M252" i="5"/>
  <c r="Q251" i="5"/>
  <c r="N251" i="5"/>
  <c r="M251" i="5"/>
  <c r="Q250" i="5"/>
  <c r="N250" i="5"/>
  <c r="M250" i="5"/>
  <c r="Q249" i="5"/>
  <c r="N249" i="5"/>
  <c r="M249" i="5"/>
  <c r="Q248" i="5"/>
  <c r="N248" i="5"/>
  <c r="M248" i="5"/>
  <c r="Q247" i="5"/>
  <c r="N247" i="5"/>
  <c r="M247" i="5"/>
  <c r="Q246" i="5"/>
  <c r="N246" i="5"/>
  <c r="M246" i="5"/>
  <c r="Q245" i="5"/>
  <c r="N245" i="5"/>
  <c r="M245" i="5"/>
  <c r="Q244" i="5"/>
  <c r="N244" i="5"/>
  <c r="M244" i="5"/>
  <c r="Q243" i="5"/>
  <c r="N243" i="5"/>
  <c r="M243" i="5"/>
  <c r="Q242" i="5"/>
  <c r="N242" i="5"/>
  <c r="M242" i="5"/>
  <c r="Q241" i="5"/>
  <c r="N241" i="5"/>
  <c r="M241" i="5"/>
  <c r="Q240" i="5"/>
  <c r="N240" i="5"/>
  <c r="M240" i="5"/>
  <c r="Q239" i="5"/>
  <c r="N239" i="5"/>
  <c r="M239" i="5"/>
  <c r="Q238" i="5"/>
  <c r="N238" i="5"/>
  <c r="M238" i="5"/>
  <c r="Q237" i="5"/>
  <c r="N237" i="5"/>
  <c r="M237" i="5"/>
  <c r="Q236" i="5"/>
  <c r="N236" i="5"/>
  <c r="M236" i="5"/>
  <c r="Q235" i="5"/>
  <c r="N235" i="5"/>
  <c r="M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L216" i="5"/>
  <c r="K216" i="5"/>
  <c r="Q215" i="5"/>
  <c r="L215" i="5"/>
  <c r="Q214" i="5"/>
  <c r="Q213" i="5"/>
  <c r="Q212" i="5"/>
  <c r="Q211" i="5"/>
  <c r="Q210" i="5"/>
  <c r="N210" i="5"/>
  <c r="M210" i="5"/>
  <c r="Q209" i="5"/>
  <c r="N209" i="5"/>
  <c r="M209" i="5"/>
  <c r="Q208" i="5"/>
  <c r="N208" i="5"/>
  <c r="M208" i="5"/>
  <c r="Q207" i="5"/>
  <c r="N207" i="5"/>
  <c r="M207" i="5"/>
  <c r="Q206" i="5"/>
  <c r="N206" i="5"/>
  <c r="M206" i="5"/>
  <c r="Q205" i="5"/>
  <c r="N205" i="5"/>
  <c r="M205" i="5"/>
  <c r="Q204" i="5"/>
  <c r="N204" i="5"/>
  <c r="M204" i="5"/>
  <c r="Q203" i="5"/>
  <c r="N203" i="5"/>
  <c r="M203" i="5"/>
  <c r="Q202" i="5"/>
  <c r="N202" i="5"/>
  <c r="M202" i="5"/>
  <c r="Q201" i="5"/>
  <c r="N201" i="5"/>
  <c r="M201" i="5"/>
  <c r="Q200" i="5"/>
  <c r="N200" i="5"/>
  <c r="M200" i="5"/>
  <c r="Q199" i="5"/>
  <c r="N199" i="5"/>
  <c r="M199" i="5"/>
  <c r="Q198" i="5"/>
  <c r="N198" i="5"/>
  <c r="M198" i="5"/>
  <c r="Q197" i="5"/>
  <c r="N197" i="5"/>
  <c r="M197" i="5"/>
  <c r="Q196" i="5"/>
  <c r="H196" i="5"/>
  <c r="G196" i="5"/>
  <c r="Q195" i="5"/>
  <c r="H195" i="5"/>
  <c r="G195" i="5"/>
  <c r="Q194" i="5"/>
  <c r="H194" i="5"/>
  <c r="G194" i="5"/>
  <c r="Q193" i="5"/>
  <c r="H193" i="5"/>
  <c r="G193" i="5"/>
  <c r="I193" i="5" s="1"/>
  <c r="Q192" i="5"/>
  <c r="H192" i="5"/>
  <c r="G192" i="5"/>
  <c r="Q191" i="5"/>
  <c r="H191" i="5"/>
  <c r="G191" i="5"/>
  <c r="Q190" i="5"/>
  <c r="M190" i="5"/>
  <c r="Q189" i="5"/>
  <c r="M189" i="5"/>
  <c r="Q188" i="5"/>
  <c r="M188" i="5"/>
  <c r="Q187" i="5"/>
  <c r="Q186" i="5"/>
  <c r="Q185" i="5"/>
  <c r="N185" i="5"/>
  <c r="M185" i="5"/>
  <c r="Q184" i="5"/>
  <c r="N184" i="5"/>
  <c r="M184" i="5"/>
  <c r="Q183" i="5"/>
  <c r="N183" i="5"/>
  <c r="M183" i="5"/>
  <c r="Q182" i="5"/>
  <c r="N182" i="5"/>
  <c r="M182" i="5"/>
  <c r="Q181" i="5"/>
  <c r="N181" i="5"/>
  <c r="M181" i="5"/>
  <c r="Q180" i="5"/>
  <c r="N180" i="5"/>
  <c r="M180" i="5"/>
  <c r="Q179" i="5"/>
  <c r="N179" i="5"/>
  <c r="M179" i="5"/>
  <c r="Q178" i="5"/>
  <c r="N178" i="5"/>
  <c r="M178" i="5"/>
  <c r="Q177" i="5"/>
  <c r="N177" i="5"/>
  <c r="M177" i="5"/>
  <c r="Q176" i="5"/>
  <c r="N176" i="5"/>
  <c r="M176" i="5"/>
  <c r="Q175" i="5"/>
  <c r="N175" i="5"/>
  <c r="M175" i="5"/>
  <c r="Q174" i="5"/>
  <c r="N174" i="5"/>
  <c r="M174" i="5"/>
  <c r="Q173" i="5"/>
  <c r="N173" i="5"/>
  <c r="M173" i="5"/>
  <c r="Q172" i="5"/>
  <c r="N172" i="5"/>
  <c r="M172" i="5"/>
  <c r="Q171" i="5"/>
  <c r="N171" i="5"/>
  <c r="M171" i="5"/>
  <c r="Q170" i="5"/>
  <c r="N170" i="5"/>
  <c r="M170" i="5"/>
  <c r="Q169" i="5"/>
  <c r="N169" i="5"/>
  <c r="M169" i="5"/>
  <c r="Q168" i="5"/>
  <c r="N168" i="5"/>
  <c r="M168" i="5"/>
  <c r="Q167" i="5"/>
  <c r="N167" i="5"/>
  <c r="M167" i="5"/>
  <c r="Q166" i="5"/>
  <c r="N166" i="5"/>
  <c r="M166" i="5"/>
  <c r="Q165" i="5"/>
  <c r="N165" i="5"/>
  <c r="M165" i="5"/>
  <c r="Q164" i="5"/>
  <c r="N164" i="5"/>
  <c r="M164" i="5"/>
  <c r="Q163" i="5"/>
  <c r="N163" i="5"/>
  <c r="M163" i="5"/>
  <c r="Q162" i="5"/>
  <c r="N162" i="5"/>
  <c r="M162" i="5"/>
  <c r="Q161" i="5"/>
  <c r="N161" i="5"/>
  <c r="M161" i="5"/>
  <c r="Q160" i="5"/>
  <c r="N160" i="5"/>
  <c r="M160" i="5"/>
  <c r="Q159" i="5"/>
  <c r="N159" i="5"/>
  <c r="M159" i="5"/>
  <c r="Q158" i="5"/>
  <c r="N158" i="5"/>
  <c r="M158" i="5"/>
  <c r="Q157" i="5"/>
  <c r="N157" i="5"/>
  <c r="M157" i="5"/>
  <c r="Q156" i="5"/>
  <c r="N156" i="5"/>
  <c r="M156" i="5"/>
  <c r="Q155" i="5"/>
  <c r="N155" i="5"/>
  <c r="M155" i="5"/>
  <c r="Q154" i="5"/>
  <c r="M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N138" i="5"/>
  <c r="M138" i="5"/>
  <c r="Q137" i="5"/>
  <c r="N137" i="5"/>
  <c r="M137" i="5"/>
  <c r="Q136" i="5"/>
  <c r="N136" i="5"/>
  <c r="M136" i="5"/>
  <c r="Q135" i="5"/>
  <c r="N135" i="5"/>
  <c r="M135" i="5"/>
  <c r="Q134" i="5"/>
  <c r="Q133" i="5"/>
  <c r="Q132" i="5"/>
  <c r="N132" i="5"/>
  <c r="M132" i="5"/>
  <c r="Q131" i="5"/>
  <c r="N131" i="5"/>
  <c r="M131" i="5"/>
  <c r="Q130" i="5"/>
  <c r="N130" i="5"/>
  <c r="M130" i="5"/>
  <c r="Q129" i="5"/>
  <c r="N129" i="5"/>
  <c r="M129" i="5"/>
  <c r="Q128" i="5"/>
  <c r="N128" i="5"/>
  <c r="M128" i="5"/>
  <c r="Q127" i="5"/>
  <c r="Q126" i="5"/>
  <c r="Q125" i="5"/>
  <c r="Q124" i="5"/>
  <c r="Q123" i="5"/>
  <c r="Q122" i="5"/>
  <c r="Q121" i="5"/>
  <c r="L121" i="5"/>
  <c r="K121" i="5"/>
  <c r="Q120" i="5"/>
  <c r="N120" i="5"/>
  <c r="M120" i="5"/>
  <c r="Q119" i="5"/>
  <c r="N119" i="5"/>
  <c r="M119" i="5"/>
  <c r="Q118" i="5"/>
  <c r="N118" i="5"/>
  <c r="M118" i="5"/>
  <c r="Q117" i="5"/>
  <c r="N117" i="5"/>
  <c r="M117" i="5"/>
  <c r="Q116" i="5"/>
  <c r="N116" i="5"/>
  <c r="M116" i="5"/>
  <c r="Q115" i="5"/>
  <c r="Q114" i="5"/>
  <c r="Q113" i="5"/>
  <c r="Q112" i="5"/>
  <c r="Q111" i="5"/>
  <c r="Q110" i="5"/>
  <c r="Q109" i="5"/>
  <c r="H109" i="5"/>
  <c r="G109" i="5"/>
  <c r="Q108" i="5"/>
  <c r="H108" i="5"/>
  <c r="G108" i="5"/>
  <c r="Q107" i="5"/>
  <c r="H107" i="5"/>
  <c r="G107" i="5"/>
  <c r="Q106" i="5"/>
  <c r="H106" i="5"/>
  <c r="G106" i="5"/>
  <c r="Q105" i="5"/>
  <c r="H105" i="5"/>
  <c r="G105" i="5"/>
  <c r="Q104" i="5"/>
  <c r="H104" i="5"/>
  <c r="G104" i="5"/>
  <c r="Q103" i="5"/>
  <c r="H103" i="5"/>
  <c r="G103" i="5"/>
  <c r="Q102" i="5"/>
  <c r="H102" i="5"/>
  <c r="G102" i="5"/>
  <c r="Q101" i="5"/>
  <c r="H101" i="5"/>
  <c r="G101" i="5"/>
  <c r="Q100" i="5"/>
  <c r="H100" i="5"/>
  <c r="G100" i="5"/>
  <c r="Q99" i="5"/>
  <c r="H99" i="5"/>
  <c r="G99" i="5"/>
  <c r="Q98" i="5"/>
  <c r="H98" i="5"/>
  <c r="G98" i="5"/>
  <c r="Q97" i="5"/>
  <c r="N97" i="5"/>
  <c r="M97" i="5"/>
  <c r="Q96" i="5"/>
  <c r="N96" i="5"/>
  <c r="M96" i="5"/>
  <c r="Q95" i="5"/>
  <c r="N95" i="5"/>
  <c r="M95" i="5"/>
  <c r="Q94" i="5"/>
  <c r="N94" i="5"/>
  <c r="M94" i="5"/>
  <c r="Q93" i="5"/>
  <c r="N93" i="5"/>
  <c r="M93" i="5"/>
  <c r="Q92" i="5"/>
  <c r="N92" i="5"/>
  <c r="M92" i="5"/>
  <c r="Q91" i="5"/>
  <c r="Q90" i="5"/>
  <c r="Q89" i="5"/>
  <c r="Q88" i="5"/>
  <c r="Q87" i="5"/>
  <c r="Q86" i="5"/>
  <c r="Q85" i="5"/>
  <c r="H85" i="5"/>
  <c r="G85" i="5"/>
  <c r="Q84" i="5"/>
  <c r="H84" i="5"/>
  <c r="G84" i="5"/>
  <c r="Q83" i="5"/>
  <c r="H83" i="5"/>
  <c r="G83" i="5"/>
  <c r="Q82" i="5"/>
  <c r="H82" i="5"/>
  <c r="G82" i="5"/>
  <c r="Q81" i="5"/>
  <c r="H81" i="5"/>
  <c r="G81" i="5"/>
  <c r="Q80" i="5"/>
  <c r="H80" i="5"/>
  <c r="G80" i="5"/>
  <c r="Q79" i="5"/>
  <c r="H79" i="5"/>
  <c r="G79" i="5"/>
  <c r="Q78" i="5"/>
  <c r="H78" i="5"/>
  <c r="G78" i="5"/>
  <c r="Q77" i="5"/>
  <c r="H77" i="5"/>
  <c r="G77" i="5"/>
  <c r="Q76" i="5"/>
  <c r="H76" i="5"/>
  <c r="G76" i="5"/>
  <c r="Q75" i="5"/>
  <c r="H75" i="5"/>
  <c r="G75" i="5"/>
  <c r="Q74" i="5"/>
  <c r="H74" i="5"/>
  <c r="G74" i="5"/>
  <c r="Q73" i="5"/>
  <c r="N73" i="5"/>
  <c r="M73" i="5"/>
  <c r="Q72" i="5"/>
  <c r="N72" i="5"/>
  <c r="M72" i="5"/>
  <c r="Q71" i="5"/>
  <c r="N71" i="5"/>
  <c r="M71" i="5"/>
  <c r="Q70" i="5"/>
  <c r="Q69" i="5"/>
  <c r="Q68" i="5"/>
  <c r="Q67" i="5"/>
  <c r="Q66" i="5"/>
  <c r="Q65" i="5"/>
  <c r="Q64" i="5"/>
  <c r="Q63" i="5"/>
  <c r="Q62" i="5"/>
  <c r="Q61" i="5"/>
  <c r="H61" i="5"/>
  <c r="G61" i="5"/>
  <c r="Q60" i="5"/>
  <c r="H60" i="5"/>
  <c r="G60" i="5"/>
  <c r="Q59" i="5"/>
  <c r="H59" i="5"/>
  <c r="G59" i="5"/>
  <c r="Q58" i="5"/>
  <c r="H58" i="5"/>
  <c r="G58" i="5"/>
  <c r="Q57" i="5"/>
  <c r="H57" i="5"/>
  <c r="G57" i="5"/>
  <c r="Q56" i="5"/>
  <c r="H56" i="5"/>
  <c r="G56" i="5"/>
  <c r="Q55" i="5"/>
  <c r="H55" i="5"/>
  <c r="G55" i="5"/>
  <c r="Q54" i="5"/>
  <c r="H54" i="5"/>
  <c r="G54" i="5"/>
  <c r="Q53" i="5"/>
  <c r="H53" i="5"/>
  <c r="G53" i="5"/>
  <c r="Q52" i="5"/>
  <c r="H52" i="5"/>
  <c r="G52" i="5"/>
  <c r="Q51" i="5"/>
  <c r="H51" i="5"/>
  <c r="G51" i="5"/>
  <c r="Q50" i="5"/>
  <c r="H50" i="5"/>
  <c r="G50" i="5"/>
  <c r="Q49" i="5"/>
  <c r="N49" i="5"/>
  <c r="M49" i="5"/>
  <c r="Q48" i="5"/>
  <c r="N48" i="5"/>
  <c r="M48" i="5"/>
  <c r="Q47" i="5"/>
  <c r="M47" i="5"/>
  <c r="Q46" i="5"/>
  <c r="Q45" i="5"/>
  <c r="Q44" i="5"/>
  <c r="Q43" i="5"/>
  <c r="Q42" i="5"/>
  <c r="Q41" i="5"/>
  <c r="Q40" i="5"/>
  <c r="Q39" i="5"/>
  <c r="Q38" i="5"/>
  <c r="Q37" i="5"/>
  <c r="H37" i="5"/>
  <c r="G37" i="5"/>
  <c r="Q36" i="5"/>
  <c r="H36" i="5"/>
  <c r="G36" i="5"/>
  <c r="Q35" i="5"/>
  <c r="H35" i="5"/>
  <c r="G35" i="5"/>
  <c r="Q34" i="5"/>
  <c r="H34" i="5"/>
  <c r="I34" i="5" s="1"/>
  <c r="G34" i="5"/>
  <c r="Q33" i="5"/>
  <c r="H33" i="5"/>
  <c r="G33" i="5"/>
  <c r="Q32" i="5"/>
  <c r="H32" i="5"/>
  <c r="G32" i="5"/>
  <c r="Q31" i="5"/>
  <c r="H31" i="5"/>
  <c r="G31" i="5"/>
  <c r="Q30" i="5"/>
  <c r="H30" i="5"/>
  <c r="G30" i="5"/>
  <c r="Q29" i="5"/>
  <c r="H29" i="5"/>
  <c r="G29" i="5"/>
  <c r="Q28" i="5"/>
  <c r="H28" i="5"/>
  <c r="G28" i="5"/>
  <c r="Q27" i="5"/>
  <c r="H27" i="5"/>
  <c r="G27" i="5"/>
  <c r="Q26" i="5"/>
  <c r="H26" i="5"/>
  <c r="G26" i="5"/>
  <c r="Q25" i="5"/>
  <c r="N25" i="5"/>
  <c r="M25" i="5"/>
  <c r="Q24" i="5"/>
  <c r="N24" i="5"/>
  <c r="M24" i="5"/>
  <c r="Q23" i="5"/>
  <c r="Q22" i="5"/>
  <c r="Q21" i="5"/>
  <c r="Q20" i="5"/>
  <c r="Q19" i="5"/>
  <c r="Q18" i="5"/>
  <c r="Q17" i="5"/>
  <c r="Q16" i="5"/>
  <c r="Q15" i="5"/>
  <c r="Q14" i="5"/>
  <c r="Q13" i="5"/>
  <c r="H13" i="5"/>
  <c r="G13" i="5"/>
  <c r="Q12" i="5"/>
  <c r="H12" i="5"/>
  <c r="G12" i="5"/>
  <c r="Q11" i="5"/>
  <c r="H11" i="5"/>
  <c r="G11" i="5"/>
  <c r="Q10" i="5"/>
  <c r="H10" i="5"/>
  <c r="G10" i="5"/>
  <c r="Q9" i="5"/>
  <c r="H9" i="5"/>
  <c r="G9" i="5"/>
  <c r="Q8" i="5"/>
  <c r="H8" i="5"/>
  <c r="G8" i="5"/>
  <c r="Q7" i="5"/>
  <c r="H7" i="5"/>
  <c r="G7" i="5"/>
  <c r="Q6" i="5"/>
  <c r="H6" i="5"/>
  <c r="G6" i="5"/>
  <c r="Q5" i="5"/>
  <c r="H5" i="5"/>
  <c r="G5" i="5"/>
  <c r="Q4" i="5"/>
  <c r="H4" i="5"/>
  <c r="G4" i="5"/>
  <c r="Q3" i="5"/>
  <c r="H3" i="5"/>
  <c r="I3" i="5" s="1"/>
  <c r="Q2" i="5"/>
  <c r="H2" i="5"/>
  <c r="I2" i="5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2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436" i="5" l="1"/>
  <c r="N484" i="5"/>
  <c r="M437" i="5"/>
  <c r="M445" i="5"/>
  <c r="M431" i="5"/>
  <c r="N442" i="5"/>
  <c r="M450" i="5"/>
  <c r="M446" i="5"/>
  <c r="I26" i="5"/>
  <c r="I98" i="5"/>
  <c r="N528" i="5"/>
  <c r="I401" i="5"/>
  <c r="N530" i="5"/>
  <c r="I266" i="5"/>
  <c r="I7" i="5"/>
  <c r="I100" i="5"/>
  <c r="I104" i="5"/>
  <c r="I108" i="5"/>
  <c r="I31" i="5"/>
  <c r="I405" i="5"/>
  <c r="I262" i="5"/>
  <c r="I270" i="5"/>
  <c r="I359" i="5"/>
  <c r="I400" i="5"/>
  <c r="I268" i="5"/>
  <c r="I409" i="5"/>
  <c r="I421" i="5"/>
  <c r="I410" i="5"/>
  <c r="I109" i="5"/>
  <c r="M121" i="5"/>
  <c r="I191" i="5"/>
  <c r="I407" i="5"/>
  <c r="I27" i="5"/>
  <c r="I35" i="5"/>
  <c r="I74" i="5"/>
  <c r="I78" i="5"/>
  <c r="I82" i="5"/>
  <c r="I54" i="5"/>
  <c r="M519" i="5"/>
  <c r="I399" i="5"/>
  <c r="I406" i="5"/>
  <c r="I50" i="5"/>
  <c r="I58" i="5"/>
  <c r="I5" i="5"/>
  <c r="I33" i="5"/>
  <c r="I282" i="5"/>
  <c r="I403" i="5"/>
  <c r="I479" i="5"/>
  <c r="M508" i="5"/>
  <c r="I61" i="5"/>
  <c r="I83" i="5"/>
  <c r="I261" i="5"/>
  <c r="I32" i="5"/>
  <c r="I9" i="5"/>
  <c r="I55" i="5"/>
  <c r="I77" i="5"/>
  <c r="I81" i="5"/>
  <c r="I194" i="5"/>
  <c r="I259" i="5"/>
  <c r="I263" i="5"/>
  <c r="I79" i="5"/>
  <c r="I75" i="5"/>
  <c r="I52" i="5"/>
  <c r="I404" i="5"/>
  <c r="I10" i="5"/>
  <c r="I56" i="5"/>
  <c r="I60" i="5"/>
  <c r="I260" i="5"/>
  <c r="I264" i="5"/>
  <c r="I6" i="5"/>
  <c r="I13" i="5"/>
  <c r="I51" i="5"/>
  <c r="I99" i="5"/>
  <c r="I28" i="5"/>
  <c r="I76" i="5"/>
  <c r="I80" i="5"/>
  <c r="I84" i="5"/>
  <c r="I103" i="5"/>
  <c r="I195" i="5"/>
  <c r="I265" i="5"/>
  <c r="I402" i="5"/>
  <c r="I408" i="5"/>
  <c r="I107" i="5"/>
  <c r="I192" i="5"/>
  <c r="I4" i="5"/>
  <c r="I29" i="5"/>
  <c r="I59" i="5"/>
  <c r="I269" i="5"/>
  <c r="I196" i="5"/>
  <c r="M530" i="5"/>
  <c r="I36" i="5"/>
  <c r="I85" i="5"/>
  <c r="I30" i="5"/>
  <c r="I53" i="5"/>
  <c r="I101" i="5"/>
  <c r="I11" i="5"/>
  <c r="I8" i="5"/>
  <c r="I105" i="5"/>
  <c r="I12" i="5"/>
  <c r="I37" i="5"/>
  <c r="I57" i="5"/>
  <c r="I102" i="5"/>
  <c r="I267" i="5"/>
  <c r="I106" i="5"/>
  <c r="M528" i="5"/>
  <c r="I478" i="5"/>
  <c r="N121" i="5"/>
  <c r="M385" i="5"/>
  <c r="N439" i="5"/>
  <c r="N450" i="5"/>
  <c r="N478" i="5"/>
  <c r="M484" i="5"/>
  <c r="L533" i="5"/>
  <c r="N429" i="5"/>
  <c r="N432" i="5"/>
  <c r="N437" i="5"/>
  <c r="N445" i="5"/>
  <c r="L536" i="5"/>
  <c r="M451" i="5"/>
  <c r="N435" i="5"/>
  <c r="M443" i="5"/>
  <c r="L535" i="5"/>
  <c r="N451" i="5"/>
  <c r="L534" i="5"/>
  <c r="M483" i="5"/>
  <c r="N483" i="5"/>
  <c r="N508" i="5"/>
  <c r="N519" i="5"/>
  <c r="N392" i="5"/>
  <c r="N430" i="5"/>
  <c r="M503" i="5"/>
  <c r="L532" i="5"/>
  <c r="N428" i="5"/>
  <c r="N444" i="5"/>
  <c r="N447" i="5"/>
  <c r="N503" i="5"/>
  <c r="L531" i="5"/>
  <c r="N539" i="1"/>
  <c r="M539" i="1"/>
  <c r="N538" i="1"/>
  <c r="M538" i="1"/>
  <c r="N537" i="1"/>
  <c r="M537" i="1"/>
  <c r="L530" i="1"/>
  <c r="K530" i="1"/>
  <c r="N529" i="1"/>
  <c r="M529" i="1"/>
  <c r="L528" i="1"/>
  <c r="K528" i="1"/>
  <c r="N526" i="1"/>
  <c r="M526" i="1"/>
  <c r="N525" i="1"/>
  <c r="M525" i="1"/>
  <c r="N524" i="1"/>
  <c r="M524" i="1"/>
  <c r="N523" i="1"/>
  <c r="M523" i="1"/>
  <c r="N522" i="1"/>
  <c r="M522" i="1"/>
  <c r="K216" i="1"/>
  <c r="L520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6" i="5" l="1"/>
  <c r="M536" i="5"/>
  <c r="N531" i="5"/>
  <c r="M531" i="5"/>
  <c r="N534" i="5"/>
  <c r="M534" i="5"/>
  <c r="N535" i="5"/>
  <c r="M535" i="5"/>
  <c r="N533" i="5"/>
  <c r="M533" i="5"/>
  <c r="N532" i="5"/>
  <c r="M532" i="5"/>
  <c r="N530" i="1"/>
  <c r="M530" i="1"/>
  <c r="M528" i="1"/>
  <c r="N528" i="1"/>
  <c r="N508" i="1"/>
  <c r="M508" i="1"/>
  <c r="N449" i="1" l="1"/>
  <c r="N448" i="1"/>
  <c r="M449" i="1"/>
  <c r="M448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K443" i="1"/>
  <c r="K442" i="1"/>
  <c r="L439" i="1"/>
  <c r="N439" i="1" s="1"/>
  <c r="L438" i="1"/>
  <c r="M438" i="1" s="1"/>
  <c r="K437" i="1"/>
  <c r="K436" i="1"/>
  <c r="K483" i="1"/>
  <c r="N434" i="1"/>
  <c r="N433" i="1"/>
  <c r="K435" i="1"/>
  <c r="N483" i="1" l="1"/>
  <c r="N435" i="1"/>
  <c r="N442" i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L431" i="1"/>
  <c r="M431" i="1" s="1"/>
  <c r="K430" i="1"/>
  <c r="K534" i="1" s="1"/>
  <c r="L430" i="1"/>
  <c r="K429" i="1"/>
  <c r="M432" i="1" l="1"/>
  <c r="L534" i="1"/>
  <c r="M534" i="1" s="1"/>
  <c r="M430" i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533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N392" i="1"/>
  <c r="N534" i="1" l="1"/>
  <c r="N533" i="1"/>
  <c r="M533" i="1"/>
  <c r="N393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519" i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385" i="1" l="1"/>
  <c r="N519" i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H192" i="1"/>
  <c r="G192" i="1"/>
  <c r="H193" i="1"/>
  <c r="G193" i="1"/>
  <c r="H196" i="1"/>
  <c r="G196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H478" i="1"/>
  <c r="G478" i="1"/>
  <c r="M536" i="1" l="1"/>
  <c r="N536" i="1"/>
  <c r="M535" i="1"/>
  <c r="N535" i="1"/>
  <c r="I478" i="1"/>
  <c r="G359" i="1"/>
  <c r="H359" i="1"/>
  <c r="H195" i="1"/>
  <c r="G195" i="1"/>
  <c r="H194" i="1"/>
  <c r="G194" i="1"/>
  <c r="G191" i="1"/>
  <c r="H191" i="1"/>
  <c r="H281" i="1"/>
  <c r="H270" i="1"/>
  <c r="G270" i="1"/>
  <c r="H267" i="1"/>
  <c r="G267" i="1"/>
  <c r="H264" i="1"/>
  <c r="G264" i="1"/>
  <c r="G261" i="1"/>
  <c r="H261" i="1"/>
  <c r="H410" i="1"/>
  <c r="G410" i="1"/>
  <c r="H407" i="1"/>
  <c r="G407" i="1"/>
  <c r="H404" i="1"/>
  <c r="G404" i="1"/>
  <c r="H282" i="1"/>
  <c r="G282" i="1"/>
  <c r="H269" i="1"/>
  <c r="G269" i="1"/>
  <c r="H268" i="1"/>
  <c r="G268" i="1"/>
  <c r="H266" i="1"/>
  <c r="G266" i="1"/>
  <c r="H265" i="1"/>
  <c r="G265" i="1"/>
  <c r="H263" i="1"/>
  <c r="G263" i="1"/>
  <c r="H262" i="1"/>
  <c r="G262" i="1"/>
  <c r="H260" i="1"/>
  <c r="G260" i="1"/>
  <c r="G259" i="1"/>
  <c r="H259" i="1"/>
  <c r="H409" i="1"/>
  <c r="G409" i="1"/>
  <c r="H408" i="1"/>
  <c r="G408" i="1"/>
  <c r="H406" i="1"/>
  <c r="G406" i="1"/>
  <c r="H405" i="1"/>
  <c r="G405" i="1"/>
  <c r="H403" i="1"/>
  <c r="G403" i="1"/>
  <c r="H402" i="1"/>
  <c r="G402" i="1"/>
  <c r="H401" i="1"/>
  <c r="G401" i="1"/>
  <c r="H399" i="1"/>
  <c r="G399" i="1"/>
  <c r="G421" i="1"/>
  <c r="H421" i="1"/>
  <c r="H400" i="1"/>
  <c r="G400" i="1"/>
  <c r="H109" i="1"/>
  <c r="G109" i="1"/>
  <c r="H106" i="1"/>
  <c r="G106" i="1"/>
  <c r="H103" i="1"/>
  <c r="G103" i="1"/>
  <c r="G100" i="1"/>
  <c r="H100" i="1"/>
  <c r="H85" i="1"/>
  <c r="G85" i="1"/>
  <c r="H82" i="1"/>
  <c r="G82" i="1"/>
  <c r="H79" i="1"/>
  <c r="G79" i="1"/>
  <c r="G76" i="1"/>
  <c r="H76" i="1"/>
  <c r="H61" i="1"/>
  <c r="G61" i="1"/>
  <c r="H58" i="1"/>
  <c r="G58" i="1"/>
  <c r="H55" i="1"/>
  <c r="G55" i="1"/>
  <c r="G52" i="1"/>
  <c r="H52" i="1"/>
  <c r="H37" i="1"/>
  <c r="G37" i="1"/>
  <c r="H34" i="1"/>
  <c r="G34" i="1"/>
  <c r="H31" i="1"/>
  <c r="G31" i="1"/>
  <c r="G28" i="1"/>
  <c r="H28" i="1"/>
  <c r="H13" i="1"/>
  <c r="G13" i="1"/>
  <c r="H10" i="1"/>
  <c r="G10" i="1"/>
  <c r="H7" i="1"/>
  <c r="G7" i="1"/>
  <c r="G4" i="1"/>
  <c r="H4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<sst xmlns="http://schemas.openxmlformats.org/spreadsheetml/2006/main" count="27931" uniqueCount="594">
  <si>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</si>
  <si>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</si>
  <si>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</si>
  <si>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</si>
  <si>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</si>
  <si>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</si>
  <si>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</si>
  <si>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</si>
  <si>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</si>
  <si>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</si>
  <si>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</si>
  <si>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</si>
  <si>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</si>
  <si>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</si>
  <si>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</si>
  <si>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</si>
  <si>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</si>
  <si>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</si>
  <si>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</si>
  <si>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</si>
  <si>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</si>
  <si>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</si>
  <si>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</si>
  <si>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</si>
  <si>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</si>
  <si>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</si>
  <si>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</si>
  <si>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</si>
  <si>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</si>
  <si>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</si>
  <si>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</si>
  <si>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</si>
  <si>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</si>
  <si>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</si>
  <si>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</si>
  <si>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</si>
  <si>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</si>
  <si>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</si>
  <si>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</si>
  <si>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</si>
  <si>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</si>
  <si>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</si>
  <si>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</si>
  <si>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</si>
  <si>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</si>
  <si>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</si>
  <si>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</si>
  <si>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</si>
  <si>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</si>
  <si>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</si>
  <si>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</si>
  <si>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</si>
  <si>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</si>
  <si>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</si>
  <si>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</si>
  <si>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</si>
  <si>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</si>
  <si>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</si>
  <si>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</si>
  <si>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</si>
  <si>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</si>
  <si>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</si>
  <si>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</si>
  <si>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</si>
  <si>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</si>
  <si>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</si>
  <si>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</si>
  <si>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</si>
  <si>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</si>
  <si>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</si>
  <si>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</si>
  <si>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</si>
  <si>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</si>
  <si>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</si>
  <si>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</si>
  <si>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</si>
  <si>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</si>
  <si>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</si>
  <si>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</si>
  <si>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</si>
  <si>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</si>
  <si>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</si>
  <si>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</si>
  <si>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</si>
  <si>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</si>
  <si>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</si>
  <si>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</si>
  <si>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</si>
  <si>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</si>
  <si>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</si>
  <si>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</si>
  <si>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</si>
  <si>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</si>
  <si>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</si>
  <si>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</si>
  <si>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</si>
  <si>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</si>
  <si>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</si>
  <si>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</si>
  <si>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</si>
  <si>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</si>
  <si>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</si>
  <si>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</si>
  <si>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</si>
  <si>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</si>
  <si>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</si>
  <si>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</si>
  <si>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</si>
  <si>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</si>
  <si>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</si>
  <si>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</si>
  <si>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</si>
  <si>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</si>
  <si>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</si>
  <si>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</si>
  <si>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</si>
  <si>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</si>
  <si>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</si>
  <si>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</si>
  <si>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</si>
  <si>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</si>
  <si>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</si>
  <si>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</si>
  <si>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</si>
  <si>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</si>
  <si>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</si>
  <si>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</si>
  <si>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</si>
  <si>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</si>
  <si>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</si>
  <si>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</si>
  <si>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</si>
  <si>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</si>
  <si>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</si>
  <si>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</si>
  <si>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</si>
  <si>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</si>
  <si>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</si>
  <si>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</si>
  <si>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</si>
  <si>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</si>
  <si>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</si>
  <si>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</si>
  <si>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</si>
  <si>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</si>
  <si>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</si>
  <si>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</si>
  <si>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</si>
  <si>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</si>
  <si>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</si>
  <si>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</si>
  <si>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</si>
  <si>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</si>
  <si>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</si>
  <si>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</si>
  <si>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</si>
  <si>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</si>
  <si>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</si>
  <si>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</si>
  <si>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</si>
  <si>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</si>
  <si>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</si>
  <si>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</si>
  <si>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</si>
  <si>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</si>
  <si>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</si>
  <si>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</si>
  <si>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</si>
  <si>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</si>
  <si>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</si>
  <si>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</si>
  <si>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</si>
  <si>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</si>
  <si>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</si>
  <si>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</si>
  <si>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</si>
  <si>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</si>
  <si>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</si>
  <si>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</si>
  <si>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</si>
  <si>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</si>
  <si>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</si>
  <si>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</si>
  <si>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</si>
  <si>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</si>
  <si>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</si>
  <si>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</si>
  <si>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</si>
  <si>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</si>
  <si>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</si>
  <si>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</si>
  <si>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</si>
  <si>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</si>
  <si>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</si>
  <si>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</si>
  <si>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</si>
  <si>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</si>
  <si>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</si>
  <si>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</si>
  <si>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</si>
  <si>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</si>
  <si>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</si>
  <si>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</si>
  <si>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</si>
  <si>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</si>
  <si>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</si>
  <si>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</si>
  <si>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</si>
  <si>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</si>
  <si>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</si>
  <si>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</si>
  <si>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</si>
  <si>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</si>
  <si>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</si>
  <si>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</si>
  <si>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</si>
  <si>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</si>
  <si>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</si>
  <si>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</si>
  <si>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</si>
  <si>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</si>
  <si>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</si>
  <si>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</si>
  <si>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</si>
  <si>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</si>
  <si>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</si>
  <si>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</si>
  <si>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</si>
  <si>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</si>
  <si>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</si>
  <si>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</si>
  <si>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</si>
  <si>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</si>
  <si>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</si>
  <si>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</si>
  <si>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</si>
  <si>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</si>
  <si>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</si>
  <si>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</si>
  <si>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</si>
  <si>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</si>
  <si>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</si>
  <si>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</si>
  <si>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</si>
  <si>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</si>
  <si>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</si>
  <si>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</si>
  <si>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</si>
  <si>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</si>
  <si>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</si>
  <si>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</si>
  <si>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</si>
  <si>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</si>
  <si>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</si>
  <si>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</si>
  <si>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</si>
  <si>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</si>
  <si>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</si>
  <si>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</si>
  <si>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</si>
  <si>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</si>
  <si>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</si>
  <si>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</si>
  <si>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</si>
  <si>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</si>
  <si>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</si>
  <si>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</si>
  <si>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</si>
  <si>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</si>
  <si>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</si>
  <si>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</si>
  <si>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</si>
  <si>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</si>
  <si>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</si>
  <si>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</si>
  <si>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</si>
  <si>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</si>
  <si>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</si>
  <si>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</si>
  <si>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</si>
  <si>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</si>
  <si>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</si>
  <si>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</si>
  <si>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</si>
  <si>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</si>
  <si>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</si>
  <si>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</si>
  <si>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</si>
  <si>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</si>
  <si>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</si>
  <si>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</si>
  <si>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</si>
  <si>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</si>
  <si>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</si>
  <si>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</si>
  <si>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</si>
  <si>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</si>
  <si>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</si>
  <si>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</si>
  <si>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</si>
  <si>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</si>
  <si>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</si>
  <si>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</si>
  <si>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</si>
  <si>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</si>
  <si>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</si>
  <si>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</si>
  <si>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</si>
  <si>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</si>
  <si>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</si>
  <si>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</si>
  <si>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</si>
  <si>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</si>
  <si>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</si>
  <si>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</si>
  <si>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</si>
  <si>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</si>
  <si>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</si>
  <si>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</si>
  <si>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</si>
  <si>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</si>
  <si>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</si>
  <si>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</si>
  <si>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</si>
  <si>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</si>
  <si>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</si>
  <si>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</si>
  <si>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</si>
  <si>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</si>
  <si>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</si>
  <si>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</si>
  <si>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</si>
  <si>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</si>
  <si>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</si>
  <si>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</si>
  <si>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</si>
  <si>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</si>
  <si>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</si>
  <si>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</si>
  <si>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</si>
  <si>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</si>
  <si>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</si>
  <si>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</si>
  <si>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</si>
  <si>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</si>
  <si>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</si>
  <si>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</si>
  <si>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</si>
  <si>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</si>
  <si>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</si>
  <si>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</si>
  <si>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</si>
  <si>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</si>
  <si>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</si>
  <si>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</si>
  <si>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</si>
  <si>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</si>
  <si>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</si>
  <si>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</si>
  <si>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</si>
  <si>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</si>
  <si>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</si>
  <si>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</si>
  <si>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</si>
  <si>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</si>
  <si>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</si>
  <si>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</si>
  <si>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</si>
  <si>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</si>
  <si>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</si>
  <si>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</si>
  <si>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</si>
  <si>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</si>
  <si>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</si>
  <si>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</si>
  <si>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</si>
  <si>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</si>
  <si>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</si>
  <si>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</si>
  <si>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</si>
  <si>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</si>
  <si>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</si>
  <si>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</si>
  <si>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</si>
  <si>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</si>
  <si>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</si>
  <si>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</si>
  <si>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</si>
  <si>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</si>
  <si>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</si>
  <si>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</si>
  <si>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</si>
  <si>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</si>
  <si>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</si>
  <si>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</si>
  <si>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</si>
  <si>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</si>
  <si>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</si>
  <si>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</si>
  <si>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</si>
  <si>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</si>
  <si>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</si>
  <si>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</si>
  <si>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</si>
  <si>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</si>
  <si>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</si>
  <si>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</si>
  <si>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</si>
  <si>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</si>
  <si>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</si>
  <si>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</si>
  <si>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</si>
  <si>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</si>
  <si>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</si>
  <si>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</si>
  <si>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</si>
  <si>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</si>
  <si>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</si>
  <si>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</si>
  <si>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</si>
  <si>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</si>
  <si>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</si>
  <si>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</si>
  <si>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</si>
  <si>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</si>
  <si>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</si>
  <si>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</si>
  <si>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</si>
  <si>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</si>
  <si>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</si>
  <si>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</si>
  <si>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</si>
  <si>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</si>
  <si>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</si>
  <si>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</si>
  <si>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</si>
  <si>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</si>
  <si>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</si>
  <si>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</si>
  <si>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</si>
  <si>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</si>
  <si>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</si>
  <si>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</si>
  <si>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</si>
  <si>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</si>
  <si>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</si>
  <si>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</si>
  <si>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</si>
  <si>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</si>
  <si>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</si>
  <si>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</si>
  <si>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</si>
  <si>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</si>
  <si>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</si>
  <si>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</si>
  <si>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</si>
  <si>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</si>
  <si>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</si>
  <si>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</si>
  <si>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</si>
  <si>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</si>
  <si>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</si>
  <si>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</si>
  <si>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</si>
  <si>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</si>
  <si>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</si>
  <si>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</si>
  <si>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</si>
  <si>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</si>
  <si>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</si>
  <si>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</si>
  <si>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</si>
  <si>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</si>
  <si>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</si>
  <si>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</si>
  <si>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</si>
  <si>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</si>
  <si>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</si>
  <si>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</si>
  <si>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</si>
  <si>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</si>
  <si>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% Estudiantes con Becas</t>
  </si>
  <si>
    <t>% Programas acreditables acreditados Sede Bogotá</t>
  </si>
  <si>
    <t>Noviembre</t>
  </si>
  <si>
    <t>Avance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</si>
  <si>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</si>
  <si>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</si>
  <si>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</si>
  <si>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</si>
  <si>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</si>
  <si>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</si>
  <si>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</si>
  <si>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</si>
  <si>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</si>
  <si>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</si>
  <si>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</si>
  <si>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</si>
  <si>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</si>
  <si>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</si>
  <si>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</si>
  <si>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</si>
  <si>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</si>
  <si>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</si>
  <si>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</si>
  <si>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</si>
  <si>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</si>
  <si>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</si>
  <si>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</si>
  <si>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</si>
  <si>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</si>
  <si>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</si>
  <si>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</si>
  <si>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</si>
  <si>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</si>
  <si>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</si>
  <si>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</si>
  <si>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</si>
  <si>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</si>
  <si>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</si>
  <si>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</si>
  <si>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</si>
  <si>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</si>
  <si>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</si>
  <si>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</si>
  <si>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</si>
  <si>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</si>
  <si>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</si>
  <si>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</si>
  <si>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</si>
  <si>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</si>
  <si>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</si>
  <si>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</si>
  <si>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</si>
  <si>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</si>
  <si>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</si>
  <si>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</si>
  <si>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</si>
  <si>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</si>
  <si>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</si>
  <si>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</si>
  <si>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</si>
  <si>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</si>
  <si>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</si>
  <si>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</si>
  <si>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Stand by</t>
  </si>
  <si>
    <t xml:space="preserve">Creación del colegio de educación media virtual </t>
  </si>
  <si>
    <t>Experiencia Institucional - Fase 2</t>
  </si>
  <si>
    <t>Experiencia Institucional - Fase 1</t>
  </si>
  <si>
    <t>Experiencia Institucional fase III - Hub de Experiencia y agilismo</t>
  </si>
  <si>
    <t>Innovación curricular</t>
  </si>
  <si>
    <t>Creación del Instituto de educación para el trabajo y desarrollo humano IETDH</t>
  </si>
  <si>
    <t>Monarca - Ecosistema Banner</t>
  </si>
  <si>
    <t>Redefinición de Modelo de seguimiento y acompañamiento al Graduado</t>
  </si>
  <si>
    <t>Reingenieria de aplicaciones</t>
  </si>
  <si>
    <t>Titulación Autogestionada</t>
  </si>
  <si>
    <t>Proyectos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</si>
  <si>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</si>
  <si>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</si>
  <si>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</si>
  <si>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</si>
  <si>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</si>
  <si>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</si>
  <si>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</si>
  <si>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</si>
  <si>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</si>
  <si>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</si>
  <si>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</si>
  <si>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</si>
  <si>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</si>
  <si>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</si>
  <si>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</si>
  <si>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</si>
  <si>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</si>
  <si>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</si>
  <si>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</si>
  <si>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</si>
  <si>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</si>
  <si>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</si>
  <si>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</si>
  <si>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</si>
  <si>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</si>
  <si>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</si>
  <si>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</si>
  <si>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</si>
  <si>
    <t>Contar con una estrategia de comunicaciones integrada  que apalanque  la cultura y el posicionamiento institucional</t>
  </si>
  <si>
    <t>Al 2025 alcanzar la acreditación institucional en alta calidad de la sede Bogotá</t>
  </si>
  <si>
    <t>Implementar el Plan Talento para colaboradores alineado con la estrategia</t>
  </si>
  <si>
    <t>14.1</t>
  </si>
  <si>
    <t>14.2</t>
  </si>
  <si>
    <t>14.3</t>
  </si>
  <si>
    <t>14.4</t>
  </si>
  <si>
    <t>386.1</t>
  </si>
  <si>
    <t>386.2</t>
  </si>
  <si>
    <t>386.3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</si>
</sst>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8"/>
  <sheetViews>
    <sheetView tabSelected="1" workbookViewId="0">
      <pane ySplit="1" topLeftCell="A2" activePane="bottomLeft" state="frozen"/>
      <selection pane="bottomLeft" activeCell="A521" sqref="A521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14,1-2018-06-30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14,1-2018-12-31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14,1-2018-12-31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14,1-2019-06-30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14,1-2019-12-31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14,1-2019-12-31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14,1-2020-06-30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14,1-2020-12-31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14,1-2020-12-31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14,1-2021-06-30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14,1-2021-12-31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14,1-2021-12-31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14,1-2022-06-30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14,1-2022-12-31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14,1-2022-12-31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14,1-2023-06-30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14,1-2023-12-31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14,1-2023-12-31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14,1-2024-06-30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14,1-2024-12-31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14,1-2024-12-31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14,1-2025-06-30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14,1-2025-12-31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14,1-2025-12-31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14,2-2018-06-30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14,2-2018-12-31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14,2-2018-12-31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14,2-2019-06-30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14,2-2019-12-31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14,2-2019-12-31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14,2-2020-06-30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14,2-2020-12-31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14,2-2020-12-31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14,2-2021-06-30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14,2-2021-12-31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14,2-2021-12-31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14,2-2022-06-30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14,2-2022-12-31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14,2-2022-12-31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14,2-2023-06-30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14,2-2023-12-31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14,2-2023-12-31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14,2-2024-06-30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14,2-2024-12-31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14,2-2024-12-31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14,2-2025-06-30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14,2-2025-12-31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14,2-2025-12-31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14,3-2018-06-30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14,3-2018-12-31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14,3-2018-12-31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14,3-2019-06-30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14,3-2019-12-31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14,3-2019-12-31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14,3-2020-06-30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14,3-2020-12-31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14,3-2020-12-31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14,3-2021-06-30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14,3-2021-12-31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14,3-2021-12-31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14,3-2022-06-30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14,3-2022-12-31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14,3-2022-12-31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14,3-2023-06-30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14,3-2023-12-31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14,3-2023-12-31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14,3-2024-06-30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14,3-2024-12-31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14,3-2024-12-31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14,3-2025-06-30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14,3-2025-12-31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14,3-2025-12-31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14,4-2018-06-30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14,4-2018-12-31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14,4-2018-12-31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14,4-2019-06-30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14,4-2019-12-31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14,4-2019-12-31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14,4-2020-06-30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14,4-2020-12-31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14,4-2020-12-31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14,4-2021-06-30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14,4-2021-12-31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14,4-2021-12-31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14,4-2022-06-30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14,4-2022-12-30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14,4-2022-12-30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14,4-2023-06-30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14,4-2023-12-31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14,4-2023-12-31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14,4-2024-06-30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14,4-2024-12-31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14,4-2024-12-31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14,4-2025-06-30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14,4-2025-12-31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14,4-2025-12-31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/>
      <c r="N217" s="3"/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/>
      <c r="N218" s="3"/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f t="shared" ref="M217:M226" si="34">IF(L219/K219&gt;1.3,1.3,L219/K219)</f>
        <v>1.3</v>
      </c>
      <c r="N219" s="3">
        <f>L219/K219</f>
        <v>1.6542728645151394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f t="shared" si="34"/>
        <v>1.3</v>
      </c>
      <c r="N220" s="3">
        <f t="shared" ref="N220:N226" si="35">L220/K220</f>
        <v>3.5975721079811076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f t="shared" si="34"/>
        <v>1.3</v>
      </c>
      <c r="N221" s="3">
        <f t="shared" si="35"/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f t="shared" si="34"/>
        <v>1.3</v>
      </c>
      <c r="N222" s="3">
        <f t="shared" si="35"/>
        <v>2.1506679157553927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f t="shared" si="34"/>
        <v>1.3</v>
      </c>
      <c r="N223" s="3">
        <f t="shared" si="35"/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f t="shared" si="34"/>
        <v>1.3</v>
      </c>
      <c r="N224" s="3">
        <f t="shared" si="35"/>
        <v>1.8471782698182972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f t="shared" si="34"/>
        <v>1.3</v>
      </c>
      <c r="N225" s="3">
        <f t="shared" si="35"/>
        <v>1.8631019332578234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5674</v>
      </c>
      <c r="M226" s="3">
        <f t="shared" si="34"/>
        <v>1.2113578138343297</v>
      </c>
      <c r="N226" s="3">
        <f t="shared" si="35"/>
        <v>1.2113578138343297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6">+L236/K236</f>
        <v>1.3743493771565587</v>
      </c>
      <c r="N236" s="3">
        <f t="shared" ref="N236:N240" si="37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6"/>
        <v>1.0010913364674279</v>
      </c>
      <c r="N237" s="3">
        <f t="shared" si="37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6"/>
        <v>1.0010913364674279</v>
      </c>
      <c r="N238" s="3">
        <f t="shared" si="37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6"/>
        <v>0.99999999999999978</v>
      </c>
      <c r="N239" s="3">
        <f t="shared" si="37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6"/>
        <v>0.99999999999999978</v>
      </c>
      <c r="N240" s="3">
        <f t="shared" si="37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8">IF(K242/L242&gt;1.3,1.3,K242/L242)</f>
        <v>1</v>
      </c>
      <c r="N242" s="3">
        <f t="shared" ref="N242:N247" si="39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8"/>
        <v>1.0416666666666667</v>
      </c>
      <c r="N243" s="3">
        <f t="shared" si="39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8"/>
        <v>1.0416666666666667</v>
      </c>
      <c r="N244" s="3">
        <f t="shared" si="39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8"/>
        <v>1</v>
      </c>
      <c r="N245" s="3">
        <f t="shared" si="39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8"/>
        <v>1</v>
      </c>
      <c r="N246" s="3">
        <f t="shared" si="39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8"/>
        <v>1.3</v>
      </c>
      <c r="N247" s="3">
        <f t="shared" si="39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40">+L249/K249</f>
        <v>0.97062146892655377</v>
      </c>
      <c r="N249" s="3">
        <f t="shared" ref="N249:N258" si="41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40"/>
        <v>0.97062146892655377</v>
      </c>
      <c r="N250" s="3">
        <f t="shared" si="41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40"/>
        <v>0.97839080459770122</v>
      </c>
      <c r="N251" s="3">
        <f t="shared" si="41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40"/>
        <v>0.9813793103448275</v>
      </c>
      <c r="N252" s="3">
        <f t="shared" si="41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40"/>
        <v>0.9813793103448275</v>
      </c>
      <c r="N253" s="3">
        <f t="shared" si="41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40"/>
        <v>1.0015294117647058</v>
      </c>
      <c r="N254" s="3">
        <f t="shared" si="41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40"/>
        <v>1.0022352941176471</v>
      </c>
      <c r="N255" s="3">
        <f t="shared" si="41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40"/>
        <v>1.0022352941176471</v>
      </c>
      <c r="N256" s="3">
        <f t="shared" si="41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40"/>
        <v>1.0093348891481912</v>
      </c>
      <c r="N257" s="3">
        <f t="shared" si="41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40"/>
        <v>1.0011614401858304</v>
      </c>
      <c r="N258" s="3">
        <f t="shared" si="41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2">YEAR(F259)</f>
        <v>2018</v>
      </c>
      <c r="H259" s="3" t="str">
        <f t="shared" ref="H259:H270" si="43">PROPER(TEXT(F259,"mmmm"))</f>
        <v>Junio</v>
      </c>
      <c r="I259" s="3" t="str">
        <f t="shared" ref="I259:I270" si="44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5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2"/>
        <v>2018</v>
      </c>
      <c r="H260" s="3" t="str">
        <f t="shared" si="43"/>
        <v>Diciembre</v>
      </c>
      <c r="I260" s="3" t="str">
        <f t="shared" si="44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5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2"/>
        <v>2018</v>
      </c>
      <c r="H261" s="3" t="str">
        <f t="shared" si="43"/>
        <v>Diciembre</v>
      </c>
      <c r="I261" s="3" t="str">
        <f t="shared" si="44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5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2"/>
        <v>2019</v>
      </c>
      <c r="H262" s="3" t="str">
        <f t="shared" si="43"/>
        <v>Junio</v>
      </c>
      <c r="I262" s="3" t="str">
        <f t="shared" si="44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5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2"/>
        <v>2019</v>
      </c>
      <c r="H263" s="3" t="str">
        <f t="shared" si="43"/>
        <v>Diciembre</v>
      </c>
      <c r="I263" s="3" t="str">
        <f t="shared" si="44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5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2"/>
        <v>2019</v>
      </c>
      <c r="H264" s="3" t="str">
        <f t="shared" si="43"/>
        <v>Diciembre</v>
      </c>
      <c r="I264" s="3" t="str">
        <f t="shared" si="44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5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2"/>
        <v>2020</v>
      </c>
      <c r="H265" s="3" t="str">
        <f t="shared" si="43"/>
        <v>Junio</v>
      </c>
      <c r="I265" s="3" t="str">
        <f t="shared" si="44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5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2"/>
        <v>2020</v>
      </c>
      <c r="H266" s="3" t="str">
        <f t="shared" si="43"/>
        <v>Diciembre</v>
      </c>
      <c r="I266" s="3" t="str">
        <f t="shared" si="44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5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2"/>
        <v>2020</v>
      </c>
      <c r="H267" s="3" t="str">
        <f t="shared" si="43"/>
        <v>Diciembre</v>
      </c>
      <c r="I267" s="3" t="str">
        <f t="shared" si="44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5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2"/>
        <v>2021</v>
      </c>
      <c r="H268" s="3" t="str">
        <f t="shared" si="43"/>
        <v>Junio</v>
      </c>
      <c r="I268" s="3" t="str">
        <f t="shared" si="44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5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2"/>
        <v>2021</v>
      </c>
      <c r="H269" s="3" t="str">
        <f t="shared" si="43"/>
        <v>Diciembre</v>
      </c>
      <c r="I269" s="3" t="str">
        <f t="shared" si="44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5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2"/>
        <v>2021</v>
      </c>
      <c r="H270" s="3" t="str">
        <f t="shared" si="43"/>
        <v>Diciembre</v>
      </c>
      <c r="I270" s="3" t="str">
        <f t="shared" si="44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5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5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6">+L272/K272</f>
        <v>1.0212472059673003</v>
      </c>
      <c r="N272" s="3">
        <f t="shared" ref="N272:N282" si="47">+L272/K272</f>
        <v>1.0212472059673003</v>
      </c>
      <c r="O272" s="3" t="s">
        <v>35</v>
      </c>
      <c r="P272" s="3" t="s">
        <v>35</v>
      </c>
      <c r="Q272" s="3" t="str">
        <f t="shared" si="45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6"/>
        <v>1.0212472059673003</v>
      </c>
      <c r="N273" s="3">
        <f t="shared" si="47"/>
        <v>1.0212472059673003</v>
      </c>
      <c r="O273" s="3" t="s">
        <v>35</v>
      </c>
      <c r="P273" s="3" t="s">
        <v>35</v>
      </c>
      <c r="Q273" s="3" t="str">
        <f t="shared" si="45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6"/>
        <v>0.97612804954178845</v>
      </c>
      <c r="N274" s="3">
        <f t="shared" si="47"/>
        <v>0.97612804954178845</v>
      </c>
      <c r="O274" s="3" t="s">
        <v>35</v>
      </c>
      <c r="P274" s="3" t="s">
        <v>35</v>
      </c>
      <c r="Q274" s="3" t="str">
        <f t="shared" si="45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6"/>
        <v>0.97512616297146681</v>
      </c>
      <c r="N275" s="3">
        <f t="shared" si="47"/>
        <v>0.97512616297146681</v>
      </c>
      <c r="O275" s="3" t="s">
        <v>35</v>
      </c>
      <c r="P275" s="3" t="s">
        <v>35</v>
      </c>
      <c r="Q275" s="3" t="str">
        <f t="shared" si="45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6"/>
        <v>0.97510224582047789</v>
      </c>
      <c r="N276" s="3">
        <f t="shared" si="47"/>
        <v>0.97510224582047789</v>
      </c>
      <c r="O276" s="3" t="s">
        <v>35</v>
      </c>
      <c r="P276" s="3" t="s">
        <v>35</v>
      </c>
      <c r="Q276" s="3" t="str">
        <f t="shared" si="45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6"/>
        <v>1.0202251822842863</v>
      </c>
      <c r="N277" s="3">
        <f t="shared" si="47"/>
        <v>1.0202251822842863</v>
      </c>
      <c r="O277" s="3" t="s">
        <v>35</v>
      </c>
      <c r="P277" s="3" t="s">
        <v>35</v>
      </c>
      <c r="Q277" s="3" t="str">
        <f t="shared" si="45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6"/>
        <v>1.0246037437254272</v>
      </c>
      <c r="N278" s="3">
        <f t="shared" si="47"/>
        <v>1.0246037437254272</v>
      </c>
      <c r="O278" s="3" t="s">
        <v>35</v>
      </c>
      <c r="P278" s="3" t="s">
        <v>35</v>
      </c>
      <c r="Q278" s="3" t="str">
        <f t="shared" si="45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6"/>
        <v>1.0245952787304076</v>
      </c>
      <c r="N279" s="3">
        <f t="shared" si="47"/>
        <v>1.0245952787304076</v>
      </c>
      <c r="O279" s="3" t="s">
        <v>35</v>
      </c>
      <c r="P279" s="3" t="s">
        <v>35</v>
      </c>
      <c r="Q279" s="3" t="str">
        <f t="shared" si="45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6"/>
        <v>1.0584120321790835</v>
      </c>
      <c r="N280" s="3">
        <f t="shared" si="47"/>
        <v>1.0584120321790835</v>
      </c>
      <c r="O280" s="3" t="s">
        <v>35</v>
      </c>
      <c r="P280" s="3" t="s">
        <v>35</v>
      </c>
      <c r="Q280" s="3" t="str">
        <f t="shared" si="45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6"/>
        <v>1.02031875181617</v>
      </c>
      <c r="N281" s="3">
        <f t="shared" si="47"/>
        <v>1.02031875181617</v>
      </c>
      <c r="O281" s="3" t="s">
        <v>35</v>
      </c>
      <c r="P281" s="3" t="s">
        <v>35</v>
      </c>
      <c r="Q281" s="3" t="str">
        <f t="shared" si="45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6"/>
        <v>1.02031875181617</v>
      </c>
      <c r="N282" s="3">
        <f t="shared" si="47"/>
        <v>1.02031875181617</v>
      </c>
      <c r="O282" s="3" t="s">
        <v>35</v>
      </c>
      <c r="P282" s="3" t="s">
        <v>35</v>
      </c>
      <c r="Q282" s="3" t="str">
        <f t="shared" si="45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5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8">+K284/L284</f>
        <v>1</v>
      </c>
      <c r="N284" s="3">
        <f t="shared" ref="N284:N293" si="49">+K284/L284</f>
        <v>1</v>
      </c>
      <c r="O284" s="3" t="s">
        <v>35</v>
      </c>
      <c r="P284" s="3" t="s">
        <v>245</v>
      </c>
      <c r="Q284" s="3" t="str">
        <f t="shared" si="45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8"/>
        <v>1</v>
      </c>
      <c r="N285" s="3">
        <f t="shared" si="49"/>
        <v>1</v>
      </c>
      <c r="O285" s="3" t="s">
        <v>35</v>
      </c>
      <c r="P285" s="3" t="s">
        <v>35</v>
      </c>
      <c r="Q285" s="3" t="str">
        <f t="shared" si="45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8"/>
        <v>0.94454939437715302</v>
      </c>
      <c r="N286" s="3">
        <f t="shared" si="49"/>
        <v>0.94454939437715302</v>
      </c>
      <c r="O286" s="3" t="s">
        <v>35</v>
      </c>
      <c r="P286" s="3" t="s">
        <v>245</v>
      </c>
      <c r="Q286" s="3" t="str">
        <f t="shared" si="45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8"/>
        <v>1.0059171597633136</v>
      </c>
      <c r="N287" s="3">
        <f t="shared" si="49"/>
        <v>1.0059171597633136</v>
      </c>
      <c r="O287" s="3" t="s">
        <v>35</v>
      </c>
      <c r="P287" s="3" t="s">
        <v>245</v>
      </c>
      <c r="Q287" s="3" t="str">
        <f t="shared" si="45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8"/>
        <v>1.0059171597633136</v>
      </c>
      <c r="N288" s="3">
        <f t="shared" si="49"/>
        <v>1.0059171597633136</v>
      </c>
      <c r="O288" s="3" t="s">
        <v>35</v>
      </c>
      <c r="P288" s="3" t="s">
        <v>245</v>
      </c>
      <c r="Q288" s="3" t="str">
        <f t="shared" si="45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8"/>
        <v>0.89659294680215174</v>
      </c>
      <c r="N289" s="3">
        <f t="shared" si="49"/>
        <v>0.89659294680215174</v>
      </c>
      <c r="O289" s="3" t="s">
        <v>35</v>
      </c>
      <c r="P289" s="3" t="s">
        <v>245</v>
      </c>
      <c r="Q289" s="3" t="str">
        <f t="shared" si="45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8"/>
        <v>0.90711175616835982</v>
      </c>
      <c r="N290" s="3">
        <f t="shared" si="49"/>
        <v>0.90711175616835982</v>
      </c>
      <c r="O290" s="3" t="s">
        <v>35</v>
      </c>
      <c r="P290" s="3" t="s">
        <v>245</v>
      </c>
      <c r="Q290" s="3" t="str">
        <f t="shared" si="45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8"/>
        <v>0.90711175616835982</v>
      </c>
      <c r="N291" s="3">
        <f t="shared" si="49"/>
        <v>0.90711175616835982</v>
      </c>
      <c r="O291" s="3" t="s">
        <v>35</v>
      </c>
      <c r="P291" s="3" t="s">
        <v>245</v>
      </c>
      <c r="Q291" s="3" t="str">
        <f t="shared" si="45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8"/>
        <v>0.96222380612972191</v>
      </c>
      <c r="N292" s="3">
        <f t="shared" si="49"/>
        <v>0.96222380612972191</v>
      </c>
      <c r="O292" s="3" t="s">
        <v>35</v>
      </c>
      <c r="P292" s="3" t="s">
        <v>245</v>
      </c>
      <c r="Q292" s="3" t="str">
        <f t="shared" si="45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8"/>
        <v>0.97814273638449456</v>
      </c>
      <c r="N293" s="3">
        <f t="shared" si="49"/>
        <v>0.97814273638449456</v>
      </c>
      <c r="O293" s="3" t="s">
        <v>35</v>
      </c>
      <c r="P293" s="3" t="s">
        <v>245</v>
      </c>
      <c r="Q293" s="3" t="str">
        <f t="shared" si="45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5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50">+K295/L295</f>
        <v>1.1597762314094691</v>
      </c>
      <c r="N295" s="3">
        <f t="shared" ref="N295:N301" si="51">+K295/L295</f>
        <v>1.1597762314094691</v>
      </c>
      <c r="O295" s="3" t="s">
        <v>35</v>
      </c>
      <c r="P295" s="3" t="s">
        <v>245</v>
      </c>
      <c r="Q295" s="3" t="str">
        <f t="shared" si="45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50"/>
        <v>1.1597762314094691</v>
      </c>
      <c r="N296" s="3">
        <f t="shared" si="51"/>
        <v>1.1597762314094691</v>
      </c>
      <c r="O296" s="3" t="s">
        <v>35</v>
      </c>
      <c r="P296" s="3" t="s">
        <v>245</v>
      </c>
      <c r="Q296" s="3" t="str">
        <f t="shared" si="45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50"/>
        <v>1.0255689800505758</v>
      </c>
      <c r="N297" s="3">
        <f t="shared" si="51"/>
        <v>1.0255689800505758</v>
      </c>
      <c r="O297" s="3" t="s">
        <v>35</v>
      </c>
      <c r="P297" s="3" t="s">
        <v>245</v>
      </c>
      <c r="Q297" s="3" t="str">
        <f t="shared" si="45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50"/>
        <v>1.0247052217855139</v>
      </c>
      <c r="N298" s="3">
        <f t="shared" si="51"/>
        <v>1.0247052217855139</v>
      </c>
      <c r="O298" s="3" t="s">
        <v>35</v>
      </c>
      <c r="P298" s="3" t="s">
        <v>245</v>
      </c>
      <c r="Q298" s="3" t="str">
        <f t="shared" si="45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50"/>
        <v>1.0247052217855139</v>
      </c>
      <c r="N299" s="3">
        <f t="shared" si="51"/>
        <v>1.0247052217855139</v>
      </c>
      <c r="O299" s="3" t="s">
        <v>35</v>
      </c>
      <c r="P299" s="3" t="s">
        <v>245</v>
      </c>
      <c r="Q299" s="3" t="str">
        <f t="shared" si="45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50"/>
        <v>1.0232021905173656</v>
      </c>
      <c r="N300" s="3">
        <f t="shared" si="51"/>
        <v>1.0232021905173656</v>
      </c>
      <c r="O300" s="3" t="s">
        <v>35</v>
      </c>
      <c r="P300" s="3" t="s">
        <v>245</v>
      </c>
      <c r="Q300" s="3" t="str">
        <f t="shared" si="45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50"/>
        <v>1.0380116959064327</v>
      </c>
      <c r="N301" s="3">
        <f t="shared" si="51"/>
        <v>1.0380116959064327</v>
      </c>
      <c r="O301" s="3" t="s">
        <v>35</v>
      </c>
      <c r="P301" s="3" t="s">
        <v>245</v>
      </c>
      <c r="Q301" s="3" t="str">
        <f t="shared" si="45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5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5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5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5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5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5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5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5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5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5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5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5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5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5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5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5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5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5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5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5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5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2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2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2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2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2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2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2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2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2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2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2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2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2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2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2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2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2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2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2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2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2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2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2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2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2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2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2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2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2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2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2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2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2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2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2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2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2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2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2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2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2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2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2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2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2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3">+L368/K368</f>
        <v>0.98094276519214996</v>
      </c>
      <c r="N368" s="3">
        <f t="shared" ref="N368:N371" si="54">+L368/K368</f>
        <v>0.98094276519214996</v>
      </c>
      <c r="O368" s="3" t="s">
        <v>35</v>
      </c>
      <c r="P368" s="3" t="s">
        <v>35</v>
      </c>
      <c r="Q368" s="3" t="str">
        <f t="shared" si="52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3"/>
        <v>1.119505269136114</v>
      </c>
      <c r="N369" s="3">
        <f t="shared" si="54"/>
        <v>1.119505269136114</v>
      </c>
      <c r="O369" s="3" t="s">
        <v>35</v>
      </c>
      <c r="P369" s="3" t="s">
        <v>35</v>
      </c>
      <c r="Q369" s="3" t="str">
        <f t="shared" si="52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3"/>
        <v>0.93885032603143126</v>
      </c>
      <c r="N370" s="3">
        <f t="shared" si="54"/>
        <v>0.93885032603143126</v>
      </c>
      <c r="O370" s="3" t="s">
        <v>35</v>
      </c>
      <c r="P370" s="3" t="s">
        <v>35</v>
      </c>
      <c r="Q370" s="3" t="str">
        <f t="shared" si="52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3"/>
        <v>0.78106093994150405</v>
      </c>
      <c r="N371" s="3">
        <f t="shared" si="54"/>
        <v>0.78106093994150405</v>
      </c>
      <c r="O371" s="3" t="s">
        <v>35</v>
      </c>
      <c r="P371" s="3" t="s">
        <v>35</v>
      </c>
      <c r="Q371" s="3" t="str">
        <f t="shared" si="52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5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2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5"/>
        <v>1.25</v>
      </c>
      <c r="N373" s="3">
        <f t="shared" ref="N373:N377" si="56">+L373/K373</f>
        <v>1.25</v>
      </c>
      <c r="O373" s="3" t="s">
        <v>58</v>
      </c>
      <c r="P373" s="3" t="s">
        <v>58</v>
      </c>
      <c r="Q373" s="3" t="str">
        <f t="shared" si="52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5"/>
        <v>1.25</v>
      </c>
      <c r="N374" s="3">
        <f t="shared" si="56"/>
        <v>1.25</v>
      </c>
      <c r="O374" s="3" t="s">
        <v>58</v>
      </c>
      <c r="P374" s="3" t="s">
        <v>58</v>
      </c>
      <c r="Q374" s="3" t="str">
        <f t="shared" si="52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5"/>
        <v>0.99199999999999999</v>
      </c>
      <c r="N375" s="3">
        <f t="shared" si="56"/>
        <v>0.99199999999999999</v>
      </c>
      <c r="O375" s="3" t="s">
        <v>58</v>
      </c>
      <c r="P375" s="3" t="s">
        <v>58</v>
      </c>
      <c r="Q375" s="3" t="str">
        <f t="shared" si="52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5"/>
        <v>0.99199999999999999</v>
      </c>
      <c r="N376" s="3">
        <f t="shared" si="56"/>
        <v>0.99199999999999999</v>
      </c>
      <c r="O376" s="3" t="s">
        <v>58</v>
      </c>
      <c r="P376" s="3" t="s">
        <v>58</v>
      </c>
      <c r="Q376" s="3" t="str">
        <f t="shared" si="52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5"/>
        <v>0.76400000000000001</v>
      </c>
      <c r="N377" s="3">
        <f t="shared" si="56"/>
        <v>0.76400000000000001</v>
      </c>
      <c r="O377" s="3" t="s">
        <v>58</v>
      </c>
      <c r="P377" s="3" t="s">
        <v>58</v>
      </c>
      <c r="Q377" s="3" t="str">
        <f t="shared" si="52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2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2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2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7">+L381/K381</f>
        <v>0.76249999999999996</v>
      </c>
      <c r="O381" s="3" t="s">
        <v>35</v>
      </c>
      <c r="P381" s="3" t="s">
        <v>35</v>
      </c>
      <c r="Q381" s="3" t="str">
        <f t="shared" si="52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8">+L382/K382</f>
        <v>0.71296296296296291</v>
      </c>
      <c r="N382" s="3">
        <f t="shared" si="57"/>
        <v>0.71296296296296291</v>
      </c>
      <c r="O382" s="3" t="s">
        <v>35</v>
      </c>
      <c r="P382" s="3" t="s">
        <v>35</v>
      </c>
      <c r="Q382" s="3" t="str">
        <f t="shared" si="52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8"/>
        <v>0.73404255319148937</v>
      </c>
      <c r="N383" s="3">
        <f t="shared" si="57"/>
        <v>0.73404255319148937</v>
      </c>
      <c r="O383" s="3" t="s">
        <v>35</v>
      </c>
      <c r="P383" s="3" t="s">
        <v>35</v>
      </c>
      <c r="Q383" s="3" t="str">
        <f t="shared" si="52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8"/>
        <v>0.88888888888888884</v>
      </c>
      <c r="N384" s="3">
        <f t="shared" si="57"/>
        <v>0.88888888888888884</v>
      </c>
      <c r="O384" s="3" t="s">
        <v>35</v>
      </c>
      <c r="P384" s="3" t="s">
        <v>35</v>
      </c>
      <c r="Q384" s="3" t="str">
        <f t="shared" si="52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8"/>
        <v>1.0825688073394495</v>
      </c>
      <c r="N385" s="3">
        <f t="shared" si="57"/>
        <v>1.0825688073394495</v>
      </c>
      <c r="O385" s="3" t="s">
        <v>35</v>
      </c>
      <c r="P385" s="3" t="s">
        <v>35</v>
      </c>
      <c r="Q385" s="3" t="str">
        <f t="shared" si="52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7"/>
        <v>1.5027390438247012</v>
      </c>
      <c r="O386" s="3" t="s">
        <v>143</v>
      </c>
      <c r="P386" s="3" t="s">
        <v>143</v>
      </c>
      <c r="Q386" s="3" t="str">
        <f t="shared" si="52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9">+L387/K387</f>
        <v>1.5027390438247012</v>
      </c>
      <c r="N387" s="3">
        <f t="shared" ref="N387:N393" si="60">+L387/K387</f>
        <v>1.5027390438247012</v>
      </c>
      <c r="O387" s="3" t="s">
        <v>143</v>
      </c>
      <c r="P387" s="3" t="s">
        <v>143</v>
      </c>
      <c r="Q387" s="3" t="str">
        <f t="shared" ref="Q387:Q450" si="61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9"/>
        <v>1.0126417845079374</v>
      </c>
      <c r="N388" s="3">
        <f t="shared" si="60"/>
        <v>1.0126417845079374</v>
      </c>
      <c r="O388" s="3" t="s">
        <v>143</v>
      </c>
      <c r="P388" s="3" t="s">
        <v>143</v>
      </c>
      <c r="Q388" s="3" t="str">
        <f t="shared" si="61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9"/>
        <v>1.0126417845079394</v>
      </c>
      <c r="N389" s="3">
        <f t="shared" si="60"/>
        <v>1.0126417845079394</v>
      </c>
      <c r="O389" s="3" t="s">
        <v>143</v>
      </c>
      <c r="P389" s="3" t="s">
        <v>143</v>
      </c>
      <c r="Q389" s="3" t="str">
        <f t="shared" si="61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9"/>
        <v>1.0909960747143497</v>
      </c>
      <c r="N390" s="3">
        <f t="shared" si="60"/>
        <v>1.0909960747143497</v>
      </c>
      <c r="O390" s="3" t="s">
        <v>143</v>
      </c>
      <c r="P390" s="3" t="s">
        <v>143</v>
      </c>
      <c r="Q390" s="3" t="str">
        <f t="shared" si="61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9"/>
        <v>1.0909960747143497</v>
      </c>
      <c r="N391" s="3">
        <f t="shared" si="60"/>
        <v>1.0909960747143497</v>
      </c>
      <c r="O391" s="3" t="s">
        <v>143</v>
      </c>
      <c r="P391" s="3" t="s">
        <v>143</v>
      </c>
      <c r="Q391" s="3" t="str">
        <f t="shared" si="61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37751457388/1000000</f>
        <v>37751.457388000003</v>
      </c>
      <c r="M392" s="3">
        <f t="shared" si="59"/>
        <v>1.1750883690528604</v>
      </c>
      <c r="N392" s="3">
        <f t="shared" si="60"/>
        <v>1.1750883690528604</v>
      </c>
      <c r="O392" s="3" t="s">
        <v>143</v>
      </c>
      <c r="P392" s="3" t="s">
        <v>143</v>
      </c>
      <c r="Q392" s="3" t="str">
        <f t="shared" si="61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37751457388/1000000</f>
        <v>37751.457388000003</v>
      </c>
      <c r="M393" s="3">
        <f t="shared" si="59"/>
        <v>1.1750883690528604</v>
      </c>
      <c r="N393" s="3">
        <f t="shared" si="60"/>
        <v>1.1750883690528604</v>
      </c>
      <c r="O393" s="3" t="s">
        <v>143</v>
      </c>
      <c r="P393" s="3" t="s">
        <v>143</v>
      </c>
      <c r="Q393" s="3" t="str">
        <f t="shared" si="61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61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61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61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61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61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2">YEAR(F399)</f>
        <v>2018</v>
      </c>
      <c r="H399" s="3" t="str">
        <f t="shared" ref="H399:H410" si="63">PROPER(TEXT(F399,"mmmm"))</f>
        <v>Junio</v>
      </c>
      <c r="I399" s="3" t="str">
        <f t="shared" ref="I399:I410" si="64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61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2"/>
        <v>2018</v>
      </c>
      <c r="H400" s="3" t="str">
        <f t="shared" si="63"/>
        <v>Diciembre</v>
      </c>
      <c r="I400" s="3" t="str">
        <f t="shared" si="64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61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2"/>
        <v>2018</v>
      </c>
      <c r="H401" s="3" t="str">
        <f t="shared" si="63"/>
        <v>Diciembre</v>
      </c>
      <c r="I401" s="3" t="str">
        <f t="shared" si="64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61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2"/>
        <v>2019</v>
      </c>
      <c r="H402" s="3" t="str">
        <f t="shared" si="63"/>
        <v>Junio</v>
      </c>
      <c r="I402" s="3" t="str">
        <f t="shared" si="64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61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2"/>
        <v>2019</v>
      </c>
      <c r="H403" s="3" t="str">
        <f t="shared" si="63"/>
        <v>Diciembre</v>
      </c>
      <c r="I403" s="3" t="str">
        <f t="shared" si="64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61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2"/>
        <v>2019</v>
      </c>
      <c r="H404" s="3" t="str">
        <f t="shared" si="63"/>
        <v>Diciembre</v>
      </c>
      <c r="I404" s="3" t="str">
        <f t="shared" si="64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61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2"/>
        <v>2020</v>
      </c>
      <c r="H405" s="3" t="str">
        <f t="shared" si="63"/>
        <v>Junio</v>
      </c>
      <c r="I405" s="3" t="str">
        <f t="shared" si="64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61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2"/>
        <v>2020</v>
      </c>
      <c r="H406" s="3" t="str">
        <f t="shared" si="63"/>
        <v>Diciembre</v>
      </c>
      <c r="I406" s="3" t="str">
        <f t="shared" si="64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61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2"/>
        <v>2020</v>
      </c>
      <c r="H407" s="3" t="str">
        <f t="shared" si="63"/>
        <v>Diciembre</v>
      </c>
      <c r="I407" s="3" t="str">
        <f t="shared" si="64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61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2"/>
        <v>2021</v>
      </c>
      <c r="H408" s="3" t="str">
        <f t="shared" si="63"/>
        <v>Junio</v>
      </c>
      <c r="I408" s="3" t="str">
        <f t="shared" si="64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61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2"/>
        <v>2021</v>
      </c>
      <c r="H409" s="3" t="str">
        <f t="shared" si="63"/>
        <v>Diciembre</v>
      </c>
      <c r="I409" s="3" t="str">
        <f t="shared" si="64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61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2"/>
        <v>2021</v>
      </c>
      <c r="H410" s="3" t="str">
        <f t="shared" si="63"/>
        <v>Diciembre</v>
      </c>
      <c r="I410" s="3" t="str">
        <f t="shared" si="64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61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61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5">+L412/K412</f>
        <v>1.0419930374238469</v>
      </c>
      <c r="N412" s="3">
        <f t="shared" ref="N412:N421" si="66">+L412/K412</f>
        <v>1.0419930374238469</v>
      </c>
      <c r="O412" s="3" t="s">
        <v>35</v>
      </c>
      <c r="P412" s="3" t="s">
        <v>35</v>
      </c>
      <c r="Q412" s="3" t="str">
        <f t="shared" si="61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5"/>
        <v>1.0295000000000001</v>
      </c>
      <c r="N413" s="3">
        <f t="shared" si="66"/>
        <v>1.0295000000000001</v>
      </c>
      <c r="O413" s="3" t="s">
        <v>35</v>
      </c>
      <c r="P413" s="3" t="s">
        <v>35</v>
      </c>
      <c r="Q413" s="3" t="str">
        <f t="shared" si="61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5"/>
        <v>1.0207749381698268</v>
      </c>
      <c r="N414" s="3">
        <f t="shared" si="66"/>
        <v>1.0207749381698268</v>
      </c>
      <c r="O414" s="3" t="s">
        <v>35</v>
      </c>
      <c r="P414" s="3" t="s">
        <v>35</v>
      </c>
      <c r="Q414" s="3" t="str">
        <f t="shared" si="61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5"/>
        <v>1.0738153098420413</v>
      </c>
      <c r="N415" s="3">
        <f t="shared" si="66"/>
        <v>1.0738153098420413</v>
      </c>
      <c r="O415" s="3" t="s">
        <v>35</v>
      </c>
      <c r="P415" s="3" t="s">
        <v>35</v>
      </c>
      <c r="Q415" s="3" t="str">
        <f t="shared" si="61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5"/>
        <v>1.0445787512496592</v>
      </c>
      <c r="N416" s="3">
        <f t="shared" si="66"/>
        <v>1.0445787512496592</v>
      </c>
      <c r="O416" s="3" t="s">
        <v>35</v>
      </c>
      <c r="P416" s="3" t="s">
        <v>35</v>
      </c>
      <c r="Q416" s="3" t="str">
        <f t="shared" si="61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5"/>
        <v>0.95562913907284763</v>
      </c>
      <c r="N417" s="3">
        <f t="shared" si="66"/>
        <v>0.95562913907284763</v>
      </c>
      <c r="O417" s="3" t="s">
        <v>35</v>
      </c>
      <c r="P417" s="3" t="s">
        <v>35</v>
      </c>
      <c r="Q417" s="3" t="str">
        <f t="shared" si="61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5"/>
        <v>0.99007025761124123</v>
      </c>
      <c r="N418" s="3">
        <f t="shared" si="66"/>
        <v>0.99007025761124123</v>
      </c>
      <c r="O418" s="3" t="s">
        <v>35</v>
      </c>
      <c r="P418" s="3" t="s">
        <v>35</v>
      </c>
      <c r="Q418" s="3" t="str">
        <f t="shared" si="61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5"/>
        <v>0.97078096023078508</v>
      </c>
      <c r="N419" s="3">
        <f t="shared" si="66"/>
        <v>0.97078096023078508</v>
      </c>
      <c r="O419" s="3" t="s">
        <v>35</v>
      </c>
      <c r="P419" s="3" t="s">
        <v>35</v>
      </c>
      <c r="Q419" s="3" t="str">
        <f t="shared" si="61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5"/>
        <v>1.0390917775001838</v>
      </c>
      <c r="N420" s="3">
        <f t="shared" si="66"/>
        <v>1.0390917775001838</v>
      </c>
      <c r="O420" s="3" t="s">
        <v>35</v>
      </c>
      <c r="P420" s="3" t="s">
        <v>35</v>
      </c>
      <c r="Q420" s="3" t="str">
        <f t="shared" si="61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5"/>
        <v>1.0241401216081314</v>
      </c>
      <c r="N421" s="3">
        <f t="shared" si="66"/>
        <v>1.0241401216081314</v>
      </c>
      <c r="O421" s="3" t="s">
        <v>35</v>
      </c>
      <c r="P421" s="3" t="s">
        <v>35</v>
      </c>
      <c r="Q421" s="3" t="str">
        <f t="shared" si="61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61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7">L423/K423</f>
        <v>0.75108988032332902</v>
      </c>
      <c r="N423" s="3">
        <f t="shared" ref="N423:N428" si="68">L423/K423</f>
        <v>0.75108988032332902</v>
      </c>
      <c r="O423" s="3" t="s">
        <v>143</v>
      </c>
      <c r="P423" s="3" t="s">
        <v>143</v>
      </c>
      <c r="Q423" s="3" t="str">
        <f t="shared" si="61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7"/>
        <v>1.2553149921891629</v>
      </c>
      <c r="N424" s="3">
        <f t="shared" si="68"/>
        <v>1.2553149921891629</v>
      </c>
      <c r="O424" s="3" t="s">
        <v>143</v>
      </c>
      <c r="P424" s="3" t="s">
        <v>143</v>
      </c>
      <c r="Q424" s="3" t="str">
        <f t="shared" si="61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7"/>
        <v>1.2553149921891629</v>
      </c>
      <c r="N425" s="3">
        <f t="shared" si="68"/>
        <v>1.2553149921891629</v>
      </c>
      <c r="O425" s="3" t="s">
        <v>143</v>
      </c>
      <c r="P425" s="3" t="s">
        <v>143</v>
      </c>
      <c r="Q425" s="3" t="str">
        <f t="shared" si="61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7"/>
        <v>0.85398321724869886</v>
      </c>
      <c r="N426" s="3">
        <f t="shared" si="68"/>
        <v>0.85398321724869886</v>
      </c>
      <c r="O426" s="3" t="s">
        <v>143</v>
      </c>
      <c r="P426" s="3" t="s">
        <v>143</v>
      </c>
      <c r="Q426" s="3" t="str">
        <f t="shared" si="61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7"/>
        <v>0.85398321724869886</v>
      </c>
      <c r="N427" s="3">
        <f t="shared" si="68"/>
        <v>0.85398321724869886</v>
      </c>
      <c r="O427" s="3" t="s">
        <v>143</v>
      </c>
      <c r="P427" s="3" t="s">
        <v>143</v>
      </c>
      <c r="Q427" s="3" t="str">
        <f t="shared" si="61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18570267021/1000000</f>
        <v>18570.267021</v>
      </c>
      <c r="M428" s="3">
        <f t="shared" si="67"/>
        <v>1.0886389449492739</v>
      </c>
      <c r="N428" s="3">
        <f t="shared" si="68"/>
        <v>1.0886389449492739</v>
      </c>
      <c r="O428" s="3" t="s">
        <v>143</v>
      </c>
      <c r="P428" s="3" t="s">
        <v>143</v>
      </c>
      <c r="Q428" s="3" t="str">
        <f t="shared" si="61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9">+L429/K429</f>
        <v>1</v>
      </c>
      <c r="O429" s="3" t="s">
        <v>143</v>
      </c>
      <c r="P429" s="3" t="s">
        <v>143</v>
      </c>
      <c r="Q429" s="3" t="str">
        <f t="shared" si="61"/>
        <v>386,1-2022-12-31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9"/>
        <v>1</v>
      </c>
      <c r="O430" s="3" t="s">
        <v>143</v>
      </c>
      <c r="P430" s="3" t="s">
        <v>143</v>
      </c>
      <c r="Q430" s="3" t="str">
        <f t="shared" si="61"/>
        <v>386,1-2022-12-31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9"/>
        <v>2.7839074929774967</v>
      </c>
      <c r="O431" s="3" t="s">
        <v>143</v>
      </c>
      <c r="P431" s="3" t="s">
        <v>143</v>
      </c>
      <c r="Q431" s="3" t="str">
        <f t="shared" si="61"/>
        <v>386,1-2023-12-31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70">IF(+L432/K432&gt;1.3,1.3,L432/K432)</f>
        <v>1.3</v>
      </c>
      <c r="N432" s="3">
        <f t="shared" si="69"/>
        <v>2.7839074929774967</v>
      </c>
      <c r="O432" s="3" t="s">
        <v>143</v>
      </c>
      <c r="P432" s="3" t="s">
        <v>143</v>
      </c>
      <c r="Q432" s="3" t="str">
        <f t="shared" si="61"/>
        <v>386,1-2023-12-31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70"/>
        <v>1.3</v>
      </c>
      <c r="N433" s="3">
        <f t="shared" si="69"/>
        <v>1.3708904125402521</v>
      </c>
      <c r="O433" s="3" t="s">
        <v>143</v>
      </c>
      <c r="P433" s="3" t="s">
        <v>143</v>
      </c>
      <c r="Q433" s="3" t="str">
        <f t="shared" si="61"/>
        <v>386,1-2024-12-31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70"/>
        <v>1.3</v>
      </c>
      <c r="N434" s="3">
        <f t="shared" si="69"/>
        <v>1.3708904125402521</v>
      </c>
      <c r="O434" s="3" t="s">
        <v>143</v>
      </c>
      <c r="P434" s="3" t="s">
        <v>143</v>
      </c>
      <c r="Q434" s="3" t="str">
        <f t="shared" si="61"/>
        <v>386,1-2024-12-31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4700694763/1000000</f>
        <v>4700.6947630000004</v>
      </c>
      <c r="M435" s="3">
        <f t="shared" si="70"/>
        <v>1.1627806593671794</v>
      </c>
      <c r="N435" s="3">
        <f t="shared" si="69"/>
        <v>1.1627806593671794</v>
      </c>
      <c r="O435" s="3" t="s">
        <v>143</v>
      </c>
      <c r="P435" s="3" t="s">
        <v>143</v>
      </c>
      <c r="Q435" s="3" t="str">
        <f t="shared" si="61"/>
        <v>386,1-2025-12-31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61"/>
        <v>386,2-2022-12-31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71">L437/K437</f>
        <v>1</v>
      </c>
      <c r="O437" s="3" t="s">
        <v>143</v>
      </c>
      <c r="P437" s="3" t="s">
        <v>143</v>
      </c>
      <c r="Q437" s="3" t="str">
        <f t="shared" si="61"/>
        <v>386,2-2022-12-31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2">L438/K438</f>
        <v>1.393450174618678</v>
      </c>
      <c r="N438" s="3">
        <f t="shared" si="71"/>
        <v>1.393450174618678</v>
      </c>
      <c r="O438" s="3" t="s">
        <v>143</v>
      </c>
      <c r="P438" s="3" t="s">
        <v>143</v>
      </c>
      <c r="Q438" s="3" t="str">
        <f t="shared" si="61"/>
        <v>386,2-2023-12-31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2"/>
        <v>1.393450174618678</v>
      </c>
      <c r="N439" s="3">
        <f t="shared" si="71"/>
        <v>1.393450174618678</v>
      </c>
      <c r="O439" s="3" t="s">
        <v>143</v>
      </c>
      <c r="P439" s="3" t="s">
        <v>143</v>
      </c>
      <c r="Q439" s="3" t="str">
        <f t="shared" si="61"/>
        <v>386,2-2023-12-31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2"/>
        <v>0.54086603411912804</v>
      </c>
      <c r="N440" s="3">
        <f t="shared" si="71"/>
        <v>0.54086603411912804</v>
      </c>
      <c r="O440" s="3" t="s">
        <v>143</v>
      </c>
      <c r="P440" s="3" t="s">
        <v>143</v>
      </c>
      <c r="Q440" s="3" t="str">
        <f t="shared" si="61"/>
        <v>386,2-2024-12-31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2"/>
        <v>0.54086603411912804</v>
      </c>
      <c r="N441" s="3">
        <f t="shared" si="71"/>
        <v>0.54086603411912804</v>
      </c>
      <c r="O441" s="3" t="s">
        <v>143</v>
      </c>
      <c r="P441" s="3" t="s">
        <v>143</v>
      </c>
      <c r="Q441" s="3" t="str">
        <f t="shared" si="61"/>
        <v>386,2-2024-12-31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7473892508/1000000</f>
        <v>7473.8925079999999</v>
      </c>
      <c r="M442" s="3">
        <f t="shared" si="72"/>
        <v>1.0036340039279443</v>
      </c>
      <c r="N442" s="3">
        <f t="shared" si="71"/>
        <v>1.0036340039279443</v>
      </c>
      <c r="O442" s="3" t="s">
        <v>143</v>
      </c>
      <c r="P442" s="3" t="s">
        <v>143</v>
      </c>
      <c r="Q442" s="3" t="str">
        <f t="shared" si="61"/>
        <v>386,2-2025-12-31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7473892508/1000000</f>
        <v>7473.8925079999999</v>
      </c>
      <c r="M443" s="3">
        <f t="shared" si="72"/>
        <v>1.0036340039279443</v>
      </c>
      <c r="N443" s="3">
        <f t="shared" si="71"/>
        <v>1.0036340039279443</v>
      </c>
      <c r="O443" s="3" t="s">
        <v>143</v>
      </c>
      <c r="P443" s="3" t="s">
        <v>143</v>
      </c>
      <c r="Q443" s="3" t="str">
        <f t="shared" si="61"/>
        <v>386,2-2025-12-31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61"/>
        <v>386,3-2022-12-31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3">IF(L445/K445&gt;1.3,1.3,L445/K445)</f>
        <v>1</v>
      </c>
      <c r="N445" s="3">
        <f t="shared" ref="N445:N451" si="74">L445/K445</f>
        <v>1</v>
      </c>
      <c r="O445" s="3" t="s">
        <v>143</v>
      </c>
      <c r="P445" s="3" t="s">
        <v>143</v>
      </c>
      <c r="Q445" s="3" t="str">
        <f t="shared" si="61"/>
        <v>386,3-2022-12-31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3"/>
        <v>0.71558444628256934</v>
      </c>
      <c r="N446" s="3">
        <f t="shared" si="74"/>
        <v>0.71558444628256934</v>
      </c>
      <c r="O446" s="3" t="s">
        <v>143</v>
      </c>
      <c r="P446" s="3" t="s">
        <v>143</v>
      </c>
      <c r="Q446" s="3" t="str">
        <f t="shared" si="61"/>
        <v>386,3-2023-12-31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3"/>
        <v>0.71558444628256934</v>
      </c>
      <c r="N447" s="3">
        <f t="shared" si="74"/>
        <v>0.71558444628256934</v>
      </c>
      <c r="O447" s="3" t="s">
        <v>143</v>
      </c>
      <c r="P447" s="3" t="s">
        <v>143</v>
      </c>
      <c r="Q447" s="3" t="str">
        <f t="shared" si="61"/>
        <v>386,3-2023-12-31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3"/>
        <v>1.0013905729387031</v>
      </c>
      <c r="N448" s="3">
        <f t="shared" si="74"/>
        <v>1.0013905729387031</v>
      </c>
      <c r="O448" s="3" t="s">
        <v>143</v>
      </c>
      <c r="P448" s="3" t="s">
        <v>143</v>
      </c>
      <c r="Q448" s="3" t="str">
        <f t="shared" si="61"/>
        <v>386,3-2024-12-31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3"/>
        <v>1.0013905729387031</v>
      </c>
      <c r="N449" s="3">
        <f t="shared" si="74"/>
        <v>1.0013905729387031</v>
      </c>
      <c r="O449" s="3" t="s">
        <v>143</v>
      </c>
      <c r="P449" s="3" t="s">
        <v>143</v>
      </c>
      <c r="Q449" s="3" t="str">
        <f t="shared" si="61"/>
        <v>386,3-2024-12-31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6395679750/1000000</f>
        <v>6395.6797500000002</v>
      </c>
      <c r="M450" s="3">
        <f t="shared" si="73"/>
        <v>1.1484886334386992</v>
      </c>
      <c r="N450" s="3">
        <f t="shared" si="74"/>
        <v>1.1484886334386992</v>
      </c>
      <c r="O450" s="3" t="s">
        <v>143</v>
      </c>
      <c r="P450" s="3" t="s">
        <v>143</v>
      </c>
      <c r="Q450" s="3" t="str">
        <f t="shared" si="61"/>
        <v>386,3-2025-12-31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6395679750/1000000</f>
        <v>6395.6797500000002</v>
      </c>
      <c r="M451" s="3">
        <f t="shared" si="73"/>
        <v>1.1484886334386992</v>
      </c>
      <c r="N451" s="3">
        <f t="shared" si="74"/>
        <v>1.1484886334386992</v>
      </c>
      <c r="O451" s="3" t="s">
        <v>143</v>
      </c>
      <c r="P451" s="3" t="s">
        <v>143</v>
      </c>
      <c r="Q451" s="3" t="str">
        <f t="shared" ref="Q451:Q514" si="75">A451&amp;"-"&amp;YEAR(F451)&amp;"-"&amp;IF(LEN(MONTH(F451))=1,"0"&amp;MONTH(F451),MONTH(F451))&amp;"-"&amp;IF(LEN(DAY(F451))=1,"0"&amp;DAY(F451),DAY(F451))</f>
        <v>386,3-2025-12-31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5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6">+L453/K453</f>
        <v>0.88636363636363624</v>
      </c>
      <c r="N453" s="3">
        <f t="shared" ref="N453:N458" si="77">+L453/K453</f>
        <v>0.88636363636363624</v>
      </c>
      <c r="O453" s="3" t="s">
        <v>245</v>
      </c>
      <c r="P453" s="3" t="s">
        <v>245</v>
      </c>
      <c r="Q453" s="3" t="str">
        <f t="shared" si="75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6"/>
        <v>0.94047619047619047</v>
      </c>
      <c r="N454" s="3">
        <f t="shared" si="77"/>
        <v>0.94047619047619047</v>
      </c>
      <c r="O454" s="3" t="s">
        <v>245</v>
      </c>
      <c r="P454" s="3" t="s">
        <v>245</v>
      </c>
      <c r="Q454" s="3" t="str">
        <f t="shared" si="75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6"/>
        <v>0.94047619047619047</v>
      </c>
      <c r="N455" s="3">
        <f t="shared" si="77"/>
        <v>0.94047619047619047</v>
      </c>
      <c r="O455" s="3" t="s">
        <v>245</v>
      </c>
      <c r="P455" s="3" t="s">
        <v>245</v>
      </c>
      <c r="Q455" s="3" t="str">
        <f t="shared" si="75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6"/>
        <v>1.4939759036144578</v>
      </c>
      <c r="N456" s="3">
        <f t="shared" si="77"/>
        <v>1.4939759036144578</v>
      </c>
      <c r="O456" s="3" t="s">
        <v>245</v>
      </c>
      <c r="P456" s="3" t="s">
        <v>245</v>
      </c>
      <c r="Q456" s="3" t="str">
        <f t="shared" si="75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6"/>
        <v>1.4939759036144578</v>
      </c>
      <c r="N457" s="3">
        <f t="shared" si="77"/>
        <v>1.4939759036144578</v>
      </c>
      <c r="O457" s="3" t="s">
        <v>245</v>
      </c>
      <c r="P457" s="3" t="s">
        <v>245</v>
      </c>
      <c r="Q457" s="3" t="str">
        <f t="shared" si="75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6"/>
        <v>1.2583333333333333</v>
      </c>
      <c r="N458" s="3">
        <f t="shared" si="77"/>
        <v>1.2583333333333333</v>
      </c>
      <c r="O458" s="3" t="s">
        <v>245</v>
      </c>
      <c r="P458" s="3" t="s">
        <v>245</v>
      </c>
      <c r="Q458" s="3" t="str">
        <f t="shared" si="75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5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8">+L460/K460</f>
        <v>0.76923076923076927</v>
      </c>
      <c r="N460" s="3">
        <f t="shared" ref="N460:N465" si="79">+L460/K460</f>
        <v>0.76923076923076927</v>
      </c>
      <c r="O460" s="3" t="s">
        <v>245</v>
      </c>
      <c r="P460" s="3" t="s">
        <v>35</v>
      </c>
      <c r="Q460" s="3" t="str">
        <f t="shared" si="75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8"/>
        <v>1</v>
      </c>
      <c r="N461" s="3">
        <f t="shared" si="79"/>
        <v>1</v>
      </c>
      <c r="O461" s="3" t="s">
        <v>35</v>
      </c>
      <c r="P461" s="3" t="s">
        <v>35</v>
      </c>
      <c r="Q461" s="3" t="str">
        <f t="shared" si="75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8"/>
        <v>1</v>
      </c>
      <c r="N462" s="3">
        <f t="shared" si="79"/>
        <v>1</v>
      </c>
      <c r="O462" s="3" t="s">
        <v>35</v>
      </c>
      <c r="P462" s="3" t="s">
        <v>35</v>
      </c>
      <c r="Q462" s="3" t="str">
        <f t="shared" si="75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8"/>
        <v>1.2857142857142858</v>
      </c>
      <c r="N463" s="3">
        <f t="shared" si="79"/>
        <v>1.2857142857142858</v>
      </c>
      <c r="O463" s="3" t="s">
        <v>35</v>
      </c>
      <c r="P463" s="3" t="s">
        <v>35</v>
      </c>
      <c r="Q463" s="3" t="str">
        <f t="shared" si="75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8"/>
        <v>1.2857142857142858</v>
      </c>
      <c r="N464" s="3">
        <f t="shared" si="79"/>
        <v>1.2857142857142858</v>
      </c>
      <c r="O464" s="3" t="s">
        <v>35</v>
      </c>
      <c r="P464" s="3" t="s">
        <v>35</v>
      </c>
      <c r="Q464" s="3" t="str">
        <f t="shared" si="75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8"/>
        <v>1.2222222222222223</v>
      </c>
      <c r="N465" s="3">
        <f t="shared" si="79"/>
        <v>1.2222222222222223</v>
      </c>
      <c r="O465" s="3" t="s">
        <v>35</v>
      </c>
      <c r="P465" s="3" t="s">
        <v>35</v>
      </c>
      <c r="Q465" s="3" t="str">
        <f t="shared" si="75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5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5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5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5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5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5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80">+L472/K472</f>
        <v>1.7424000000000002</v>
      </c>
      <c r="O472" s="3" t="s">
        <v>35</v>
      </c>
      <c r="P472" s="3" t="s">
        <v>245</v>
      </c>
      <c r="Q472" s="3" t="str">
        <f t="shared" si="75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80"/>
        <v>1.27</v>
      </c>
      <c r="O473" s="3" t="s">
        <v>35</v>
      </c>
      <c r="P473" s="3" t="s">
        <v>245</v>
      </c>
      <c r="Q473" s="3" t="str">
        <f t="shared" si="75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80"/>
        <v>1.27</v>
      </c>
      <c r="O474" s="3" t="s">
        <v>35</v>
      </c>
      <c r="P474" s="3" t="s">
        <v>245</v>
      </c>
      <c r="Q474" s="3" t="str">
        <f t="shared" si="75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80"/>
        <v>1.0759999999999998</v>
      </c>
      <c r="O475" s="3" t="s">
        <v>35</v>
      </c>
      <c r="P475" s="3" t="s">
        <v>245</v>
      </c>
      <c r="Q475" s="3" t="str">
        <f t="shared" si="75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80"/>
        <v>1.0759999999999998</v>
      </c>
      <c r="O476" s="3" t="s">
        <v>35</v>
      </c>
      <c r="P476" s="3" t="s">
        <v>245</v>
      </c>
      <c r="Q476" s="3" t="str">
        <f t="shared" si="75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81">+L477/K477</f>
        <v>1.0654545454545454</v>
      </c>
      <c r="N477" s="3">
        <f t="shared" si="80"/>
        <v>1.0654545454545454</v>
      </c>
      <c r="O477" s="3" t="s">
        <v>35</v>
      </c>
      <c r="P477" s="3" t="s">
        <v>245</v>
      </c>
      <c r="Q477" s="3" t="str">
        <f t="shared" si="75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f>176757251547.1/1000000</f>
        <v>176757.25154709999</v>
      </c>
      <c r="M478" s="3">
        <f t="shared" si="81"/>
        <v>1.1092117501681222</v>
      </c>
      <c r="N478" s="3">
        <f t="shared" ref="N478:N479" si="82">+L478/K478</f>
        <v>1.1092117501681222</v>
      </c>
      <c r="O478" s="3" t="s">
        <v>143</v>
      </c>
      <c r="P478" s="3" t="s">
        <v>143</v>
      </c>
      <c r="Q478" s="3" t="str">
        <f t="shared" si="75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344352396844/1000000</f>
        <v>344352.39684399997</v>
      </c>
      <c r="M479" s="3">
        <f t="shared" si="81"/>
        <v>1.1133112424773159</v>
      </c>
      <c r="N479" s="3">
        <f t="shared" si="82"/>
        <v>1.1133112424773159</v>
      </c>
      <c r="O479" s="3" t="s">
        <v>143</v>
      </c>
      <c r="P479" s="3" t="s">
        <v>143</v>
      </c>
      <c r="Q479" s="3" t="str">
        <f t="shared" si="75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5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81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5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81"/>
        <v>1.175</v>
      </c>
      <c r="N482" s="3">
        <v>1.0625</v>
      </c>
      <c r="O482" s="3" t="s">
        <v>58</v>
      </c>
      <c r="P482" s="3" t="s">
        <v>58</v>
      </c>
      <c r="Q482" s="3" t="str">
        <f t="shared" si="75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4700694763/1000000</f>
        <v>4700.6947630000004</v>
      </c>
      <c r="M483" s="3">
        <f>IF(+L483/K483&gt;1.3,1.3,L483/K483)</f>
        <v>1.1627806593671794</v>
      </c>
      <c r="N483" s="3">
        <f>+L483/K483</f>
        <v>1.1627806593671794</v>
      </c>
      <c r="O483" s="3" t="s">
        <v>143</v>
      </c>
      <c r="P483" s="3" t="s">
        <v>143</v>
      </c>
      <c r="Q483" s="3" t="str">
        <f t="shared" si="75"/>
        <v>386,1-2025-12-31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18570267021/1000000</f>
        <v>18570.267021</v>
      </c>
      <c r="M484" s="3">
        <f>L484/K484</f>
        <v>1.0886389449492739</v>
      </c>
      <c r="N484" s="3">
        <f>L484/K484</f>
        <v>1.0886389449492739</v>
      </c>
      <c r="O484" s="3" t="s">
        <v>143</v>
      </c>
      <c r="P484" s="3" t="s">
        <v>143</v>
      </c>
      <c r="Q484" s="3" t="str">
        <f t="shared" si="75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5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5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5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5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5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5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5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5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5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5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3">+L495/K495</f>
        <v>1.0576470588235294</v>
      </c>
      <c r="N495" s="3">
        <f t="shared" ref="N495" si="84">+L495/K495</f>
        <v>1.0576470588235294</v>
      </c>
      <c r="O495" s="3" t="s">
        <v>58</v>
      </c>
      <c r="P495" s="3" t="s">
        <v>58</v>
      </c>
      <c r="Q495" s="3" t="str">
        <f t="shared" si="75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5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5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5">+L498/K498</f>
        <v>1.0011614401858304</v>
      </c>
      <c r="N498" s="3">
        <f t="shared" ref="N498" si="86">+L498/K498</f>
        <v>1.0011614401858304</v>
      </c>
      <c r="O498" s="3" t="s">
        <v>58</v>
      </c>
      <c r="P498" s="3" t="s">
        <v>58</v>
      </c>
      <c r="Q498" s="3" t="str">
        <f t="shared" si="75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7">+K499/L499</f>
        <v>0.97814273638449456</v>
      </c>
      <c r="N499" s="3">
        <f t="shared" ref="N499:N500" si="88">+K499/L499</f>
        <v>0.97814273638449456</v>
      </c>
      <c r="O499" s="3" t="s">
        <v>35</v>
      </c>
      <c r="P499" s="3" t="s">
        <v>245</v>
      </c>
      <c r="Q499" s="3" t="str">
        <f t="shared" si="75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7"/>
        <v>1.0380116959064327</v>
      </c>
      <c r="N500" s="3">
        <f t="shared" si="88"/>
        <v>1.0380116959064327</v>
      </c>
      <c r="O500" s="3" t="s">
        <v>35</v>
      </c>
      <c r="P500" s="3" t="s">
        <v>245</v>
      </c>
      <c r="Q500" s="3" t="str">
        <f t="shared" si="75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9">+L501/K501</f>
        <v>0.84417707369256101</v>
      </c>
      <c r="N501" s="3">
        <f t="shared" ref="N501" si="90">+L501/K501</f>
        <v>0.84417707369256101</v>
      </c>
      <c r="O501" s="3" t="s">
        <v>35</v>
      </c>
      <c r="P501" s="3" t="s">
        <v>35</v>
      </c>
      <c r="Q501" s="3" t="str">
        <f t="shared" si="75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9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5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5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5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5"/>
        <v>14,1-2026-01-01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5"/>
        <v>14,2-2026-01-01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91">+L507/K507</f>
        <v>1.0294735596129376</v>
      </c>
      <c r="N507" s="3">
        <f t="shared" ref="N507:N508" si="92">+L507/K507</f>
        <v>1.0294735596129376</v>
      </c>
      <c r="O507" s="3" t="s">
        <v>35</v>
      </c>
      <c r="P507" s="3" t="s">
        <v>35</v>
      </c>
      <c r="Q507" s="3" t="str">
        <f t="shared" si="75"/>
        <v>14,3-2026-01-01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91"/>
        <v>1.033763700538733</v>
      </c>
      <c r="N508" s="3">
        <f t="shared" si="92"/>
        <v>1.033763700538733</v>
      </c>
      <c r="O508" s="3" t="s">
        <v>35</v>
      </c>
      <c r="P508" s="3" t="s">
        <v>35</v>
      </c>
      <c r="Q508" s="3" t="str">
        <f t="shared" si="75"/>
        <v>14,4-2026-01-01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5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5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5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5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93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5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5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94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5">+L516/K516</f>
        <v>1.0576470588235294</v>
      </c>
      <c r="N516" s="3">
        <f t="shared" ref="N516" si="96">+L516/K516</f>
        <v>1.0576470588235294</v>
      </c>
      <c r="O516" s="3" t="s">
        <v>58</v>
      </c>
      <c r="P516" s="3" t="s">
        <v>58</v>
      </c>
      <c r="Q516" s="3" t="str">
        <f t="shared" si="94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94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94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1157792.5697010001</v>
      </c>
      <c r="M519" s="3">
        <f t="shared" ref="M519" si="97">+L519/K519</f>
        <v>1.0639250292430453</v>
      </c>
      <c r="N519" s="3">
        <f t="shared" ref="N519" si="98">+L519/K519</f>
        <v>1.0639250292430453</v>
      </c>
      <c r="O519" s="3" t="s">
        <v>143</v>
      </c>
      <c r="P519" s="3" t="s">
        <v>143</v>
      </c>
      <c r="Q519" s="3" t="str">
        <f t="shared" si="94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94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5674</v>
      </c>
      <c r="M521" s="3">
        <f>IF(L521/K521&gt;1.3,1.3,L521/K521)</f>
        <v>1.2113578138343297</v>
      </c>
      <c r="N521" s="3">
        <f>L521/K521</f>
        <v>1.2113578138343297</v>
      </c>
      <c r="O521" s="3" t="s">
        <v>143</v>
      </c>
      <c r="P521" s="3" t="s">
        <v>143</v>
      </c>
      <c r="Q521" s="3" t="str">
        <f t="shared" si="94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94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9">+L523/K523</f>
        <v>1.0011614401858304</v>
      </c>
      <c r="N523" s="3">
        <f t="shared" ref="N523:N524" si="100">+L523/K523</f>
        <v>1.0011614401858304</v>
      </c>
      <c r="O523" s="3" t="s">
        <v>58</v>
      </c>
      <c r="P523" s="3" t="s">
        <v>58</v>
      </c>
      <c r="Q523" s="3" t="str">
        <f t="shared" si="94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9"/>
        <v>1.02031875181617</v>
      </c>
      <c r="N524" s="3">
        <f t="shared" si="100"/>
        <v>1.02031875181617</v>
      </c>
      <c r="O524" s="3" t="s">
        <v>35</v>
      </c>
      <c r="P524" s="3" t="s">
        <v>35</v>
      </c>
      <c r="Q524" s="3" t="str">
        <f t="shared" si="94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101">+K525/L525</f>
        <v>0.97814273638449456</v>
      </c>
      <c r="N525" s="3">
        <f t="shared" ref="N525:N526" si="102">+K525/L525</f>
        <v>0.97814273638449456</v>
      </c>
      <c r="O525" s="3" t="s">
        <v>35</v>
      </c>
      <c r="P525" s="3" t="s">
        <v>245</v>
      </c>
      <c r="Q525" s="3" t="str">
        <f t="shared" si="94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101"/>
        <v>1.0380116959064327</v>
      </c>
      <c r="N526" s="3">
        <f t="shared" si="102"/>
        <v>1.0380116959064327</v>
      </c>
      <c r="O526" s="3" t="s">
        <v>35</v>
      </c>
      <c r="P526" s="3" t="s">
        <v>245</v>
      </c>
      <c r="Q526" s="3" t="str">
        <f t="shared" si="94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94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103">+L528/K528</f>
        <v>0.97848330378250592</v>
      </c>
      <c r="N528" s="3">
        <f t="shared" ref="N528" si="104">+L528/K528</f>
        <v>0.97848330378250592</v>
      </c>
      <c r="O528" s="3" t="s">
        <v>35</v>
      </c>
      <c r="P528" s="3" t="s">
        <v>35</v>
      </c>
      <c r="Q528" s="3" t="str">
        <f t="shared" si="94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94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5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94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117762.46742599996</v>
      </c>
      <c r="M531" s="3">
        <f t="shared" si="105"/>
        <v>1.1628097256781738</v>
      </c>
      <c r="N531" s="3">
        <f t="shared" ref="N531" si="106">+L531/K531</f>
        <v>1.1628097256781738</v>
      </c>
      <c r="O531" s="3" t="s">
        <v>143</v>
      </c>
      <c r="P531" s="3" t="s">
        <v>143</v>
      </c>
      <c r="Q531" s="3" t="str">
        <f t="shared" si="94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94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59545.798287999998</v>
      </c>
      <c r="M533" s="3">
        <f>L533/K533</f>
        <v>0.99202561337790229</v>
      </c>
      <c r="N533" s="3">
        <f>L533/K533</f>
        <v>0.99202561337790229</v>
      </c>
      <c r="O533" s="3" t="s">
        <v>143</v>
      </c>
      <c r="P533" s="3" t="s">
        <v>143</v>
      </c>
      <c r="Q533" s="3" t="str">
        <f t="shared" si="94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14069.243124000001</v>
      </c>
      <c r="M534" s="3">
        <f>IF(+L534/K534&gt;1.3,1.3,L534/K534)</f>
        <v>1.3</v>
      </c>
      <c r="N534" s="3">
        <f>+L534/K534</f>
        <v>1.4475982453256353</v>
      </c>
      <c r="O534" s="3" t="s">
        <v>143</v>
      </c>
      <c r="P534" s="3" t="s">
        <v>143</v>
      </c>
      <c r="Q534" s="3" t="str">
        <f t="shared" si="94"/>
        <v>386,1-2026-01-01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26848.239661</v>
      </c>
      <c r="M535" s="3">
        <f t="shared" ref="M535" si="107">L535/K535</f>
        <v>0.97363708829366702</v>
      </c>
      <c r="N535" s="3">
        <f t="shared" ref="N535:N536" si="108">L535/K535</f>
        <v>0.97363708829366702</v>
      </c>
      <c r="O535" s="3" t="s">
        <v>143</v>
      </c>
      <c r="P535" s="3" t="s">
        <v>143</v>
      </c>
      <c r="Q535" s="3" t="str">
        <f t="shared" si="94"/>
        <v>386,2-2026-01-01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18628.315503000002</v>
      </c>
      <c r="M536" s="3">
        <f t="shared" ref="M536" si="109">IF(L536/K536&gt;1.3,1.3,L536/K536)</f>
        <v>0.95999771993622107</v>
      </c>
      <c r="N536" s="3">
        <f t="shared" si="108"/>
        <v>0.95999771993622107</v>
      </c>
      <c r="O536" s="3" t="s">
        <v>143</v>
      </c>
      <c r="P536" s="3" t="s">
        <v>143</v>
      </c>
      <c r="Q536" s="3" t="str">
        <f t="shared" si="94"/>
        <v>386,3-2026-01-01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94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94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10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94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94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11">IF(L541/K541&gt;1,1,L541/K541)</f>
        <v>1</v>
      </c>
      <c r="N541" s="3">
        <f t="shared" ref="N541:N601" si="112">IF(L541/K541&gt;1,1,L541/K541)</f>
        <v>1</v>
      </c>
      <c r="O541" s="3" t="s">
        <v>58</v>
      </c>
      <c r="P541" s="3" t="s">
        <v>58</v>
      </c>
      <c r="Q541" s="3" t="str">
        <f t="shared" si="94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11"/>
        <v>1</v>
      </c>
      <c r="N542" s="3">
        <f t="shared" si="112"/>
        <v>1</v>
      </c>
      <c r="O542" s="3" t="s">
        <v>58</v>
      </c>
      <c r="P542" s="3" t="s">
        <v>58</v>
      </c>
      <c r="Q542" s="3" t="str">
        <f t="shared" si="94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11"/>
        <v>1</v>
      </c>
      <c r="N543" s="3">
        <f t="shared" si="112"/>
        <v>1</v>
      </c>
      <c r="O543" s="3" t="s">
        <v>58</v>
      </c>
      <c r="P543" s="3" t="s">
        <v>58</v>
      </c>
      <c r="Q543" s="3" t="str">
        <f t="shared" si="94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11"/>
        <v>0.94871794871794868</v>
      </c>
      <c r="N544" s="3">
        <f t="shared" si="112"/>
        <v>0.94871794871794868</v>
      </c>
      <c r="O544" s="3"/>
      <c r="P544" s="3"/>
      <c r="Q544" s="3" t="str">
        <f t="shared" si="94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11"/>
        <v>1</v>
      </c>
      <c r="N545" s="3">
        <f t="shared" si="112"/>
        <v>1</v>
      </c>
      <c r="O545" s="3"/>
      <c r="P545" s="3"/>
      <c r="Q545" s="3" t="str">
        <f t="shared" si="94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11"/>
        <v>0.94871794871794868</v>
      </c>
      <c r="N546" s="3">
        <f t="shared" si="112"/>
        <v>0.94871794871794868</v>
      </c>
      <c r="O546" s="3" t="s">
        <v>58</v>
      </c>
      <c r="P546" s="3" t="s">
        <v>58</v>
      </c>
      <c r="Q546" s="3" t="str">
        <f t="shared" si="94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11"/>
        <v>1</v>
      </c>
      <c r="N547" s="3">
        <f t="shared" si="112"/>
        <v>1</v>
      </c>
      <c r="O547" s="3" t="s">
        <v>58</v>
      </c>
      <c r="P547" s="3" t="s">
        <v>58</v>
      </c>
      <c r="Q547" s="3" t="str">
        <f t="shared" si="94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11"/>
        <v>0.96938775510204078</v>
      </c>
      <c r="N548" s="3">
        <f t="shared" si="112"/>
        <v>0.96938775510204078</v>
      </c>
      <c r="O548" s="3" t="s">
        <v>58</v>
      </c>
      <c r="P548" s="3" t="s">
        <v>58</v>
      </c>
      <c r="Q548" s="3" t="str">
        <f t="shared" si="94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11"/>
        <v>1</v>
      </c>
      <c r="N549" s="3">
        <f t="shared" si="112"/>
        <v>1</v>
      </c>
      <c r="O549" s="3" t="s">
        <v>58</v>
      </c>
      <c r="P549" s="3" t="s">
        <v>58</v>
      </c>
      <c r="Q549" s="3" t="str">
        <f t="shared" si="94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11"/>
        <v>0.8571428571428571</v>
      </c>
      <c r="N550" s="3">
        <f t="shared" si="112"/>
        <v>0.8571428571428571</v>
      </c>
      <c r="O550" s="3" t="s">
        <v>58</v>
      </c>
      <c r="P550" s="3" t="s">
        <v>58</v>
      </c>
      <c r="Q550" s="3" t="str">
        <f t="shared" si="94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11"/>
        <v>1</v>
      </c>
      <c r="N551" s="3">
        <f t="shared" si="112"/>
        <v>1</v>
      </c>
      <c r="O551" s="3" t="s">
        <v>58</v>
      </c>
      <c r="P551" s="3" t="s">
        <v>58</v>
      </c>
      <c r="Q551" s="3" t="str">
        <f t="shared" si="94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11"/>
        <v>1</v>
      </c>
      <c r="N552" s="3">
        <f t="shared" si="112"/>
        <v>1</v>
      </c>
      <c r="O552" s="3"/>
      <c r="P552" s="3"/>
      <c r="Q552" s="3" t="str">
        <f t="shared" si="94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11"/>
        <v>0.96938775510204078</v>
      </c>
      <c r="N553" s="3">
        <f t="shared" si="112"/>
        <v>0.96938775510204078</v>
      </c>
      <c r="O553" s="3" t="s">
        <v>58</v>
      </c>
      <c r="P553" s="3" t="s">
        <v>58</v>
      </c>
      <c r="Q553" s="3" t="str">
        <f t="shared" si="94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11"/>
        <v>1</v>
      </c>
      <c r="N554" s="3">
        <f t="shared" si="112"/>
        <v>1</v>
      </c>
      <c r="O554" s="3" t="s">
        <v>58</v>
      </c>
      <c r="P554" s="3" t="s">
        <v>58</v>
      </c>
      <c r="Q554" s="3" t="str">
        <f t="shared" si="94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11"/>
        <v>1</v>
      </c>
      <c r="N555" s="3">
        <f t="shared" si="112"/>
        <v>1</v>
      </c>
      <c r="O555" s="3">
        <v>0</v>
      </c>
      <c r="P555" s="3">
        <v>0</v>
      </c>
      <c r="Q555" s="3" t="str">
        <f t="shared" si="94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11"/>
        <v>1</v>
      </c>
      <c r="N556" s="3">
        <f t="shared" si="112"/>
        <v>1</v>
      </c>
      <c r="O556" s="3">
        <v>0</v>
      </c>
      <c r="P556" s="3">
        <v>0</v>
      </c>
      <c r="Q556" s="3" t="str">
        <f t="shared" si="94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94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11"/>
        <v>0.7846153846153846</v>
      </c>
      <c r="N558" s="3">
        <f t="shared" si="112"/>
        <v>0.7846153846153846</v>
      </c>
      <c r="O558" s="3"/>
      <c r="P558" s="3"/>
      <c r="Q558" s="3" t="str">
        <f t="shared" si="94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11"/>
        <v>0.73684210526315785</v>
      </c>
      <c r="N559" s="3">
        <f t="shared" si="112"/>
        <v>0.73684210526315785</v>
      </c>
      <c r="O559" s="3"/>
      <c r="P559" s="3"/>
      <c r="Q559" s="3" t="str">
        <f t="shared" si="94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11"/>
        <v>0.99</v>
      </c>
      <c r="N560" s="3">
        <f t="shared" si="112"/>
        <v>0.99</v>
      </c>
      <c r="O560" s="3" t="s">
        <v>58</v>
      </c>
      <c r="P560" s="3" t="s">
        <v>58</v>
      </c>
      <c r="Q560" s="3" t="str">
        <f t="shared" si="94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11"/>
        <v>1</v>
      </c>
      <c r="N561" s="3">
        <f t="shared" si="112"/>
        <v>1</v>
      </c>
      <c r="O561" s="3" t="s">
        <v>58</v>
      </c>
      <c r="P561" s="3" t="s">
        <v>58</v>
      </c>
      <c r="Q561" s="3" t="str">
        <f t="shared" si="94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11"/>
        <v>1</v>
      </c>
      <c r="N562" s="3">
        <f t="shared" si="112"/>
        <v>1</v>
      </c>
      <c r="O562" s="3" t="s">
        <v>58</v>
      </c>
      <c r="P562" s="3" t="s">
        <v>58</v>
      </c>
      <c r="Q562" s="3" t="str">
        <f t="shared" si="94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11"/>
        <v>0.87804878048780488</v>
      </c>
      <c r="N563" s="3">
        <f t="shared" si="112"/>
        <v>0.87804878048780488</v>
      </c>
      <c r="O563" s="3"/>
      <c r="P563" s="3"/>
      <c r="Q563" s="3" t="str">
        <f t="shared" si="94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11"/>
        <v>1</v>
      </c>
      <c r="N564" s="3">
        <f t="shared" si="112"/>
        <v>1</v>
      </c>
      <c r="O564" s="3"/>
      <c r="P564" s="3"/>
      <c r="Q564" s="3" t="str">
        <f t="shared" si="94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11"/>
        <v>1</v>
      </c>
      <c r="N565" s="3">
        <f t="shared" si="112"/>
        <v>1</v>
      </c>
      <c r="O565" s="3"/>
      <c r="P565" s="3"/>
      <c r="Q565" s="3" t="str">
        <f t="shared" si="94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11"/>
        <v>1</v>
      </c>
      <c r="N566" s="3">
        <f t="shared" si="112"/>
        <v>1</v>
      </c>
      <c r="O566" s="3" t="s">
        <v>58</v>
      </c>
      <c r="P566" s="3" t="s">
        <v>58</v>
      </c>
      <c r="Q566" s="3" t="str">
        <f t="shared" si="94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11"/>
        <v>1</v>
      </c>
      <c r="N567" s="3">
        <f t="shared" si="112"/>
        <v>1</v>
      </c>
      <c r="O567" s="3" t="s">
        <v>58</v>
      </c>
      <c r="P567" s="3" t="s">
        <v>58</v>
      </c>
      <c r="Q567" s="3" t="str">
        <f t="shared" si="94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11"/>
        <v>1</v>
      </c>
      <c r="N568" s="3">
        <f t="shared" si="112"/>
        <v>1</v>
      </c>
      <c r="O568" s="3" t="s">
        <v>58</v>
      </c>
      <c r="P568" s="3" t="s">
        <v>58</v>
      </c>
      <c r="Q568" s="3" t="str">
        <f t="shared" si="94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11"/>
        <v>1</v>
      </c>
      <c r="N569" s="3">
        <f t="shared" si="112"/>
        <v>1</v>
      </c>
      <c r="O569" s="3" t="s">
        <v>58</v>
      </c>
      <c r="P569" s="3" t="s">
        <v>58</v>
      </c>
      <c r="Q569" s="3" t="str">
        <f t="shared" si="94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11"/>
        <v>1</v>
      </c>
      <c r="N570" s="3">
        <f t="shared" si="112"/>
        <v>1</v>
      </c>
      <c r="O570" s="3">
        <v>0</v>
      </c>
      <c r="P570" s="3">
        <v>0</v>
      </c>
      <c r="Q570" s="3" t="str">
        <f t="shared" si="94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11"/>
        <v>1</v>
      </c>
      <c r="N571" s="3">
        <f t="shared" si="112"/>
        <v>1</v>
      </c>
      <c r="O571" s="3">
        <v>0</v>
      </c>
      <c r="P571" s="3">
        <v>0</v>
      </c>
      <c r="Q571" s="3" t="str">
        <f t="shared" si="94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11"/>
        <v>1</v>
      </c>
      <c r="N572" s="3">
        <f t="shared" si="112"/>
        <v>1</v>
      </c>
      <c r="O572" s="3" t="s">
        <v>58</v>
      </c>
      <c r="P572" s="3" t="s">
        <v>58</v>
      </c>
      <c r="Q572" s="3" t="str">
        <f t="shared" si="94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11"/>
        <v>1</v>
      </c>
      <c r="N573" s="3">
        <f t="shared" si="112"/>
        <v>1</v>
      </c>
      <c r="O573" s="3" t="s">
        <v>58</v>
      </c>
      <c r="P573" s="3" t="s">
        <v>58</v>
      </c>
      <c r="Q573" s="3" t="str">
        <f t="shared" si="94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11"/>
        <v>1</v>
      </c>
      <c r="N574" s="3">
        <f t="shared" si="112"/>
        <v>1</v>
      </c>
      <c r="O574" s="3" t="s">
        <v>58</v>
      </c>
      <c r="P574" s="3" t="s">
        <v>58</v>
      </c>
      <c r="Q574" s="3" t="str">
        <f t="shared" si="94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11"/>
        <v>1</v>
      </c>
      <c r="N575" s="3">
        <f t="shared" si="112"/>
        <v>1</v>
      </c>
      <c r="O575" s="3" t="s">
        <v>58</v>
      </c>
      <c r="P575" s="3" t="s">
        <v>58</v>
      </c>
      <c r="Q575" s="3" t="str">
        <f t="shared" si="94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11"/>
        <v>1</v>
      </c>
      <c r="N576" s="3">
        <f t="shared" si="112"/>
        <v>1</v>
      </c>
      <c r="O576" s="3" t="s">
        <v>58</v>
      </c>
      <c r="P576" s="3" t="s">
        <v>58</v>
      </c>
      <c r="Q576" s="3" t="str">
        <f t="shared" si="94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11"/>
        <v>1</v>
      </c>
      <c r="N577" s="3">
        <f t="shared" si="112"/>
        <v>1</v>
      </c>
      <c r="O577" s="3"/>
      <c r="P577" s="3"/>
      <c r="Q577" s="3" t="str">
        <f t="shared" si="94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11"/>
        <v>1</v>
      </c>
      <c r="N578" s="3">
        <f t="shared" si="112"/>
        <v>1</v>
      </c>
      <c r="O578" s="3" t="s">
        <v>58</v>
      </c>
      <c r="P578" s="3" t="s">
        <v>58</v>
      </c>
      <c r="Q578" s="3" t="str">
        <f t="shared" si="94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11"/>
        <v>1</v>
      </c>
      <c r="N579" s="3">
        <f t="shared" si="112"/>
        <v>1</v>
      </c>
      <c r="O579" s="3" t="s">
        <v>58</v>
      </c>
      <c r="P579" s="3" t="s">
        <v>58</v>
      </c>
      <c r="Q579" s="3" t="str">
        <f t="shared" ref="Q579:Q642" si="113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11"/>
        <v>1</v>
      </c>
      <c r="N580" s="3">
        <f t="shared" si="112"/>
        <v>1</v>
      </c>
      <c r="O580" s="3" t="s">
        <v>58</v>
      </c>
      <c r="P580" s="3" t="s">
        <v>58</v>
      </c>
      <c r="Q580" s="3" t="str">
        <f t="shared" si="113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11"/>
        <v>1</v>
      </c>
      <c r="N581" s="3">
        <f t="shared" si="112"/>
        <v>1</v>
      </c>
      <c r="O581" s="3">
        <v>0</v>
      </c>
      <c r="P581" s="3">
        <v>0</v>
      </c>
      <c r="Q581" s="3" t="str">
        <f t="shared" si="113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13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13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13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11"/>
        <v>1</v>
      </c>
      <c r="N585" s="3">
        <f t="shared" si="112"/>
        <v>1</v>
      </c>
      <c r="O585" s="3" t="s">
        <v>58</v>
      </c>
      <c r="P585" s="3" t="s">
        <v>58</v>
      </c>
      <c r="Q585" s="3" t="str">
        <f t="shared" si="113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11"/>
        <v>1</v>
      </c>
      <c r="N586" s="3">
        <f t="shared" si="112"/>
        <v>1</v>
      </c>
      <c r="O586" s="3">
        <v>0</v>
      </c>
      <c r="P586" s="3">
        <v>0</v>
      </c>
      <c r="Q586" s="3" t="str">
        <f t="shared" si="113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11"/>
        <v>1</v>
      </c>
      <c r="N587" s="3">
        <f t="shared" si="112"/>
        <v>1</v>
      </c>
      <c r="O587" s="3" t="s">
        <v>58</v>
      </c>
      <c r="P587" s="3" t="s">
        <v>58</v>
      </c>
      <c r="Q587" s="3" t="str">
        <f t="shared" si="113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11"/>
        <v>1</v>
      </c>
      <c r="N588" s="3">
        <f t="shared" si="112"/>
        <v>1</v>
      </c>
      <c r="O588" s="3" t="s">
        <v>58</v>
      </c>
      <c r="P588" s="3" t="s">
        <v>58</v>
      </c>
      <c r="Q588" s="3" t="str">
        <f t="shared" si="113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13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11"/>
        <v>1</v>
      </c>
      <c r="N590" s="3">
        <f t="shared" si="112"/>
        <v>1</v>
      </c>
      <c r="O590" s="3"/>
      <c r="P590" s="3"/>
      <c r="Q590" s="3" t="str">
        <f t="shared" si="113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11"/>
        <v>1</v>
      </c>
      <c r="N591" s="3">
        <f t="shared" si="112"/>
        <v>1</v>
      </c>
      <c r="O591" s="3"/>
      <c r="P591" s="3"/>
      <c r="Q591" s="3" t="str">
        <f t="shared" si="113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11"/>
        <v>1</v>
      </c>
      <c r="N592" s="3">
        <f t="shared" si="112"/>
        <v>1</v>
      </c>
      <c r="O592" s="3" t="s">
        <v>58</v>
      </c>
      <c r="P592" s="3" t="s">
        <v>58</v>
      </c>
      <c r="Q592" s="3" t="str">
        <f t="shared" si="113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11"/>
        <v>1</v>
      </c>
      <c r="N593" s="3">
        <f t="shared" si="112"/>
        <v>1</v>
      </c>
      <c r="O593" s="3" t="s">
        <v>58</v>
      </c>
      <c r="P593" s="3" t="s">
        <v>58</v>
      </c>
      <c r="Q593" s="3" t="str">
        <f t="shared" si="113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11"/>
        <v>1</v>
      </c>
      <c r="N594" s="3">
        <f t="shared" si="112"/>
        <v>1</v>
      </c>
      <c r="O594" s="3" t="s">
        <v>58</v>
      </c>
      <c r="P594" s="3" t="s">
        <v>58</v>
      </c>
      <c r="Q594" s="3" t="str">
        <f t="shared" si="113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11"/>
        <v>1</v>
      </c>
      <c r="N595" s="3">
        <f t="shared" si="112"/>
        <v>1</v>
      </c>
      <c r="O595" s="3" t="s">
        <v>58</v>
      </c>
      <c r="P595" s="3" t="s">
        <v>58</v>
      </c>
      <c r="Q595" s="3" t="str">
        <f t="shared" si="113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11"/>
        <v>1</v>
      </c>
      <c r="N596" s="3">
        <f t="shared" si="112"/>
        <v>1</v>
      </c>
      <c r="O596" s="3" t="s">
        <v>58</v>
      </c>
      <c r="P596" s="3" t="s">
        <v>58</v>
      </c>
      <c r="Q596" s="3" t="str">
        <f t="shared" si="113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11"/>
        <v>1</v>
      </c>
      <c r="N597" s="3">
        <f t="shared" si="112"/>
        <v>1</v>
      </c>
      <c r="O597" s="3" t="s">
        <v>58</v>
      </c>
      <c r="P597" s="3" t="s">
        <v>58</v>
      </c>
      <c r="Q597" s="3" t="str">
        <f t="shared" si="113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11"/>
        <v>1</v>
      </c>
      <c r="N598" s="3">
        <f t="shared" si="112"/>
        <v>1</v>
      </c>
      <c r="O598" s="3" t="s">
        <v>58</v>
      </c>
      <c r="P598" s="3" t="s">
        <v>58</v>
      </c>
      <c r="Q598" s="3" t="str">
        <f t="shared" si="113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11"/>
        <v>1</v>
      </c>
      <c r="N599" s="3">
        <f t="shared" si="112"/>
        <v>1</v>
      </c>
      <c r="O599" s="3"/>
      <c r="P599" s="3"/>
      <c r="Q599" s="3" t="str">
        <f t="shared" si="113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11"/>
        <v>0.99</v>
      </c>
      <c r="N600" s="3">
        <f t="shared" si="112"/>
        <v>0.99</v>
      </c>
      <c r="O600" s="3" t="s">
        <v>58</v>
      </c>
      <c r="P600" s="3" t="s">
        <v>58</v>
      </c>
      <c r="Q600" s="3" t="str">
        <f t="shared" si="113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11"/>
        <v>1</v>
      </c>
      <c r="N601" s="3">
        <f t="shared" si="112"/>
        <v>1</v>
      </c>
      <c r="O601" s="3">
        <v>0</v>
      </c>
      <c r="P601" s="3">
        <v>0</v>
      </c>
      <c r="Q601" s="3" t="str">
        <f t="shared" si="113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11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13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4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13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4"/>
        <v>0.93333333333333335</v>
      </c>
      <c r="N604" s="3">
        <f t="shared" ref="N604:N616" si="115">IF(L604/K604&gt;1,1,L604/K604)</f>
        <v>0.93333333333333335</v>
      </c>
      <c r="O604" s="3" t="s">
        <v>58</v>
      </c>
      <c r="P604" s="3" t="s">
        <v>58</v>
      </c>
      <c r="Q604" s="3" t="str">
        <f t="shared" si="113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4"/>
        <v>1</v>
      </c>
      <c r="N605" s="3">
        <f t="shared" si="115"/>
        <v>1</v>
      </c>
      <c r="O605" s="3">
        <v>0</v>
      </c>
      <c r="P605" s="3">
        <v>0</v>
      </c>
      <c r="Q605" s="3" t="str">
        <f t="shared" si="113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4"/>
        <v>1</v>
      </c>
      <c r="N606" s="3">
        <f t="shared" si="115"/>
        <v>1</v>
      </c>
      <c r="O606" s="3">
        <v>0</v>
      </c>
      <c r="P606" s="3">
        <v>0</v>
      </c>
      <c r="Q606" s="3" t="str">
        <f t="shared" si="113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4"/>
        <v>1</v>
      </c>
      <c r="N607" s="3">
        <f t="shared" si="115"/>
        <v>1</v>
      </c>
      <c r="O607" s="3" t="s">
        <v>58</v>
      </c>
      <c r="P607" s="3" t="s">
        <v>58</v>
      </c>
      <c r="Q607" s="3" t="str">
        <f t="shared" si="113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4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13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4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13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4"/>
        <v>1</v>
      </c>
      <c r="N610" s="3">
        <f t="shared" si="115"/>
        <v>1</v>
      </c>
      <c r="O610" s="3" t="s">
        <v>58</v>
      </c>
      <c r="P610" s="3" t="s">
        <v>58</v>
      </c>
      <c r="Q610" s="3" t="str">
        <f t="shared" si="113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4"/>
        <v>0.96666666666666667</v>
      </c>
      <c r="N611" s="3">
        <f t="shared" si="115"/>
        <v>0.96666666666666667</v>
      </c>
      <c r="O611" s="3" t="s">
        <v>58</v>
      </c>
      <c r="P611" s="3" t="s">
        <v>58</v>
      </c>
      <c r="Q611" s="3" t="str">
        <f t="shared" si="113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4"/>
        <v>0.99</v>
      </c>
      <c r="N612" s="3">
        <f t="shared" si="115"/>
        <v>0.99</v>
      </c>
      <c r="O612" s="3" t="s">
        <v>58</v>
      </c>
      <c r="P612" s="3" t="s">
        <v>58</v>
      </c>
      <c r="Q612" s="3" t="str">
        <f t="shared" si="113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4"/>
        <v>1</v>
      </c>
      <c r="N613" s="3">
        <f t="shared" si="115"/>
        <v>1</v>
      </c>
      <c r="O613" s="3" t="s">
        <v>58</v>
      </c>
      <c r="P613" s="3" t="s">
        <v>58</v>
      </c>
      <c r="Q613" s="3" t="str">
        <f t="shared" si="113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4"/>
        <v>0.94444444444444442</v>
      </c>
      <c r="N614" s="3">
        <f t="shared" si="115"/>
        <v>0.94444444444444442</v>
      </c>
      <c r="O614" s="3" t="s">
        <v>58</v>
      </c>
      <c r="P614" s="3" t="s">
        <v>58</v>
      </c>
      <c r="Q614" s="3" t="str">
        <f t="shared" si="113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4"/>
        <v>1</v>
      </c>
      <c r="N615" s="3">
        <f t="shared" si="115"/>
        <v>1</v>
      </c>
      <c r="O615" s="3" t="s">
        <v>58</v>
      </c>
      <c r="P615" s="3" t="s">
        <v>58</v>
      </c>
      <c r="Q615" s="3" t="str">
        <f t="shared" si="113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4"/>
        <v>1</v>
      </c>
      <c r="N616" s="3">
        <f t="shared" si="115"/>
        <v>1</v>
      </c>
      <c r="O616" s="3">
        <v>0</v>
      </c>
      <c r="P616" s="3">
        <v>0</v>
      </c>
      <c r="Q616" s="3" t="str">
        <f t="shared" si="113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ref="M617:M636" si="116">IF(L617/K617&gt;1,1,L617/K617)</f>
        <v>1</v>
      </c>
      <c r="N617" s="3">
        <f t="shared" ref="N617:N621" si="117">IF(L617/K617&gt;1,1,L617/K617)</f>
        <v>1</v>
      </c>
      <c r="O617" s="3">
        <v>0</v>
      </c>
      <c r="P617" s="3">
        <v>0</v>
      </c>
      <c r="Q617" s="3" t="str">
        <f t="shared" si="113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6"/>
        <v>1</v>
      </c>
      <c r="N618" s="3">
        <f t="shared" si="117"/>
        <v>1</v>
      </c>
      <c r="O618" s="3">
        <v>0</v>
      </c>
      <c r="P618" s="3">
        <v>0</v>
      </c>
      <c r="Q618" s="3" t="str">
        <f t="shared" si="113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6"/>
        <v>1</v>
      </c>
      <c r="N619" s="3">
        <f t="shared" si="117"/>
        <v>1</v>
      </c>
      <c r="O619" s="3"/>
      <c r="P619" s="3"/>
      <c r="Q619" s="3" t="str">
        <f t="shared" si="113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6"/>
        <v>1</v>
      </c>
      <c r="N620" s="3">
        <f t="shared" si="117"/>
        <v>1</v>
      </c>
      <c r="O620" s="3" t="s">
        <v>58</v>
      </c>
      <c r="P620" s="3" t="s">
        <v>58</v>
      </c>
      <c r="Q620" s="3" t="str">
        <f t="shared" si="113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6"/>
        <v>1</v>
      </c>
      <c r="N621" s="3">
        <f t="shared" si="117"/>
        <v>1</v>
      </c>
      <c r="O621" s="3" t="s">
        <v>58</v>
      </c>
      <c r="P621" s="3" t="s">
        <v>58</v>
      </c>
      <c r="Q621" s="3" t="str">
        <f t="shared" si="113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6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13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6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13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6"/>
        <v>1</v>
      </c>
      <c r="N624" s="3">
        <f t="shared" ref="N624" si="118">IF(L624/K624&gt;1,1,L624/K624)</f>
        <v>1</v>
      </c>
      <c r="O624" s="3" t="s">
        <v>58</v>
      </c>
      <c r="P624" s="3" t="s">
        <v>58</v>
      </c>
      <c r="Q624" s="3" t="str">
        <f t="shared" si="113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6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13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6"/>
        <v>1</v>
      </c>
      <c r="N626" s="3">
        <f t="shared" ref="N626:N631" si="119">IF(L626/K626&gt;1,1,L626/K626)</f>
        <v>1</v>
      </c>
      <c r="O626" s="3"/>
      <c r="P626" s="3"/>
      <c r="Q626" s="3" t="str">
        <f t="shared" si="113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6"/>
        <v>0.99</v>
      </c>
      <c r="N627" s="3">
        <f t="shared" si="119"/>
        <v>0.99</v>
      </c>
      <c r="O627" s="3" t="s">
        <v>58</v>
      </c>
      <c r="P627" s="3" t="s">
        <v>58</v>
      </c>
      <c r="Q627" s="3" t="str">
        <f t="shared" si="113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6"/>
        <v>0.93333333333333335</v>
      </c>
      <c r="N628" s="3">
        <f t="shared" si="119"/>
        <v>0.93333333333333335</v>
      </c>
      <c r="O628" s="3" t="s">
        <v>58</v>
      </c>
      <c r="P628" s="3" t="s">
        <v>58</v>
      </c>
      <c r="Q628" s="3" t="str">
        <f t="shared" si="113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6"/>
        <v>1</v>
      </c>
      <c r="N629" s="3">
        <f t="shared" si="119"/>
        <v>1</v>
      </c>
      <c r="O629" s="3" t="s">
        <v>58</v>
      </c>
      <c r="P629" s="3" t="s">
        <v>58</v>
      </c>
      <c r="Q629" s="3" t="str">
        <f t="shared" si="113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6"/>
        <v>1</v>
      </c>
      <c r="N630" s="3">
        <f t="shared" si="119"/>
        <v>1</v>
      </c>
      <c r="O630" s="3" t="s">
        <v>58</v>
      </c>
      <c r="P630" s="3" t="s">
        <v>58</v>
      </c>
      <c r="Q630" s="3" t="str">
        <f t="shared" si="113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6"/>
        <v>0.99</v>
      </c>
      <c r="N631" s="3">
        <f t="shared" si="119"/>
        <v>0.99</v>
      </c>
      <c r="O631" s="3" t="s">
        <v>58</v>
      </c>
      <c r="P631" s="3" t="s">
        <v>58</v>
      </c>
      <c r="Q631" s="3" t="str">
        <f t="shared" si="113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6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13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6"/>
        <v>0.94444444444444442</v>
      </c>
      <c r="N633" s="3">
        <f t="shared" ref="N633:N636" si="120">IF(L633/K633&gt;1,1,L633/K633)</f>
        <v>0.94444444444444442</v>
      </c>
      <c r="O633" s="3" t="s">
        <v>58</v>
      </c>
      <c r="P633" s="3" t="s">
        <v>58</v>
      </c>
      <c r="Q633" s="3" t="str">
        <f t="shared" si="113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6"/>
        <v>1</v>
      </c>
      <c r="N634" s="3">
        <f t="shared" si="120"/>
        <v>1</v>
      </c>
      <c r="O634" s="3" t="s">
        <v>58</v>
      </c>
      <c r="P634" s="3" t="s">
        <v>58</v>
      </c>
      <c r="Q634" s="3" t="str">
        <f t="shared" si="113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6"/>
        <v>0.96666666666666667</v>
      </c>
      <c r="N635" s="3">
        <f t="shared" si="120"/>
        <v>0.96666666666666667</v>
      </c>
      <c r="O635" s="3" t="s">
        <v>58</v>
      </c>
      <c r="P635" s="3" t="s">
        <v>58</v>
      </c>
      <c r="Q635" s="3" t="str">
        <f t="shared" si="113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6"/>
        <v>1</v>
      </c>
      <c r="N636" s="3">
        <f t="shared" si="120"/>
        <v>1</v>
      </c>
      <c r="O636" s="3" t="s">
        <v>58</v>
      </c>
      <c r="P636" s="3" t="s">
        <v>58</v>
      </c>
      <c r="Q636" s="3" t="str">
        <f t="shared" si="113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ref="M637" si="121">IF(L637/K637&gt;1,1,L637/K637)</f>
        <v>1</v>
      </c>
      <c r="N637" s="3">
        <f t="shared" ref="N637" si="122">IF(L637/K637&gt;1,1,L637/K637)</f>
        <v>1</v>
      </c>
      <c r="O637" s="3" t="s">
        <v>58</v>
      </c>
      <c r="P637" s="3" t="s">
        <v>58</v>
      </c>
      <c r="Q637" s="3" t="str">
        <f t="shared" si="113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13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13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13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13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13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23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23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23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23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23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23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23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23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0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0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0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0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0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sortState xmlns:xlrd2="http://schemas.microsoft.com/office/spreadsheetml/2017/richdata2" ref="A2:AC477">
    <sortCondition ref="A2:A477"/>
    <sortCondition ref="F2:F477"/>
  </sortState>
  <conditionalFormatting sqref="A559">
    <cfRule type="duplicateValues" dxfId="33" priority="14"/>
    <cfRule type="duplicateValues" dxfId="32" priority="15"/>
    <cfRule type="duplicateValues" dxfId="31" priority="16"/>
  </conditionalFormatting>
  <conditionalFormatting sqref="A560">
    <cfRule type="duplicateValues" dxfId="30" priority="17"/>
  </conditionalFormatting>
  <conditionalFormatting sqref="A583">
    <cfRule type="duplicateValues" dxfId="29" priority="8"/>
    <cfRule type="duplicateValues" dxfId="28" priority="9"/>
    <cfRule type="duplicateValues" dxfId="27" priority="10"/>
  </conditionalFormatting>
  <conditionalFormatting sqref="A584">
    <cfRule type="duplicateValues" dxfId="26" priority="11"/>
    <cfRule type="duplicateValues" dxfId="25" priority="12"/>
    <cfRule type="duplicateValues" dxfId="24" priority="13"/>
  </conditionalFormatting>
  <conditionalFormatting sqref="A638:A648">
    <cfRule type="duplicateValues" dxfId="23" priority="28"/>
  </conditionalFormatting>
  <conditionalFormatting sqref="A638:A650">
    <cfRule type="duplicateValues" dxfId="22" priority="30"/>
  </conditionalFormatting>
  <conditionalFormatting sqref="A649">
    <cfRule type="duplicateValues" dxfId="21" priority="4"/>
  </conditionalFormatting>
  <conditionalFormatting sqref="A650">
    <cfRule type="duplicateValues" dxfId="20" priority="2"/>
  </conditionalFormatting>
  <conditionalFormatting sqref="B638:B648">
    <cfRule type="duplicateValues" dxfId="19" priority="32"/>
  </conditionalFormatting>
  <conditionalFormatting sqref="B649">
    <cfRule type="duplicateValues" dxfId="18" priority="3"/>
  </conditionalFormatting>
  <conditionalFormatting sqref="B650">
    <cfRule type="duplicateValues" dxfId="17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4473-508B-4912-9C6F-0C18486752FA}">
  <dimension ref="A1:AD658"/>
  <sheetViews>
    <sheetView workbookViewId="0">
      <pane ySplit="1" topLeftCell="A2" activePane="bottomLeft" state="frozen"/>
      <selection pane="bottomLeft" activeCell="B1" sqref="B1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 t="s">
        <v>587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 t="s">
        <v>587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 t="s">
        <v>587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 t="s">
        <v>587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 t="s">
        <v>587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 t="s">
        <v>587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 t="s">
        <v>587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 t="s">
        <v>587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 t="s">
        <v>587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 t="s">
        <v>587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 t="s">
        <v>587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 t="s">
        <v>587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 t="s">
        <v>587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14.1-2022-06-30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 t="s">
        <v>587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14.1-2022-12-31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 t="s">
        <v>587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14.1-2022-12-31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 t="s">
        <v>587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14.1-2023-06-30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 t="s">
        <v>587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14.1-2023-12-31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 t="s">
        <v>587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14.1-2023-12-31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 t="s">
        <v>587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14.1-2024-06-30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 t="s">
        <v>587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14.1-2024-12-31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 t="s">
        <v>587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14.1-2024-12-31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 t="s">
        <v>587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14.1-2025-06-30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 t="s">
        <v>587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14.1-2025-12-31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 t="s">
        <v>587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14.1-2025-12-31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 t="s">
        <v>588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 t="s">
        <v>588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 t="s">
        <v>588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 t="s">
        <v>588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 t="s">
        <v>588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 t="s">
        <v>588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 t="s">
        <v>588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 t="s">
        <v>588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 t="s">
        <v>588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 t="s">
        <v>588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 t="s">
        <v>588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 t="s">
        <v>588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 t="s">
        <v>588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14.2-2022-06-30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 t="s">
        <v>588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14.2-2022-12-31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 t="s">
        <v>588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14.2-2022-12-31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 t="s">
        <v>588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14.2-2023-06-30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 t="s">
        <v>588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14.2-2023-12-31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 t="s">
        <v>588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14.2-2023-12-31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 t="s">
        <v>588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14.2-2024-06-30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 t="s">
        <v>588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14.2-2024-12-31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 t="s">
        <v>588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14.2-2024-12-31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 t="s">
        <v>588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14.2-2025-06-30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 t="s">
        <v>588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14.2-2025-12-31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 t="s">
        <v>588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14.2-2025-12-31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 t="s">
        <v>589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 t="s">
        <v>589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 t="s">
        <v>589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 t="s">
        <v>589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 t="s">
        <v>589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 t="s">
        <v>589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 t="s">
        <v>589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 t="s">
        <v>589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 t="s">
        <v>589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 t="s">
        <v>589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 t="s">
        <v>589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 t="s">
        <v>589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 t="s">
        <v>589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14.3-2022-06-30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 t="s">
        <v>589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14.3-2022-12-31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 t="s">
        <v>589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14.3-2022-12-31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 t="s">
        <v>589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14.3-2023-06-30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 t="s">
        <v>589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14.3-2023-12-31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 t="s">
        <v>589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14.3-2023-12-31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 t="s">
        <v>589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14.3-2024-06-30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 t="s">
        <v>589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14.3-2024-12-31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 t="s">
        <v>589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14.3-2024-12-31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 t="s">
        <v>589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14.3-2025-06-30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 t="s">
        <v>589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14.3-2025-12-31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 t="s">
        <v>589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14.3-2025-12-31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 t="s">
        <v>590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 t="s">
        <v>590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 t="s">
        <v>590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 t="s">
        <v>590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 t="s">
        <v>590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 t="s">
        <v>590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 t="s">
        <v>590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 t="s">
        <v>590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 t="s">
        <v>590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 t="s">
        <v>590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 t="s">
        <v>590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 t="s">
        <v>590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 t="s">
        <v>590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14.4-2022-06-30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 t="s">
        <v>590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14.4-2022-12-30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 t="s">
        <v>590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14.4-2022-12-30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 t="s">
        <v>590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14.4-2023-06-30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 t="s">
        <v>590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14.4-2023-12-31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 t="s">
        <v>590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14.4-2023-12-31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 t="s">
        <v>590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14.4-2024-06-30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 t="s">
        <v>590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14.4-2024-12-31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 t="s">
        <v>590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14.4-2024-12-31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 t="s">
        <v>590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14.4-2025-06-30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 t="s">
        <v>590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14.4-2025-12-31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 t="s">
        <v>590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14.4-2025-12-31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7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si="51"/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1"/>
        <v>1.25</v>
      </c>
      <c r="N373" s="3">
        <f t="shared" ref="N373:N377" si="53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1"/>
        <v>1.25</v>
      </c>
      <c r="N374" s="3">
        <f t="shared" si="53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1"/>
        <v>0.99199999999999999</v>
      </c>
      <c r="N375" s="3">
        <f t="shared" si="53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1"/>
        <v>0.99199999999999999</v>
      </c>
      <c r="N376" s="3">
        <f t="shared" si="53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1"/>
        <v>0.76400000000000001</v>
      </c>
      <c r="N377" s="3">
        <f t="shared" si="53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93" si="54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5">+L382/K382</f>
        <v>0.71296296296296291</v>
      </c>
      <c r="N382" s="3">
        <f t="shared" si="54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5"/>
        <v>0.73404255319148937</v>
      </c>
      <c r="N383" s="3">
        <f t="shared" si="54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5"/>
        <v>0.88888888888888884</v>
      </c>
      <c r="N384" s="3">
        <f t="shared" si="54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5"/>
        <v>1.0825688073394495</v>
      </c>
      <c r="N385" s="3">
        <f t="shared" si="54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4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6">+L387/K387</f>
        <v>1.5027390438247012</v>
      </c>
      <c r="N387" s="3">
        <f t="shared" si="54"/>
        <v>1.5027390438247012</v>
      </c>
      <c r="O387" s="3" t="s">
        <v>143</v>
      </c>
      <c r="P387" s="3" t="s">
        <v>143</v>
      </c>
      <c r="Q387" s="3" t="str">
        <f t="shared" ref="Q387:Q450" si="57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6"/>
        <v>1.0126417845079374</v>
      </c>
      <c r="N388" s="3">
        <f t="shared" si="54"/>
        <v>1.0126417845079374</v>
      </c>
      <c r="O388" s="3" t="s">
        <v>143</v>
      </c>
      <c r="P388" s="3" t="s">
        <v>143</v>
      </c>
      <c r="Q388" s="3" t="str">
        <f t="shared" si="57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6"/>
        <v>1.0126417845079394</v>
      </c>
      <c r="N389" s="3">
        <f t="shared" si="54"/>
        <v>1.0126417845079394</v>
      </c>
      <c r="O389" s="3" t="s">
        <v>143</v>
      </c>
      <c r="P389" s="3" t="s">
        <v>143</v>
      </c>
      <c r="Q389" s="3" t="str">
        <f t="shared" si="57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6"/>
        <v>1.0909960747143497</v>
      </c>
      <c r="N390" s="3">
        <f t="shared" si="54"/>
        <v>1.0909960747143497</v>
      </c>
      <c r="O390" s="3" t="s">
        <v>143</v>
      </c>
      <c r="P390" s="3" t="s">
        <v>143</v>
      </c>
      <c r="Q390" s="3" t="str">
        <f t="shared" si="57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6"/>
        <v>1.0909960747143497</v>
      </c>
      <c r="N391" s="3">
        <f t="shared" si="54"/>
        <v>1.0909960747143497</v>
      </c>
      <c r="O391" s="3" t="s">
        <v>143</v>
      </c>
      <c r="P391" s="3" t="s">
        <v>143</v>
      </c>
      <c r="Q391" s="3" t="str">
        <f t="shared" si="57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6"/>
        <v>1.0000124185469585</v>
      </c>
      <c r="N392" s="3">
        <f t="shared" si="54"/>
        <v>1.0000124185469585</v>
      </c>
      <c r="O392" s="3" t="s">
        <v>143</v>
      </c>
      <c r="P392" s="3" t="s">
        <v>143</v>
      </c>
      <c r="Q392" s="3" t="str">
        <f t="shared" si="57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6"/>
        <v>1.0000124185469585</v>
      </c>
      <c r="N393" s="3">
        <f t="shared" si="54"/>
        <v>1.0000124185469585</v>
      </c>
      <c r="O393" s="3" t="s">
        <v>143</v>
      </c>
      <c r="P393" s="3" t="s">
        <v>143</v>
      </c>
      <c r="Q393" s="3" t="str">
        <f t="shared" si="57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7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7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7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7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7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58">YEAR(F399)</f>
        <v>2018</v>
      </c>
      <c r="H399" s="3" t="str">
        <f t="shared" ref="H399:H410" si="59">PROPER(TEXT(F399,"mmmm"))</f>
        <v>Junio</v>
      </c>
      <c r="I399" s="3" t="str">
        <f t="shared" ref="I399:I410" si="60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7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58"/>
        <v>2018</v>
      </c>
      <c r="H400" s="3" t="str">
        <f t="shared" si="59"/>
        <v>Diciembre</v>
      </c>
      <c r="I400" s="3" t="str">
        <f t="shared" si="60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7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58"/>
        <v>2018</v>
      </c>
      <c r="H401" s="3" t="str">
        <f t="shared" si="59"/>
        <v>Diciembre</v>
      </c>
      <c r="I401" s="3" t="str">
        <f t="shared" si="60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7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58"/>
        <v>2019</v>
      </c>
      <c r="H402" s="3" t="str">
        <f t="shared" si="59"/>
        <v>Junio</v>
      </c>
      <c r="I402" s="3" t="str">
        <f t="shared" si="60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7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58"/>
        <v>2019</v>
      </c>
      <c r="H403" s="3" t="str">
        <f t="shared" si="59"/>
        <v>Diciembre</v>
      </c>
      <c r="I403" s="3" t="str">
        <f t="shared" si="60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7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58"/>
        <v>2019</v>
      </c>
      <c r="H404" s="3" t="str">
        <f t="shared" si="59"/>
        <v>Diciembre</v>
      </c>
      <c r="I404" s="3" t="str">
        <f t="shared" si="60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7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58"/>
        <v>2020</v>
      </c>
      <c r="H405" s="3" t="str">
        <f t="shared" si="59"/>
        <v>Junio</v>
      </c>
      <c r="I405" s="3" t="str">
        <f t="shared" si="60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7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58"/>
        <v>2020</v>
      </c>
      <c r="H406" s="3" t="str">
        <f t="shared" si="59"/>
        <v>Diciembre</v>
      </c>
      <c r="I406" s="3" t="str">
        <f t="shared" si="60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7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58"/>
        <v>2020</v>
      </c>
      <c r="H407" s="3" t="str">
        <f t="shared" si="59"/>
        <v>Diciembre</v>
      </c>
      <c r="I407" s="3" t="str">
        <f t="shared" si="60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7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58"/>
        <v>2021</v>
      </c>
      <c r="H408" s="3" t="str">
        <f t="shared" si="59"/>
        <v>Junio</v>
      </c>
      <c r="I408" s="3" t="str">
        <f t="shared" si="60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7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58"/>
        <v>2021</v>
      </c>
      <c r="H409" s="3" t="str">
        <f t="shared" si="59"/>
        <v>Diciembre</v>
      </c>
      <c r="I409" s="3" t="str">
        <f t="shared" si="60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7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58"/>
        <v>2021</v>
      </c>
      <c r="H410" s="3" t="str">
        <f t="shared" si="59"/>
        <v>Diciembre</v>
      </c>
      <c r="I410" s="3" t="str">
        <f t="shared" si="60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7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7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1">+L412/K412</f>
        <v>1.0419930374238469</v>
      </c>
      <c r="N412" s="3">
        <f t="shared" ref="N412:N421" si="62">+L412/K412</f>
        <v>1.0419930374238469</v>
      </c>
      <c r="O412" s="3" t="s">
        <v>35</v>
      </c>
      <c r="P412" s="3" t="s">
        <v>35</v>
      </c>
      <c r="Q412" s="3" t="str">
        <f t="shared" si="57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1"/>
        <v>1.0295000000000001</v>
      </c>
      <c r="N413" s="3">
        <f t="shared" si="62"/>
        <v>1.0295000000000001</v>
      </c>
      <c r="O413" s="3" t="s">
        <v>35</v>
      </c>
      <c r="P413" s="3" t="s">
        <v>35</v>
      </c>
      <c r="Q413" s="3" t="str">
        <f t="shared" si="57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1"/>
        <v>1.0207749381698268</v>
      </c>
      <c r="N414" s="3">
        <f t="shared" si="62"/>
        <v>1.0207749381698268</v>
      </c>
      <c r="O414" s="3" t="s">
        <v>35</v>
      </c>
      <c r="P414" s="3" t="s">
        <v>35</v>
      </c>
      <c r="Q414" s="3" t="str">
        <f t="shared" si="57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1"/>
        <v>1.0738153098420413</v>
      </c>
      <c r="N415" s="3">
        <f t="shared" si="62"/>
        <v>1.0738153098420413</v>
      </c>
      <c r="O415" s="3" t="s">
        <v>35</v>
      </c>
      <c r="P415" s="3" t="s">
        <v>35</v>
      </c>
      <c r="Q415" s="3" t="str">
        <f t="shared" si="57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1"/>
        <v>1.0445787512496592</v>
      </c>
      <c r="N416" s="3">
        <f t="shared" si="62"/>
        <v>1.0445787512496592</v>
      </c>
      <c r="O416" s="3" t="s">
        <v>35</v>
      </c>
      <c r="P416" s="3" t="s">
        <v>35</v>
      </c>
      <c r="Q416" s="3" t="str">
        <f t="shared" si="57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1"/>
        <v>0.95562913907284763</v>
      </c>
      <c r="N417" s="3">
        <f t="shared" si="62"/>
        <v>0.95562913907284763</v>
      </c>
      <c r="O417" s="3" t="s">
        <v>35</v>
      </c>
      <c r="P417" s="3" t="s">
        <v>35</v>
      </c>
      <c r="Q417" s="3" t="str">
        <f t="shared" si="57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1"/>
        <v>0.99007025761124123</v>
      </c>
      <c r="N418" s="3">
        <f t="shared" si="62"/>
        <v>0.99007025761124123</v>
      </c>
      <c r="O418" s="3" t="s">
        <v>35</v>
      </c>
      <c r="P418" s="3" t="s">
        <v>35</v>
      </c>
      <c r="Q418" s="3" t="str">
        <f t="shared" si="57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1"/>
        <v>0.97078096023078508</v>
      </c>
      <c r="N419" s="3">
        <f t="shared" si="62"/>
        <v>0.97078096023078508</v>
      </c>
      <c r="O419" s="3" t="s">
        <v>35</v>
      </c>
      <c r="P419" s="3" t="s">
        <v>35</v>
      </c>
      <c r="Q419" s="3" t="str">
        <f t="shared" si="57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1"/>
        <v>1.0390917775001838</v>
      </c>
      <c r="N420" s="3">
        <f t="shared" si="62"/>
        <v>1.0390917775001838</v>
      </c>
      <c r="O420" s="3" t="s">
        <v>35</v>
      </c>
      <c r="P420" s="3" t="s">
        <v>35</v>
      </c>
      <c r="Q420" s="3" t="str">
        <f t="shared" si="57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1"/>
        <v>1.0241401216081314</v>
      </c>
      <c r="N421" s="3">
        <f t="shared" si="62"/>
        <v>1.0241401216081314</v>
      </c>
      <c r="O421" s="3" t="s">
        <v>35</v>
      </c>
      <c r="P421" s="3" t="s">
        <v>35</v>
      </c>
      <c r="Q421" s="3" t="str">
        <f t="shared" si="57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7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3">L423/K423</f>
        <v>0.75108988032332902</v>
      </c>
      <c r="N423" s="3">
        <f t="shared" ref="N423:N428" si="64">L423/K423</f>
        <v>0.75108988032332902</v>
      </c>
      <c r="O423" s="3" t="s">
        <v>143</v>
      </c>
      <c r="P423" s="3" t="s">
        <v>143</v>
      </c>
      <c r="Q423" s="3" t="str">
        <f t="shared" si="57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3"/>
        <v>1.2553149921891629</v>
      </c>
      <c r="N424" s="3">
        <f t="shared" si="64"/>
        <v>1.2553149921891629</v>
      </c>
      <c r="O424" s="3" t="s">
        <v>143</v>
      </c>
      <c r="P424" s="3" t="s">
        <v>143</v>
      </c>
      <c r="Q424" s="3" t="str">
        <f t="shared" si="57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3"/>
        <v>1.2553149921891629</v>
      </c>
      <c r="N425" s="3">
        <f t="shared" si="64"/>
        <v>1.2553149921891629</v>
      </c>
      <c r="O425" s="3" t="s">
        <v>143</v>
      </c>
      <c r="P425" s="3" t="s">
        <v>143</v>
      </c>
      <c r="Q425" s="3" t="str">
        <f t="shared" si="57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3"/>
        <v>0.85398321724869886</v>
      </c>
      <c r="N426" s="3">
        <f t="shared" si="64"/>
        <v>0.85398321724869886</v>
      </c>
      <c r="O426" s="3" t="s">
        <v>143</v>
      </c>
      <c r="P426" s="3" t="s">
        <v>143</v>
      </c>
      <c r="Q426" s="3" t="str">
        <f t="shared" si="57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3"/>
        <v>0.85398321724869886</v>
      </c>
      <c r="N427" s="3">
        <f t="shared" si="64"/>
        <v>0.85398321724869886</v>
      </c>
      <c r="O427" s="3" t="s">
        <v>143</v>
      </c>
      <c r="P427" s="3" t="s">
        <v>143</v>
      </c>
      <c r="Q427" s="3" t="str">
        <f t="shared" si="57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3"/>
        <v>1.0174699697553735</v>
      </c>
      <c r="N428" s="3">
        <f t="shared" si="64"/>
        <v>1.0174699697553735</v>
      </c>
      <c r="O428" s="3" t="s">
        <v>143</v>
      </c>
      <c r="P428" s="3" t="s">
        <v>143</v>
      </c>
      <c r="Q428" s="3" t="str">
        <f t="shared" si="57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 t="s">
        <v>591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5">+L429/K429</f>
        <v>1</v>
      </c>
      <c r="O429" s="3" t="s">
        <v>143</v>
      </c>
      <c r="P429" s="3" t="s">
        <v>143</v>
      </c>
      <c r="Q429" s="3" t="str">
        <f t="shared" si="57"/>
        <v>386.1-2022-12-31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 t="s">
        <v>591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5"/>
        <v>1</v>
      </c>
      <c r="O430" s="3" t="s">
        <v>143</v>
      </c>
      <c r="P430" s="3" t="s">
        <v>143</v>
      </c>
      <c r="Q430" s="3" t="str">
        <f t="shared" si="57"/>
        <v>386.1-2022-12-31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 t="s">
        <v>591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5"/>
        <v>2.7839074929774967</v>
      </c>
      <c r="O431" s="3" t="s">
        <v>143</v>
      </c>
      <c r="P431" s="3" t="s">
        <v>143</v>
      </c>
      <c r="Q431" s="3" t="str">
        <f t="shared" si="57"/>
        <v>386.1-2023-12-31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 t="s">
        <v>591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6">IF(+L432/K432&gt;1.3,1.3,L432/K432)</f>
        <v>1.3</v>
      </c>
      <c r="N432" s="3">
        <f t="shared" si="65"/>
        <v>2.7839074929774967</v>
      </c>
      <c r="O432" s="3" t="s">
        <v>143</v>
      </c>
      <c r="P432" s="3" t="s">
        <v>143</v>
      </c>
      <c r="Q432" s="3" t="str">
        <f t="shared" si="57"/>
        <v>386.1-2023-12-31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 t="s">
        <v>591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6"/>
        <v>1.3</v>
      </c>
      <c r="N433" s="3">
        <f t="shared" si="65"/>
        <v>1.3708904125402521</v>
      </c>
      <c r="O433" s="3" t="s">
        <v>143</v>
      </c>
      <c r="P433" s="3" t="s">
        <v>143</v>
      </c>
      <c r="Q433" s="3" t="str">
        <f t="shared" si="57"/>
        <v>386.1-2024-12-31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 t="s">
        <v>591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6"/>
        <v>1.3</v>
      </c>
      <c r="N434" s="3">
        <f t="shared" si="65"/>
        <v>1.3708904125402521</v>
      </c>
      <c r="O434" s="3" t="s">
        <v>143</v>
      </c>
      <c r="P434" s="3" t="s">
        <v>143</v>
      </c>
      <c r="Q434" s="3" t="str">
        <f t="shared" si="57"/>
        <v>386.1-2024-12-31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 t="s">
        <v>591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6"/>
        <v>0.75875626783059102</v>
      </c>
      <c r="N435" s="3">
        <f t="shared" si="65"/>
        <v>0.75875626783059102</v>
      </c>
      <c r="O435" s="3" t="s">
        <v>143</v>
      </c>
      <c r="P435" s="3" t="s">
        <v>143</v>
      </c>
      <c r="Q435" s="3" t="str">
        <f t="shared" si="57"/>
        <v>386.1-2025-12-31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 t="s">
        <v>592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7"/>
        <v>386.2-2022-12-31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 t="s">
        <v>592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7">L437/K437</f>
        <v>1</v>
      </c>
      <c r="O437" s="3" t="s">
        <v>143</v>
      </c>
      <c r="P437" s="3" t="s">
        <v>143</v>
      </c>
      <c r="Q437" s="3" t="str">
        <f t="shared" si="57"/>
        <v>386.2-2022-12-31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 t="s">
        <v>592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68">L438/K438</f>
        <v>1.393450174618678</v>
      </c>
      <c r="N438" s="3">
        <f t="shared" si="67"/>
        <v>1.393450174618678</v>
      </c>
      <c r="O438" s="3" t="s">
        <v>143</v>
      </c>
      <c r="P438" s="3" t="s">
        <v>143</v>
      </c>
      <c r="Q438" s="3" t="str">
        <f t="shared" si="57"/>
        <v>386.2-2023-12-31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 t="s">
        <v>592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68"/>
        <v>1.393450174618678</v>
      </c>
      <c r="N439" s="3">
        <f t="shared" si="67"/>
        <v>1.393450174618678</v>
      </c>
      <c r="O439" s="3" t="s">
        <v>143</v>
      </c>
      <c r="P439" s="3" t="s">
        <v>143</v>
      </c>
      <c r="Q439" s="3" t="str">
        <f t="shared" si="57"/>
        <v>386.2-2023-12-31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 t="s">
        <v>592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68"/>
        <v>0.54086603411912804</v>
      </c>
      <c r="N440" s="3">
        <f t="shared" si="67"/>
        <v>0.54086603411912804</v>
      </c>
      <c r="O440" s="3" t="s">
        <v>143</v>
      </c>
      <c r="P440" s="3" t="s">
        <v>143</v>
      </c>
      <c r="Q440" s="3" t="str">
        <f t="shared" si="57"/>
        <v>386.2-2024-12-31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 t="s">
        <v>592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68"/>
        <v>0.54086603411912804</v>
      </c>
      <c r="N441" s="3">
        <f t="shared" si="67"/>
        <v>0.54086603411912804</v>
      </c>
      <c r="O441" s="3" t="s">
        <v>143</v>
      </c>
      <c r="P441" s="3" t="s">
        <v>143</v>
      </c>
      <c r="Q441" s="3" t="str">
        <f t="shared" si="57"/>
        <v>386.2-2024-12-31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 t="s">
        <v>592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68"/>
        <v>1.0487700727767424</v>
      </c>
      <c r="N442" s="3">
        <f t="shared" si="67"/>
        <v>1.0487700727767424</v>
      </c>
      <c r="O442" s="3" t="s">
        <v>143</v>
      </c>
      <c r="P442" s="3" t="s">
        <v>143</v>
      </c>
      <c r="Q442" s="3" t="str">
        <f t="shared" si="57"/>
        <v>386.2-2025-12-31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 t="s">
        <v>592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68"/>
        <v>1.0487700727767424</v>
      </c>
      <c r="N443" s="3">
        <f t="shared" si="67"/>
        <v>1.0487700727767424</v>
      </c>
      <c r="O443" s="3" t="s">
        <v>143</v>
      </c>
      <c r="P443" s="3" t="s">
        <v>143</v>
      </c>
      <c r="Q443" s="3" t="str">
        <f t="shared" si="57"/>
        <v>386.2-2025-12-31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 t="s">
        <v>593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7"/>
        <v>386.3-2022-12-31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 t="s">
        <v>593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69">IF(L445/K445&gt;1.3,1.3,L445/K445)</f>
        <v>1</v>
      </c>
      <c r="N445" s="3">
        <f t="shared" ref="N445:N451" si="70">L445/K445</f>
        <v>1</v>
      </c>
      <c r="O445" s="3" t="s">
        <v>143</v>
      </c>
      <c r="P445" s="3" t="s">
        <v>143</v>
      </c>
      <c r="Q445" s="3" t="str">
        <f t="shared" si="57"/>
        <v>386.3-2022-12-31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 t="s">
        <v>593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69"/>
        <v>0.71558444628256934</v>
      </c>
      <c r="N446" s="3">
        <f t="shared" si="70"/>
        <v>0.71558444628256934</v>
      </c>
      <c r="O446" s="3" t="s">
        <v>143</v>
      </c>
      <c r="P446" s="3" t="s">
        <v>143</v>
      </c>
      <c r="Q446" s="3" t="str">
        <f t="shared" si="57"/>
        <v>386.3-2023-12-31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 t="s">
        <v>593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69"/>
        <v>0.71558444628256934</v>
      </c>
      <c r="N447" s="3">
        <f t="shared" si="70"/>
        <v>0.71558444628256934</v>
      </c>
      <c r="O447" s="3" t="s">
        <v>143</v>
      </c>
      <c r="P447" s="3" t="s">
        <v>143</v>
      </c>
      <c r="Q447" s="3" t="str">
        <f t="shared" si="57"/>
        <v>386.3-2023-12-31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 t="s">
        <v>593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69"/>
        <v>1.0013905729387031</v>
      </c>
      <c r="N448" s="3">
        <f t="shared" si="70"/>
        <v>1.0013905729387031</v>
      </c>
      <c r="O448" s="3" t="s">
        <v>143</v>
      </c>
      <c r="P448" s="3" t="s">
        <v>143</v>
      </c>
      <c r="Q448" s="3" t="str">
        <f t="shared" si="57"/>
        <v>386.3-2024-12-31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 t="s">
        <v>593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69"/>
        <v>1.0013905729387031</v>
      </c>
      <c r="N449" s="3">
        <f t="shared" si="70"/>
        <v>1.0013905729387031</v>
      </c>
      <c r="O449" s="3" t="s">
        <v>143</v>
      </c>
      <c r="P449" s="3" t="s">
        <v>143</v>
      </c>
      <c r="Q449" s="3" t="str">
        <f t="shared" si="57"/>
        <v>386.3-2024-12-31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 t="s">
        <v>593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69"/>
        <v>1.1634261619768094</v>
      </c>
      <c r="N450" s="3">
        <f t="shared" si="70"/>
        <v>1.1634261619768094</v>
      </c>
      <c r="O450" s="3" t="s">
        <v>143</v>
      </c>
      <c r="P450" s="3" t="s">
        <v>143</v>
      </c>
      <c r="Q450" s="3" t="str">
        <f t="shared" si="57"/>
        <v>386.3-2025-12-31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 t="s">
        <v>593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69"/>
        <v>1.1634261619768094</v>
      </c>
      <c r="N451" s="3">
        <f t="shared" si="70"/>
        <v>1.1634261619768094</v>
      </c>
      <c r="O451" s="3" t="s">
        <v>143</v>
      </c>
      <c r="P451" s="3" t="s">
        <v>143</v>
      </c>
      <c r="Q451" s="3" t="str">
        <f t="shared" ref="Q451:Q514" si="71">A451&amp;"-"&amp;YEAR(F451)&amp;"-"&amp;IF(LEN(MONTH(F451))=1,"0"&amp;MONTH(F451),MONTH(F451))&amp;"-"&amp;IF(LEN(DAY(F451))=1,"0"&amp;DAY(F451),DAY(F451))</f>
        <v>386.3-2025-12-31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1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2">+L453/K453</f>
        <v>0.88636363636363624</v>
      </c>
      <c r="N453" s="3">
        <f t="shared" ref="N453:N458" si="73">+L453/K453</f>
        <v>0.88636363636363624</v>
      </c>
      <c r="O453" s="3" t="s">
        <v>245</v>
      </c>
      <c r="P453" s="3" t="s">
        <v>245</v>
      </c>
      <c r="Q453" s="3" t="str">
        <f t="shared" si="71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2"/>
        <v>0.94047619047619047</v>
      </c>
      <c r="N454" s="3">
        <f t="shared" si="73"/>
        <v>0.94047619047619047</v>
      </c>
      <c r="O454" s="3" t="s">
        <v>245</v>
      </c>
      <c r="P454" s="3" t="s">
        <v>245</v>
      </c>
      <c r="Q454" s="3" t="str">
        <f t="shared" si="71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2"/>
        <v>0.94047619047619047</v>
      </c>
      <c r="N455" s="3">
        <f t="shared" si="73"/>
        <v>0.94047619047619047</v>
      </c>
      <c r="O455" s="3" t="s">
        <v>245</v>
      </c>
      <c r="P455" s="3" t="s">
        <v>245</v>
      </c>
      <c r="Q455" s="3" t="str">
        <f t="shared" si="71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2"/>
        <v>1.4939759036144578</v>
      </c>
      <c r="N456" s="3">
        <f t="shared" si="73"/>
        <v>1.4939759036144578</v>
      </c>
      <c r="O456" s="3" t="s">
        <v>245</v>
      </c>
      <c r="P456" s="3" t="s">
        <v>245</v>
      </c>
      <c r="Q456" s="3" t="str">
        <f t="shared" si="71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2"/>
        <v>1.4939759036144578</v>
      </c>
      <c r="N457" s="3">
        <f t="shared" si="73"/>
        <v>1.4939759036144578</v>
      </c>
      <c r="O457" s="3" t="s">
        <v>245</v>
      </c>
      <c r="P457" s="3" t="s">
        <v>245</v>
      </c>
      <c r="Q457" s="3" t="str">
        <f t="shared" si="71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2"/>
        <v>1.2583333333333333</v>
      </c>
      <c r="N458" s="3">
        <f t="shared" si="73"/>
        <v>1.2583333333333333</v>
      </c>
      <c r="O458" s="3" t="s">
        <v>245</v>
      </c>
      <c r="P458" s="3" t="s">
        <v>245</v>
      </c>
      <c r="Q458" s="3" t="str">
        <f t="shared" si="71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1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4">+L460/K460</f>
        <v>0.76923076923076927</v>
      </c>
      <c r="N460" s="3">
        <f t="shared" ref="N460:N465" si="75">+L460/K460</f>
        <v>0.76923076923076927</v>
      </c>
      <c r="O460" s="3" t="s">
        <v>245</v>
      </c>
      <c r="P460" s="3" t="s">
        <v>35</v>
      </c>
      <c r="Q460" s="3" t="str">
        <f t="shared" si="71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4"/>
        <v>1</v>
      </c>
      <c r="N461" s="3">
        <f t="shared" si="75"/>
        <v>1</v>
      </c>
      <c r="O461" s="3" t="s">
        <v>35</v>
      </c>
      <c r="P461" s="3" t="s">
        <v>35</v>
      </c>
      <c r="Q461" s="3" t="str">
        <f t="shared" si="71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4"/>
        <v>1</v>
      </c>
      <c r="N462" s="3">
        <f t="shared" si="75"/>
        <v>1</v>
      </c>
      <c r="O462" s="3" t="s">
        <v>35</v>
      </c>
      <c r="P462" s="3" t="s">
        <v>35</v>
      </c>
      <c r="Q462" s="3" t="str">
        <f t="shared" si="71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4"/>
        <v>1.2857142857142858</v>
      </c>
      <c r="N463" s="3">
        <f t="shared" si="75"/>
        <v>1.2857142857142858</v>
      </c>
      <c r="O463" s="3" t="s">
        <v>35</v>
      </c>
      <c r="P463" s="3" t="s">
        <v>35</v>
      </c>
      <c r="Q463" s="3" t="str">
        <f t="shared" si="71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4"/>
        <v>1.2857142857142858</v>
      </c>
      <c r="N464" s="3">
        <f t="shared" si="75"/>
        <v>1.2857142857142858</v>
      </c>
      <c r="O464" s="3" t="s">
        <v>35</v>
      </c>
      <c r="P464" s="3" t="s">
        <v>35</v>
      </c>
      <c r="Q464" s="3" t="str">
        <f t="shared" si="71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4"/>
        <v>1.2222222222222223</v>
      </c>
      <c r="N465" s="3">
        <f t="shared" si="75"/>
        <v>1.2222222222222223</v>
      </c>
      <c r="O465" s="3" t="s">
        <v>35</v>
      </c>
      <c r="P465" s="3" t="s">
        <v>35</v>
      </c>
      <c r="Q465" s="3" t="str">
        <f t="shared" si="71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1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1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1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1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1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1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9" si="76">+L472/K472</f>
        <v>1.7424000000000002</v>
      </c>
      <c r="O472" s="3" t="s">
        <v>35</v>
      </c>
      <c r="P472" s="3" t="s">
        <v>245</v>
      </c>
      <c r="Q472" s="3" t="str">
        <f t="shared" si="71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6"/>
        <v>1.27</v>
      </c>
      <c r="O473" s="3" t="s">
        <v>35</v>
      </c>
      <c r="P473" s="3" t="s">
        <v>245</v>
      </c>
      <c r="Q473" s="3" t="str">
        <f t="shared" si="71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6"/>
        <v>1.27</v>
      </c>
      <c r="O474" s="3" t="s">
        <v>35</v>
      </c>
      <c r="P474" s="3" t="s">
        <v>245</v>
      </c>
      <c r="Q474" s="3" t="str">
        <f t="shared" si="71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6"/>
        <v>1.0759999999999998</v>
      </c>
      <c r="O475" s="3" t="s">
        <v>35</v>
      </c>
      <c r="P475" s="3" t="s">
        <v>245</v>
      </c>
      <c r="Q475" s="3" t="str">
        <f t="shared" si="71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6"/>
        <v>1.0759999999999998</v>
      </c>
      <c r="O476" s="3" t="s">
        <v>35</v>
      </c>
      <c r="P476" s="3" t="s">
        <v>245</v>
      </c>
      <c r="Q476" s="3" t="str">
        <f t="shared" si="71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7">+L477/K477</f>
        <v>1.0654545454545454</v>
      </c>
      <c r="N477" s="3">
        <f t="shared" si="76"/>
        <v>1.0654545454545454</v>
      </c>
      <c r="O477" s="3" t="s">
        <v>35</v>
      </c>
      <c r="P477" s="3" t="s">
        <v>245</v>
      </c>
      <c r="Q477" s="3" t="str">
        <f t="shared" si="71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7"/>
        <v>1.0366289952280319</v>
      </c>
      <c r="N478" s="3">
        <f t="shared" si="76"/>
        <v>1.0366289952280319</v>
      </c>
      <c r="O478" s="3" t="s">
        <v>143</v>
      </c>
      <c r="P478" s="3" t="s">
        <v>143</v>
      </c>
      <c r="Q478" s="3" t="str">
        <f t="shared" si="71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7"/>
        <v>1.0759165719522106</v>
      </c>
      <c r="N479" s="3">
        <f t="shared" si="76"/>
        <v>1.0759165719522106</v>
      </c>
      <c r="O479" s="3" t="s">
        <v>143</v>
      </c>
      <c r="P479" s="3" t="s">
        <v>143</v>
      </c>
      <c r="Q479" s="3" t="str">
        <f t="shared" si="71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1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7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1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7"/>
        <v>1.175</v>
      </c>
      <c r="N482" s="3">
        <v>1.0625</v>
      </c>
      <c r="O482" s="3" t="s">
        <v>58</v>
      </c>
      <c r="P482" s="3" t="s">
        <v>58</v>
      </c>
      <c r="Q482" s="3" t="str">
        <f t="shared" si="71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 t="s">
        <v>591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1"/>
        <v>386.1-2025-12-31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1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1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1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1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1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1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1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1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1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1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1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78">+L495/K495</f>
        <v>1.0576470588235294</v>
      </c>
      <c r="N495" s="3">
        <f t="shared" ref="N495" si="79">+L495/K495</f>
        <v>1.0576470588235294</v>
      </c>
      <c r="O495" s="3" t="s">
        <v>58</v>
      </c>
      <c r="P495" s="3" t="s">
        <v>58</v>
      </c>
      <c r="Q495" s="3" t="str">
        <f t="shared" si="71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1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1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0">+L498/K498</f>
        <v>1.0011614401858304</v>
      </c>
      <c r="N498" s="3">
        <f t="shared" ref="N498" si="81">+L498/K498</f>
        <v>1.0011614401858304</v>
      </c>
      <c r="O498" s="3" t="s">
        <v>58</v>
      </c>
      <c r="P498" s="3" t="s">
        <v>58</v>
      </c>
      <c r="Q498" s="3" t="str">
        <f t="shared" si="71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2">+K499/L499</f>
        <v>0.97814273638449456</v>
      </c>
      <c r="N499" s="3">
        <f t="shared" ref="N499:N500" si="83">+K499/L499</f>
        <v>0.97814273638449456</v>
      </c>
      <c r="O499" s="3" t="s">
        <v>35</v>
      </c>
      <c r="P499" s="3" t="s">
        <v>245</v>
      </c>
      <c r="Q499" s="3" t="str">
        <f t="shared" si="71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2"/>
        <v>1.0380116959064327</v>
      </c>
      <c r="N500" s="3">
        <f t="shared" si="83"/>
        <v>1.0380116959064327</v>
      </c>
      <c r="O500" s="3" t="s">
        <v>35</v>
      </c>
      <c r="P500" s="3" t="s">
        <v>245</v>
      </c>
      <c r="Q500" s="3" t="str">
        <f t="shared" si="71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4">+L501/K501</f>
        <v>0.84417707369256101</v>
      </c>
      <c r="N501" s="3">
        <f t="shared" ref="N501" si="85">+L501/K501</f>
        <v>0.84417707369256101</v>
      </c>
      <c r="O501" s="3" t="s">
        <v>35</v>
      </c>
      <c r="P501" s="3" t="s">
        <v>35</v>
      </c>
      <c r="Q501" s="3" t="str">
        <f t="shared" si="71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4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1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1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1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 t="s">
        <v>587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1"/>
        <v>14.1-2026-01-01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 t="s">
        <v>588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1"/>
        <v>14.2-2026-01-01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 t="s">
        <v>589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6">+L507/K507</f>
        <v>1.0294735596129376</v>
      </c>
      <c r="N507" s="3">
        <f t="shared" ref="N507:N508" si="87">+L507/K507</f>
        <v>1.0294735596129376</v>
      </c>
      <c r="O507" s="3" t="s">
        <v>35</v>
      </c>
      <c r="P507" s="3" t="s">
        <v>35</v>
      </c>
      <c r="Q507" s="3" t="str">
        <f t="shared" si="71"/>
        <v>14.3-2026-01-01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 t="s">
        <v>590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6"/>
        <v>1.033763700538733</v>
      </c>
      <c r="N508" s="3">
        <f t="shared" si="87"/>
        <v>1.033763700538733</v>
      </c>
      <c r="O508" s="3" t="s">
        <v>35</v>
      </c>
      <c r="P508" s="3" t="s">
        <v>35</v>
      </c>
      <c r="Q508" s="3" t="str">
        <f t="shared" si="71"/>
        <v>14.4-2026-01-01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1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1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1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1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88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1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1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89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0">+L516/K516</f>
        <v>1.0576470588235294</v>
      </c>
      <c r="N516" s="3">
        <f t="shared" ref="N516" si="91">+L516/K516</f>
        <v>1.0576470588235294</v>
      </c>
      <c r="O516" s="3" t="s">
        <v>58</v>
      </c>
      <c r="P516" s="3" t="s">
        <v>58</v>
      </c>
      <c r="Q516" s="3" t="str">
        <f t="shared" si="89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89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89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2">+L519/K519</f>
        <v>1.053296418682687</v>
      </c>
      <c r="N519" s="3">
        <f t="shared" ref="N519" si="93">+L519/K519</f>
        <v>1.053296418682687</v>
      </c>
      <c r="O519" s="3" t="s">
        <v>143</v>
      </c>
      <c r="P519" s="3" t="s">
        <v>143</v>
      </c>
      <c r="Q519" s="3" t="str">
        <f t="shared" si="89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89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89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89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4">+L523/K523</f>
        <v>1.0011614401858304</v>
      </c>
      <c r="N523" s="3">
        <f t="shared" ref="N523:N524" si="95">+L523/K523</f>
        <v>1.0011614401858304</v>
      </c>
      <c r="O523" s="3" t="s">
        <v>58</v>
      </c>
      <c r="P523" s="3" t="s">
        <v>58</v>
      </c>
      <c r="Q523" s="3" t="str">
        <f t="shared" si="89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4"/>
        <v>1.02031875181617</v>
      </c>
      <c r="N524" s="3">
        <f t="shared" si="95"/>
        <v>1.02031875181617</v>
      </c>
      <c r="O524" s="3" t="s">
        <v>35</v>
      </c>
      <c r="P524" s="3" t="s">
        <v>35</v>
      </c>
      <c r="Q524" s="3" t="str">
        <f t="shared" si="89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6">+K525/L525</f>
        <v>0.97814273638449456</v>
      </c>
      <c r="N525" s="3">
        <f t="shared" ref="N525:N526" si="97">+K525/L525</f>
        <v>0.97814273638449456</v>
      </c>
      <c r="O525" s="3" t="s">
        <v>35</v>
      </c>
      <c r="P525" s="3" t="s">
        <v>245</v>
      </c>
      <c r="Q525" s="3" t="str">
        <f t="shared" si="89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6"/>
        <v>1.0380116959064327</v>
      </c>
      <c r="N526" s="3">
        <f t="shared" si="97"/>
        <v>1.0380116959064327</v>
      </c>
      <c r="O526" s="3" t="s">
        <v>35</v>
      </c>
      <c r="P526" s="3" t="s">
        <v>245</v>
      </c>
      <c r="Q526" s="3" t="str">
        <f t="shared" si="89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89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98">+L528/K528</f>
        <v>0.97848330378250592</v>
      </c>
      <c r="N528" s="3">
        <f t="shared" ref="N528" si="99">+L528/K528</f>
        <v>0.97848330378250592</v>
      </c>
      <c r="O528" s="3" t="s">
        <v>35</v>
      </c>
      <c r="P528" s="3" t="s">
        <v>35</v>
      </c>
      <c r="Q528" s="3" t="str">
        <f t="shared" si="89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89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0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89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0"/>
        <v>1.1072715709372378</v>
      </c>
      <c r="N531" s="3">
        <f t="shared" ref="N531" si="101">+L531/K531</f>
        <v>1.1072715709372378</v>
      </c>
      <c r="O531" s="3" t="s">
        <v>143</v>
      </c>
      <c r="P531" s="3" t="s">
        <v>143</v>
      </c>
      <c r="Q531" s="3" t="str">
        <f t="shared" si="89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89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89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 t="s">
        <v>591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89"/>
        <v>386.1-2026-01-01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 t="s">
        <v>592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2">L535/K535</f>
        <v>0.98582632482354049</v>
      </c>
      <c r="N535" s="3">
        <f t="shared" ref="N535:N536" si="103">L535/K535</f>
        <v>0.98582632482354049</v>
      </c>
      <c r="O535" s="3" t="s">
        <v>143</v>
      </c>
      <c r="P535" s="3" t="s">
        <v>143</v>
      </c>
      <c r="Q535" s="3" t="str">
        <f t="shared" si="89"/>
        <v>386.2-2026-01-01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 t="s">
        <v>593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4">IF(L536/K536&gt;1.3,1.3,L536/K536)</f>
        <v>0.96428454116397888</v>
      </c>
      <c r="N536" s="3">
        <f t="shared" si="103"/>
        <v>0.96428454116397888</v>
      </c>
      <c r="O536" s="3" t="s">
        <v>143</v>
      </c>
      <c r="P536" s="3" t="s">
        <v>143</v>
      </c>
      <c r="Q536" s="3" t="str">
        <f t="shared" si="89"/>
        <v>386.3-2026-01-01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89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89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5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89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89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4" si="106">IF(L541/K541&gt;1,1,L541/K541)</f>
        <v>1</v>
      </c>
      <c r="N541" s="3">
        <f t="shared" ref="N541:N601" si="107">IF(L541/K541&gt;1,1,L541/K541)</f>
        <v>1</v>
      </c>
      <c r="O541" s="3" t="s">
        <v>58</v>
      </c>
      <c r="P541" s="3" t="s">
        <v>58</v>
      </c>
      <c r="Q541" s="3" t="str">
        <f t="shared" si="89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6"/>
        <v>1</v>
      </c>
      <c r="N542" s="3">
        <f t="shared" si="107"/>
        <v>1</v>
      </c>
      <c r="O542" s="3" t="s">
        <v>58</v>
      </c>
      <c r="P542" s="3" t="s">
        <v>58</v>
      </c>
      <c r="Q542" s="3" t="str">
        <f t="shared" si="89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6"/>
        <v>1</v>
      </c>
      <c r="N543" s="3">
        <f t="shared" si="107"/>
        <v>1</v>
      </c>
      <c r="O543" s="3" t="s">
        <v>58</v>
      </c>
      <c r="P543" s="3" t="s">
        <v>58</v>
      </c>
      <c r="Q543" s="3" t="str">
        <f t="shared" si="89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6"/>
        <v>0.94871794871794868</v>
      </c>
      <c r="N544" s="3">
        <f t="shared" si="107"/>
        <v>0.94871794871794868</v>
      </c>
      <c r="O544" s="3"/>
      <c r="P544" s="3"/>
      <c r="Q544" s="3" t="str">
        <f t="shared" si="89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6"/>
        <v>1</v>
      </c>
      <c r="N545" s="3">
        <f t="shared" si="107"/>
        <v>1</v>
      </c>
      <c r="O545" s="3"/>
      <c r="P545" s="3"/>
      <c r="Q545" s="3" t="str">
        <f t="shared" si="89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6"/>
        <v>0.94871794871794868</v>
      </c>
      <c r="N546" s="3">
        <f t="shared" si="107"/>
        <v>0.94871794871794868</v>
      </c>
      <c r="O546" s="3" t="s">
        <v>58</v>
      </c>
      <c r="P546" s="3" t="s">
        <v>58</v>
      </c>
      <c r="Q546" s="3" t="str">
        <f t="shared" si="89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6"/>
        <v>1</v>
      </c>
      <c r="N547" s="3">
        <f t="shared" si="107"/>
        <v>1</v>
      </c>
      <c r="O547" s="3" t="s">
        <v>58</v>
      </c>
      <c r="P547" s="3" t="s">
        <v>58</v>
      </c>
      <c r="Q547" s="3" t="str">
        <f t="shared" si="89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6"/>
        <v>0.96938775510204078</v>
      </c>
      <c r="N548" s="3">
        <f t="shared" si="107"/>
        <v>0.96938775510204078</v>
      </c>
      <c r="O548" s="3" t="s">
        <v>58</v>
      </c>
      <c r="P548" s="3" t="s">
        <v>58</v>
      </c>
      <c r="Q548" s="3" t="str">
        <f t="shared" si="89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6"/>
        <v>1</v>
      </c>
      <c r="N549" s="3">
        <f t="shared" si="107"/>
        <v>1</v>
      </c>
      <c r="O549" s="3" t="s">
        <v>58</v>
      </c>
      <c r="P549" s="3" t="s">
        <v>58</v>
      </c>
      <c r="Q549" s="3" t="str">
        <f t="shared" si="89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6"/>
        <v>0.8571428571428571</v>
      </c>
      <c r="N550" s="3">
        <f t="shared" si="107"/>
        <v>0.8571428571428571</v>
      </c>
      <c r="O550" s="3" t="s">
        <v>58</v>
      </c>
      <c r="P550" s="3" t="s">
        <v>58</v>
      </c>
      <c r="Q550" s="3" t="str">
        <f t="shared" si="89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6"/>
        <v>1</v>
      </c>
      <c r="N551" s="3">
        <f t="shared" si="107"/>
        <v>1</v>
      </c>
      <c r="O551" s="3" t="s">
        <v>58</v>
      </c>
      <c r="P551" s="3" t="s">
        <v>58</v>
      </c>
      <c r="Q551" s="3" t="str">
        <f t="shared" si="89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6"/>
        <v>1</v>
      </c>
      <c r="N552" s="3">
        <f t="shared" si="107"/>
        <v>1</v>
      </c>
      <c r="O552" s="3"/>
      <c r="P552" s="3"/>
      <c r="Q552" s="3" t="str">
        <f t="shared" si="89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6"/>
        <v>0.96938775510204078</v>
      </c>
      <c r="N553" s="3">
        <f t="shared" si="107"/>
        <v>0.96938775510204078</v>
      </c>
      <c r="O553" s="3" t="s">
        <v>58</v>
      </c>
      <c r="P553" s="3" t="s">
        <v>58</v>
      </c>
      <c r="Q553" s="3" t="str">
        <f t="shared" si="89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6"/>
        <v>1</v>
      </c>
      <c r="N554" s="3">
        <f t="shared" si="107"/>
        <v>1</v>
      </c>
      <c r="O554" s="3" t="s">
        <v>58</v>
      </c>
      <c r="P554" s="3" t="s">
        <v>58</v>
      </c>
      <c r="Q554" s="3" t="str">
        <f t="shared" si="89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6"/>
        <v>1</v>
      </c>
      <c r="N555" s="3">
        <f t="shared" si="107"/>
        <v>1</v>
      </c>
      <c r="O555" s="3">
        <v>0</v>
      </c>
      <c r="P555" s="3">
        <v>0</v>
      </c>
      <c r="Q555" s="3" t="str">
        <f t="shared" si="89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6"/>
        <v>1</v>
      </c>
      <c r="N556" s="3">
        <f t="shared" si="107"/>
        <v>1</v>
      </c>
      <c r="O556" s="3">
        <v>0</v>
      </c>
      <c r="P556" s="3">
        <v>0</v>
      </c>
      <c r="Q556" s="3" t="str">
        <f t="shared" si="89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89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6"/>
        <v>0.7846153846153846</v>
      </c>
      <c r="N558" s="3">
        <f t="shared" si="107"/>
        <v>0.7846153846153846</v>
      </c>
      <c r="O558" s="3"/>
      <c r="P558" s="3"/>
      <c r="Q558" s="3" t="str">
        <f t="shared" si="89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6"/>
        <v>0.73684210526315785</v>
      </c>
      <c r="N559" s="3">
        <f t="shared" si="107"/>
        <v>0.73684210526315785</v>
      </c>
      <c r="O559" s="3"/>
      <c r="P559" s="3"/>
      <c r="Q559" s="3" t="str">
        <f t="shared" si="89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6"/>
        <v>0.99</v>
      </c>
      <c r="N560" s="3">
        <f t="shared" si="107"/>
        <v>0.99</v>
      </c>
      <c r="O560" s="3" t="s">
        <v>58</v>
      </c>
      <c r="P560" s="3" t="s">
        <v>58</v>
      </c>
      <c r="Q560" s="3" t="str">
        <f t="shared" si="89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6"/>
        <v>1</v>
      </c>
      <c r="N561" s="3">
        <f t="shared" si="107"/>
        <v>1</v>
      </c>
      <c r="O561" s="3" t="s">
        <v>58</v>
      </c>
      <c r="P561" s="3" t="s">
        <v>58</v>
      </c>
      <c r="Q561" s="3" t="str">
        <f t="shared" si="89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6"/>
        <v>1</v>
      </c>
      <c r="N562" s="3">
        <f t="shared" si="107"/>
        <v>1</v>
      </c>
      <c r="O562" s="3" t="s">
        <v>58</v>
      </c>
      <c r="P562" s="3" t="s">
        <v>58</v>
      </c>
      <c r="Q562" s="3" t="str">
        <f t="shared" si="89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6"/>
        <v>0.87804878048780488</v>
      </c>
      <c r="N563" s="3">
        <f t="shared" si="107"/>
        <v>0.87804878048780488</v>
      </c>
      <c r="O563" s="3"/>
      <c r="P563" s="3"/>
      <c r="Q563" s="3" t="str">
        <f t="shared" si="89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6"/>
        <v>1</v>
      </c>
      <c r="N564" s="3">
        <f t="shared" si="107"/>
        <v>1</v>
      </c>
      <c r="O564" s="3"/>
      <c r="P564" s="3"/>
      <c r="Q564" s="3" t="str">
        <f t="shared" si="89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6"/>
        <v>1</v>
      </c>
      <c r="N565" s="3">
        <f t="shared" si="107"/>
        <v>1</v>
      </c>
      <c r="O565" s="3"/>
      <c r="P565" s="3"/>
      <c r="Q565" s="3" t="str">
        <f t="shared" si="89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6"/>
        <v>1</v>
      </c>
      <c r="N566" s="3">
        <f t="shared" si="107"/>
        <v>1</v>
      </c>
      <c r="O566" s="3" t="s">
        <v>58</v>
      </c>
      <c r="P566" s="3" t="s">
        <v>58</v>
      </c>
      <c r="Q566" s="3" t="str">
        <f t="shared" si="89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6"/>
        <v>1</v>
      </c>
      <c r="N567" s="3">
        <f t="shared" si="107"/>
        <v>1</v>
      </c>
      <c r="O567" s="3" t="s">
        <v>58</v>
      </c>
      <c r="P567" s="3" t="s">
        <v>58</v>
      </c>
      <c r="Q567" s="3" t="str">
        <f t="shared" si="89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6"/>
        <v>1</v>
      </c>
      <c r="N568" s="3">
        <f t="shared" si="107"/>
        <v>1</v>
      </c>
      <c r="O568" s="3" t="s">
        <v>58</v>
      </c>
      <c r="P568" s="3" t="s">
        <v>58</v>
      </c>
      <c r="Q568" s="3" t="str">
        <f t="shared" si="89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6"/>
        <v>1</v>
      </c>
      <c r="N569" s="3">
        <f t="shared" si="107"/>
        <v>1</v>
      </c>
      <c r="O569" s="3" t="s">
        <v>58</v>
      </c>
      <c r="P569" s="3" t="s">
        <v>58</v>
      </c>
      <c r="Q569" s="3" t="str">
        <f t="shared" si="89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6"/>
        <v>1</v>
      </c>
      <c r="N570" s="3">
        <f t="shared" si="107"/>
        <v>1</v>
      </c>
      <c r="O570" s="3">
        <v>0</v>
      </c>
      <c r="P570" s="3">
        <v>0</v>
      </c>
      <c r="Q570" s="3" t="str">
        <f t="shared" si="89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6"/>
        <v>1</v>
      </c>
      <c r="N571" s="3">
        <f t="shared" si="107"/>
        <v>1</v>
      </c>
      <c r="O571" s="3">
        <v>0</v>
      </c>
      <c r="P571" s="3">
        <v>0</v>
      </c>
      <c r="Q571" s="3" t="str">
        <f t="shared" si="89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6"/>
        <v>1</v>
      </c>
      <c r="N572" s="3">
        <f t="shared" si="107"/>
        <v>1</v>
      </c>
      <c r="O572" s="3" t="s">
        <v>58</v>
      </c>
      <c r="P572" s="3" t="s">
        <v>58</v>
      </c>
      <c r="Q572" s="3" t="str">
        <f t="shared" si="89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6"/>
        <v>1</v>
      </c>
      <c r="N573" s="3">
        <f t="shared" si="107"/>
        <v>1</v>
      </c>
      <c r="O573" s="3" t="s">
        <v>58</v>
      </c>
      <c r="P573" s="3" t="s">
        <v>58</v>
      </c>
      <c r="Q573" s="3" t="str">
        <f t="shared" si="89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6"/>
        <v>1</v>
      </c>
      <c r="N574" s="3">
        <f t="shared" si="107"/>
        <v>1</v>
      </c>
      <c r="O574" s="3" t="s">
        <v>58</v>
      </c>
      <c r="P574" s="3" t="s">
        <v>58</v>
      </c>
      <c r="Q574" s="3" t="str">
        <f t="shared" si="89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6"/>
        <v>1</v>
      </c>
      <c r="N575" s="3">
        <f t="shared" si="107"/>
        <v>1</v>
      </c>
      <c r="O575" s="3" t="s">
        <v>58</v>
      </c>
      <c r="P575" s="3" t="s">
        <v>58</v>
      </c>
      <c r="Q575" s="3" t="str">
        <f t="shared" si="89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6"/>
        <v>1</v>
      </c>
      <c r="N576" s="3">
        <f t="shared" si="107"/>
        <v>1</v>
      </c>
      <c r="O576" s="3" t="s">
        <v>58</v>
      </c>
      <c r="P576" s="3" t="s">
        <v>58</v>
      </c>
      <c r="Q576" s="3" t="str">
        <f t="shared" si="89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6"/>
        <v>1</v>
      </c>
      <c r="N577" s="3">
        <f t="shared" si="107"/>
        <v>1</v>
      </c>
      <c r="O577" s="3"/>
      <c r="P577" s="3"/>
      <c r="Q577" s="3" t="str">
        <f t="shared" si="89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6"/>
        <v>1</v>
      </c>
      <c r="N578" s="3">
        <f t="shared" si="107"/>
        <v>1</v>
      </c>
      <c r="O578" s="3" t="s">
        <v>58</v>
      </c>
      <c r="P578" s="3" t="s">
        <v>58</v>
      </c>
      <c r="Q578" s="3" t="str">
        <f t="shared" si="89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6"/>
        <v>1</v>
      </c>
      <c r="N579" s="3">
        <f t="shared" si="107"/>
        <v>1</v>
      </c>
      <c r="O579" s="3" t="s">
        <v>58</v>
      </c>
      <c r="P579" s="3" t="s">
        <v>58</v>
      </c>
      <c r="Q579" s="3" t="str">
        <f t="shared" ref="Q579:Q642" si="108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6"/>
        <v>1</v>
      </c>
      <c r="N580" s="3">
        <f t="shared" si="107"/>
        <v>1</v>
      </c>
      <c r="O580" s="3" t="s">
        <v>58</v>
      </c>
      <c r="P580" s="3" t="s">
        <v>58</v>
      </c>
      <c r="Q580" s="3" t="str">
        <f t="shared" si="108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6"/>
        <v>1</v>
      </c>
      <c r="N581" s="3">
        <f t="shared" si="107"/>
        <v>1</v>
      </c>
      <c r="O581" s="3">
        <v>0</v>
      </c>
      <c r="P581" s="3">
        <v>0</v>
      </c>
      <c r="Q581" s="3" t="str">
        <f t="shared" si="108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08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08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08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6"/>
        <v>1</v>
      </c>
      <c r="N585" s="3">
        <f t="shared" si="107"/>
        <v>1</v>
      </c>
      <c r="O585" s="3" t="s">
        <v>58</v>
      </c>
      <c r="P585" s="3" t="s">
        <v>58</v>
      </c>
      <c r="Q585" s="3" t="str">
        <f t="shared" si="108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6"/>
        <v>1</v>
      </c>
      <c r="N586" s="3">
        <f t="shared" si="107"/>
        <v>1</v>
      </c>
      <c r="O586" s="3">
        <v>0</v>
      </c>
      <c r="P586" s="3">
        <v>0</v>
      </c>
      <c r="Q586" s="3" t="str">
        <f t="shared" si="108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6"/>
        <v>1</v>
      </c>
      <c r="N587" s="3">
        <f t="shared" si="107"/>
        <v>1</v>
      </c>
      <c r="O587" s="3" t="s">
        <v>58</v>
      </c>
      <c r="P587" s="3" t="s">
        <v>58</v>
      </c>
      <c r="Q587" s="3" t="str">
        <f t="shared" si="108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6"/>
        <v>1</v>
      </c>
      <c r="N588" s="3">
        <f t="shared" si="107"/>
        <v>1</v>
      </c>
      <c r="O588" s="3" t="s">
        <v>58</v>
      </c>
      <c r="P588" s="3" t="s">
        <v>58</v>
      </c>
      <c r="Q588" s="3" t="str">
        <f t="shared" si="108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08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6"/>
        <v>1</v>
      </c>
      <c r="N590" s="3">
        <f t="shared" si="107"/>
        <v>1</v>
      </c>
      <c r="O590" s="3"/>
      <c r="P590" s="3"/>
      <c r="Q590" s="3" t="str">
        <f t="shared" si="108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6"/>
        <v>1</v>
      </c>
      <c r="N591" s="3">
        <f t="shared" si="107"/>
        <v>1</v>
      </c>
      <c r="O591" s="3"/>
      <c r="P591" s="3"/>
      <c r="Q591" s="3" t="str">
        <f t="shared" si="108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6"/>
        <v>1</v>
      </c>
      <c r="N592" s="3">
        <f t="shared" si="107"/>
        <v>1</v>
      </c>
      <c r="O592" s="3" t="s">
        <v>58</v>
      </c>
      <c r="P592" s="3" t="s">
        <v>58</v>
      </c>
      <c r="Q592" s="3" t="str">
        <f t="shared" si="108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6"/>
        <v>1</v>
      </c>
      <c r="N593" s="3">
        <f t="shared" si="107"/>
        <v>1</v>
      </c>
      <c r="O593" s="3" t="s">
        <v>58</v>
      </c>
      <c r="P593" s="3" t="s">
        <v>58</v>
      </c>
      <c r="Q593" s="3" t="str">
        <f t="shared" si="108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6"/>
        <v>1</v>
      </c>
      <c r="N594" s="3">
        <f t="shared" si="107"/>
        <v>1</v>
      </c>
      <c r="O594" s="3" t="s">
        <v>58</v>
      </c>
      <c r="P594" s="3" t="s">
        <v>58</v>
      </c>
      <c r="Q594" s="3" t="str">
        <f t="shared" si="108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6"/>
        <v>1</v>
      </c>
      <c r="N595" s="3">
        <f t="shared" si="107"/>
        <v>1</v>
      </c>
      <c r="O595" s="3" t="s">
        <v>58</v>
      </c>
      <c r="P595" s="3" t="s">
        <v>58</v>
      </c>
      <c r="Q595" s="3" t="str">
        <f t="shared" si="108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6"/>
        <v>1</v>
      </c>
      <c r="N596" s="3">
        <f t="shared" si="107"/>
        <v>1</v>
      </c>
      <c r="O596" s="3" t="s">
        <v>58</v>
      </c>
      <c r="P596" s="3" t="s">
        <v>58</v>
      </c>
      <c r="Q596" s="3" t="str">
        <f t="shared" si="108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6"/>
        <v>1</v>
      </c>
      <c r="N597" s="3">
        <f t="shared" si="107"/>
        <v>1</v>
      </c>
      <c r="O597" s="3" t="s">
        <v>58</v>
      </c>
      <c r="P597" s="3" t="s">
        <v>58</v>
      </c>
      <c r="Q597" s="3" t="str">
        <f t="shared" si="108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6"/>
        <v>1</v>
      </c>
      <c r="N598" s="3">
        <f t="shared" si="107"/>
        <v>1</v>
      </c>
      <c r="O598" s="3" t="s">
        <v>58</v>
      </c>
      <c r="P598" s="3" t="s">
        <v>58</v>
      </c>
      <c r="Q598" s="3" t="str">
        <f t="shared" si="108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6"/>
        <v>1</v>
      </c>
      <c r="N599" s="3">
        <f t="shared" si="107"/>
        <v>1</v>
      </c>
      <c r="O599" s="3"/>
      <c r="P599" s="3"/>
      <c r="Q599" s="3" t="str">
        <f t="shared" si="108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6"/>
        <v>0.99</v>
      </c>
      <c r="N600" s="3">
        <f t="shared" si="107"/>
        <v>0.99</v>
      </c>
      <c r="O600" s="3" t="s">
        <v>58</v>
      </c>
      <c r="P600" s="3" t="s">
        <v>58</v>
      </c>
      <c r="Q600" s="3" t="str">
        <f t="shared" si="108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6"/>
        <v>1</v>
      </c>
      <c r="N601" s="3">
        <f t="shared" si="107"/>
        <v>1</v>
      </c>
      <c r="O601" s="3">
        <v>0</v>
      </c>
      <c r="P601" s="3">
        <v>0</v>
      </c>
      <c r="Q601" s="3" t="str">
        <f t="shared" si="108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6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08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si="106"/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08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06"/>
        <v>0.93333333333333335</v>
      </c>
      <c r="N604" s="3">
        <f t="shared" ref="N604:N621" si="109">IF(L604/K604&gt;1,1,L604/K604)</f>
        <v>0.93333333333333335</v>
      </c>
      <c r="O604" s="3" t="s">
        <v>58</v>
      </c>
      <c r="P604" s="3" t="s">
        <v>58</v>
      </c>
      <c r="Q604" s="3" t="str">
        <f t="shared" si="108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ref="M605:M637" si="110">IF(L605/K605&gt;1,1,L605/K605)</f>
        <v>1</v>
      </c>
      <c r="N605" s="3">
        <f t="shared" si="109"/>
        <v>1</v>
      </c>
      <c r="O605" s="3">
        <v>0</v>
      </c>
      <c r="P605" s="3">
        <v>0</v>
      </c>
      <c r="Q605" s="3" t="str">
        <f t="shared" si="108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09"/>
        <v>1</v>
      </c>
      <c r="O606" s="3">
        <v>0</v>
      </c>
      <c r="P606" s="3">
        <v>0</v>
      </c>
      <c r="Q606" s="3" t="str">
        <f t="shared" si="108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09"/>
        <v>1</v>
      </c>
      <c r="O607" s="3" t="s">
        <v>58</v>
      </c>
      <c r="P607" s="3" t="s">
        <v>58</v>
      </c>
      <c r="Q607" s="3" t="str">
        <f t="shared" si="108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08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08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09"/>
        <v>1</v>
      </c>
      <c r="O610" s="3" t="s">
        <v>58</v>
      </c>
      <c r="P610" s="3" t="s">
        <v>58</v>
      </c>
      <c r="Q610" s="3" t="str">
        <f t="shared" si="108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09"/>
        <v>0.96666666666666667</v>
      </c>
      <c r="O611" s="3" t="s">
        <v>58</v>
      </c>
      <c r="P611" s="3" t="s">
        <v>58</v>
      </c>
      <c r="Q611" s="3" t="str">
        <f t="shared" si="108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09"/>
        <v>0.99</v>
      </c>
      <c r="O612" s="3" t="s">
        <v>58</v>
      </c>
      <c r="P612" s="3" t="s">
        <v>58</v>
      </c>
      <c r="Q612" s="3" t="str">
        <f t="shared" si="108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09"/>
        <v>1</v>
      </c>
      <c r="O613" s="3" t="s">
        <v>58</v>
      </c>
      <c r="P613" s="3" t="s">
        <v>58</v>
      </c>
      <c r="Q613" s="3" t="str">
        <f t="shared" si="108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09"/>
        <v>0.94444444444444442</v>
      </c>
      <c r="O614" s="3" t="s">
        <v>58</v>
      </c>
      <c r="P614" s="3" t="s">
        <v>58</v>
      </c>
      <c r="Q614" s="3" t="str">
        <f t="shared" si="108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09"/>
        <v>1</v>
      </c>
      <c r="O615" s="3" t="s">
        <v>58</v>
      </c>
      <c r="P615" s="3" t="s">
        <v>58</v>
      </c>
      <c r="Q615" s="3" t="str">
        <f t="shared" si="108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09"/>
        <v>1</v>
      </c>
      <c r="O616" s="3">
        <v>0</v>
      </c>
      <c r="P616" s="3">
        <v>0</v>
      </c>
      <c r="Q616" s="3" t="str">
        <f t="shared" si="108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si="110"/>
        <v>1</v>
      </c>
      <c r="N617" s="3">
        <f t="shared" si="109"/>
        <v>1</v>
      </c>
      <c r="O617" s="3">
        <v>0</v>
      </c>
      <c r="P617" s="3">
        <v>0</v>
      </c>
      <c r="Q617" s="3" t="str">
        <f t="shared" si="108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0"/>
        <v>1</v>
      </c>
      <c r="N618" s="3">
        <f t="shared" si="109"/>
        <v>1</v>
      </c>
      <c r="O618" s="3">
        <v>0</v>
      </c>
      <c r="P618" s="3">
        <v>0</v>
      </c>
      <c r="Q618" s="3" t="str">
        <f t="shared" si="108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0"/>
        <v>1</v>
      </c>
      <c r="N619" s="3">
        <f t="shared" si="109"/>
        <v>1</v>
      </c>
      <c r="O619" s="3"/>
      <c r="P619" s="3"/>
      <c r="Q619" s="3" t="str">
        <f t="shared" si="108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0"/>
        <v>1</v>
      </c>
      <c r="N620" s="3">
        <f t="shared" si="109"/>
        <v>1</v>
      </c>
      <c r="O620" s="3" t="s">
        <v>58</v>
      </c>
      <c r="P620" s="3" t="s">
        <v>58</v>
      </c>
      <c r="Q620" s="3" t="str">
        <f t="shared" si="108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0"/>
        <v>1</v>
      </c>
      <c r="N621" s="3">
        <f t="shared" si="109"/>
        <v>1</v>
      </c>
      <c r="O621" s="3" t="s">
        <v>58</v>
      </c>
      <c r="P621" s="3" t="s">
        <v>58</v>
      </c>
      <c r="Q621" s="3" t="str">
        <f t="shared" si="108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0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08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0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08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0"/>
        <v>1</v>
      </c>
      <c r="N624" s="3">
        <f t="shared" ref="N624" si="111">IF(L624/K624&gt;1,1,L624/K624)</f>
        <v>1</v>
      </c>
      <c r="O624" s="3" t="s">
        <v>58</v>
      </c>
      <c r="P624" s="3" t="s">
        <v>58</v>
      </c>
      <c r="Q624" s="3" t="str">
        <f t="shared" si="108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0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08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0"/>
        <v>1</v>
      </c>
      <c r="N626" s="3">
        <f t="shared" ref="N626:N631" si="112">IF(L626/K626&gt;1,1,L626/K626)</f>
        <v>1</v>
      </c>
      <c r="O626" s="3"/>
      <c r="P626" s="3"/>
      <c r="Q626" s="3" t="str">
        <f t="shared" si="108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0"/>
        <v>0.99</v>
      </c>
      <c r="N627" s="3">
        <f t="shared" si="112"/>
        <v>0.99</v>
      </c>
      <c r="O627" s="3" t="s">
        <v>58</v>
      </c>
      <c r="P627" s="3" t="s">
        <v>58</v>
      </c>
      <c r="Q627" s="3" t="str">
        <f t="shared" si="108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0"/>
        <v>0.93333333333333335</v>
      </c>
      <c r="N628" s="3">
        <f t="shared" si="112"/>
        <v>0.93333333333333335</v>
      </c>
      <c r="O628" s="3" t="s">
        <v>58</v>
      </c>
      <c r="P628" s="3" t="s">
        <v>58</v>
      </c>
      <c r="Q628" s="3" t="str">
        <f t="shared" si="108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0"/>
        <v>1</v>
      </c>
      <c r="N629" s="3">
        <f t="shared" si="112"/>
        <v>1</v>
      </c>
      <c r="O629" s="3" t="s">
        <v>58</v>
      </c>
      <c r="P629" s="3" t="s">
        <v>58</v>
      </c>
      <c r="Q629" s="3" t="str">
        <f t="shared" si="108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0"/>
        <v>1</v>
      </c>
      <c r="N630" s="3">
        <f t="shared" si="112"/>
        <v>1</v>
      </c>
      <c r="O630" s="3" t="s">
        <v>58</v>
      </c>
      <c r="P630" s="3" t="s">
        <v>58</v>
      </c>
      <c r="Q630" s="3" t="str">
        <f t="shared" si="108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0"/>
        <v>0.99</v>
      </c>
      <c r="N631" s="3">
        <f t="shared" si="112"/>
        <v>0.99</v>
      </c>
      <c r="O631" s="3" t="s">
        <v>58</v>
      </c>
      <c r="P631" s="3" t="s">
        <v>58</v>
      </c>
      <c r="Q631" s="3" t="str">
        <f t="shared" si="108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0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08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0"/>
        <v>0.94444444444444442</v>
      </c>
      <c r="N633" s="3">
        <f t="shared" ref="N633:N637" si="113">IF(L633/K633&gt;1,1,L633/K633)</f>
        <v>0.94444444444444442</v>
      </c>
      <c r="O633" s="3" t="s">
        <v>58</v>
      </c>
      <c r="P633" s="3" t="s">
        <v>58</v>
      </c>
      <c r="Q633" s="3" t="str">
        <f t="shared" si="108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0"/>
        <v>1</v>
      </c>
      <c r="N634" s="3">
        <f t="shared" si="113"/>
        <v>1</v>
      </c>
      <c r="O634" s="3" t="s">
        <v>58</v>
      </c>
      <c r="P634" s="3" t="s">
        <v>58</v>
      </c>
      <c r="Q634" s="3" t="str">
        <f t="shared" si="108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0"/>
        <v>0.96666666666666667</v>
      </c>
      <c r="N635" s="3">
        <f t="shared" si="113"/>
        <v>0.96666666666666667</v>
      </c>
      <c r="O635" s="3" t="s">
        <v>58</v>
      </c>
      <c r="P635" s="3" t="s">
        <v>58</v>
      </c>
      <c r="Q635" s="3" t="str">
        <f t="shared" si="108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0"/>
        <v>1</v>
      </c>
      <c r="N636" s="3">
        <f t="shared" si="113"/>
        <v>1</v>
      </c>
      <c r="O636" s="3" t="s">
        <v>58</v>
      </c>
      <c r="P636" s="3" t="s">
        <v>58</v>
      </c>
      <c r="Q636" s="3" t="str">
        <f t="shared" si="108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si="110"/>
        <v>1</v>
      </c>
      <c r="N637" s="3">
        <f t="shared" si="113"/>
        <v>1</v>
      </c>
      <c r="O637" s="3" t="s">
        <v>58</v>
      </c>
      <c r="P637" s="3" t="s">
        <v>58</v>
      </c>
      <c r="Q637" s="3" t="str">
        <f t="shared" si="108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08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08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08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08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08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1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1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1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1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1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1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1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1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0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0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0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0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0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autoFilter ref="A1:AD658" xr:uid="{81204473-508B-4912-9C6F-0C18486752FA}"/>
  <conditionalFormatting sqref="A559">
    <cfRule type="duplicateValues" dxfId="16" priority="11"/>
    <cfRule type="duplicateValues" dxfId="15" priority="12"/>
    <cfRule type="duplicateValues" dxfId="14" priority="13"/>
  </conditionalFormatting>
  <conditionalFormatting sqref="A560">
    <cfRule type="duplicateValues" dxfId="13" priority="14"/>
  </conditionalFormatting>
  <conditionalFormatting sqref="A583">
    <cfRule type="duplicateValues" dxfId="12" priority="5"/>
    <cfRule type="duplicateValues" dxfId="11" priority="6"/>
    <cfRule type="duplicateValues" dxfId="10" priority="7"/>
  </conditionalFormatting>
  <conditionalFormatting sqref="A584">
    <cfRule type="duplicateValues" dxfId="9" priority="8"/>
    <cfRule type="duplicateValues" dxfId="8" priority="9"/>
    <cfRule type="duplicateValues" dxfId="7" priority="10"/>
  </conditionalFormatting>
  <conditionalFormatting sqref="A638:A648">
    <cfRule type="duplicateValues" dxfId="6" priority="15"/>
  </conditionalFormatting>
  <conditionalFormatting sqref="A638:A650">
    <cfRule type="duplicateValues" dxfId="5" priority="16"/>
  </conditionalFormatting>
  <conditionalFormatting sqref="A649">
    <cfRule type="duplicateValues" dxfId="4" priority="4"/>
  </conditionalFormatting>
  <conditionalFormatting sqref="A650">
    <cfRule type="duplicateValues" dxfId="3" priority="2"/>
  </conditionalFormatting>
  <conditionalFormatting sqref="B638:B648">
    <cfRule type="duplicateValues" dxfId="2" priority="17"/>
  </conditionalFormatting>
  <conditionalFormatting sqref="B649">
    <cfRule type="duplicateValues" dxfId="1" priority="3"/>
  </conditionalFormatting>
  <conditionalFormatting sqref="B650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249"/>
  <sheetViews>
    <sheetView workbookViewId="0">
      <selection activeCell="D99" sqref="D99:I249"/>
    </sheetView>
  </sheetViews>
  <sheetFormatPr baseColWidth="10" defaultColWidth="8.88671875" defaultRowHeight="14.4" x14ac:dyDescent="0.3"/>
  <cols>
    <col min="6" max="6" width="3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hidden="1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hidden="1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hidden="1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hidden="1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hidden="1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hidden="1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hidden="1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hidden="1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hidden="1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hidden="1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hidden="1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hidden="1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hidden="1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hidden="1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hidden="1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hidden="1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hidden="1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hidden="1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hidden="1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hidden="1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hidden="1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hidden="1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hidden="1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hidden="1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hidden="1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hidden="1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hidden="1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hidden="1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hidden="1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hidden="1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hidden="1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hidden="1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hidden="1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hidden="1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hidden="1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hidden="1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hidden="1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hidden="1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hidden="1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hidden="1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hidden="1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hidden="1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hidden="1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hidden="1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hidden="1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hidden="1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hidden="1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hidden="1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hidden="1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hidden="1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hidden="1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hidden="1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hidden="1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hidden="1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hidden="1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hidden="1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hidden="1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hidden="1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hidden="1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hidden="1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hidden="1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hidden="1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hidden="1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hidden="1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hidden="1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hidden="1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hidden="1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hidden="1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hidden="1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hidden="1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hidden="1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hidden="1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hidden="1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hidden="1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hidden="1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hidden="1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hidden="1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hidden="1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hidden="1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hidden="1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hidden="1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hidden="1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hidden="1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hidden="1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hidden="1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hidden="1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hidden="1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hidden="1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hidden="1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hidden="1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hidden="1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hidden="1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hidden="1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hidden="1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hidden="1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hidden="1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hidden="1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hidden="1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hidden="1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hidden="1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hidden="1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hidden="1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hidden="1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hidden="1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hidden="1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hidden="1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hidden="1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hidden="1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hidden="1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hidden="1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hidden="1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hidden="1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hidden="1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hidden="1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hidden="1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hidden="1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hidden="1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hidden="1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hidden="1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hidden="1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hidden="1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hidden="1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hidden="1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hidden="1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hidden="1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hidden="1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hidden="1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hidden="1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hidden="1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hidden="1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hidden="1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hidden="1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hidden="1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hidden="1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hidden="1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hidden="1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hidden="1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hidden="1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hidden="1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hidden="1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hidden="1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hidden="1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hidden="1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hidden="1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hidden="1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hidden="1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hidden="1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hidden="1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hidden="1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hidden="1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hidden="1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hidden="1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hidden="1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hidden="1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hidden="1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hidden="1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hidden="1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hidden="1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hidden="1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hidden="1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hidden="1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hidden="1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hidden="1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hidden="1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hidden="1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hidden="1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hidden="1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hidden="1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hidden="1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hidden="1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hidden="1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hidden="1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hidden="1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hidden="1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hidden="1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hidden="1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hidden="1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hidden="1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hidden="1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hidden="1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hidden="1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hidden="1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hidden="1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hidden="1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hidden="1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hidden="1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hidden="1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hidden="1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hidden="1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hidden="1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hidden="1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hidden="1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hidden="1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hidden="1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hidden="1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hidden="1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hidden="1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hidden="1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hidden="1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hidden="1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hidden="1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hidden="1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hidden="1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hidden="1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hidden="1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hidden="1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hidden="1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hidden="1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hidden="1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hidden="1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hidden="1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hidden="1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hidden="1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hidden="1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hidden="1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hidden="1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hidden="1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hidden="1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hidden="1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hidden="1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hidden="1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hidden="1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hidden="1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hidden="1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hidden="1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hidden="1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hidden="1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hidden="1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hidden="1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hidden="1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hidden="1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hidden="1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hidden="1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hidden="1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hidden="1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hidden="1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hidden="1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hidden="1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  <row r="249" spans="1:20" x14ac:dyDescent="0.3">
      <c r="A249">
        <v>325</v>
      </c>
      <c r="B249" t="s">
        <v>224</v>
      </c>
      <c r="C249" t="s">
        <v>216</v>
      </c>
      <c r="D249" t="s">
        <v>31</v>
      </c>
      <c r="E249" t="s">
        <v>32</v>
      </c>
      <c r="F249" s="2">
        <v>46022</v>
      </c>
      <c r="G249">
        <v>2025</v>
      </c>
      <c r="H249" t="s">
        <v>33</v>
      </c>
      <c r="I249" t="s">
        <v>404</v>
      </c>
      <c r="J249">
        <v>1</v>
      </c>
      <c r="K249">
        <v>8</v>
      </c>
      <c r="L249">
        <v>8</v>
      </c>
      <c r="M249">
        <v>1</v>
      </c>
      <c r="N249">
        <v>1</v>
      </c>
      <c r="O249" t="s">
        <v>35</v>
      </c>
      <c r="P249" t="s">
        <v>35</v>
      </c>
      <c r="Q249" t="s">
        <v>408</v>
      </c>
      <c r="R249">
        <v>0</v>
      </c>
      <c r="S249">
        <v>0</v>
      </c>
      <c r="T249" t="s">
        <v>31</v>
      </c>
    </row>
  </sheetData>
  <autoFilter ref="A1:T248" xr:uid="{00000000-0001-0000-0200-000000000000}">
    <filterColumn colId="1">
      <filters>
        <filter val="Número de programas nuevos con registro calificado aprobado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T180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hidden="1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hidden="1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hidden="1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hidden="1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hidden="1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hidden="1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hidden="1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hidden="1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hidden="1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hidden="1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hidden="1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hidden="1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hidden="1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hidden="1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hidden="1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hidden="1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hidden="1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hidden="1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hidden="1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hidden="1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hidden="1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hidden="1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hidden="1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hidden="1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hidden="1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hidden="1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hidden="1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hidden="1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hidden="1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hidden="1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hidden="1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hidden="1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hidden="1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hidden="1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hidden="1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hidden="1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hidden="1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hidden="1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hidden="1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hidden="1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hidden="1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hidden="1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hidden="1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hidden="1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hidden="1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hidden="1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hidden="1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hidden="1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hidden="1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hidden="1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hidden="1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hidden="1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hidden="1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hidden="1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hidden="1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hidden="1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hidden="1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hidden="1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hidden="1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hidden="1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hidden="1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hidden="1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hidden="1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hidden="1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hidden="1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hidden="1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hidden="1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hidden="1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hidden="1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hidden="1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hidden="1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hidden="1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hidden="1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hidden="1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hidden="1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hidden="1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hidden="1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hidden="1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hidden="1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hidden="1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hidden="1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hidden="1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hidden="1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hidden="1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hidden="1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hidden="1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hidden="1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hidden="1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hidden="1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hidden="1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hidden="1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hidden="1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hidden="1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hidden="1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hidden="1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hidden="1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hidden="1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hidden="1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hidden="1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hidden="1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hidden="1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hidden="1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hidden="1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hidden="1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hidden="1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hidden="1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hidden="1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hidden="1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hidden="1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hidden="1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hidden="1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hidden="1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hidden="1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hidden="1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hidden="1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hidden="1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hidden="1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hidden="1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hidden="1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hidden="1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hidden="1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hidden="1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hidden="1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hidden="1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hidden="1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hidden="1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hidden="1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hidden="1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hidden="1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hidden="1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hidden="1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hidden="1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hidden="1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hidden="1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hidden="1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hidden="1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hidden="1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hidden="1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hidden="1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hidden="1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hidden="1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hidden="1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hidden="1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hidden="1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hidden="1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hidden="1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hidden="1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hidden="1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hidden="1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hidden="1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hidden="1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hidden="1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hidden="1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hidden="1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hidden="1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hidden="1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hidden="1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hidden="1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hidden="1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hidden="1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hidden="1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hidden="1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hidden="1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hidden="1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hidden="1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hidden="1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hidden="1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hidden="1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hidden="1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hidden="1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hidden="1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hidden="1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hidden="1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hidden="1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hidden="1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>
    <filterColumn colId="1">
      <filters>
        <filter val="Programas acreditables acreditados Sede Bogotá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Unificado</vt:lpstr>
      <vt:lpstr>Unificado (2)</vt:lpstr>
      <vt:lpstr>Semestral_Original</vt:lpstr>
      <vt:lpstr>Base_Indicadores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2026-02-19T06:10:43Z</dcterms:modified>
</cp:coreProperties>
</file>