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187" documentId="11_C54DB9D477E07092D1C9E253F65DD242EE9209D1" xr6:coauthVersionLast="47" xr6:coauthVersionMax="47" xr10:uidLastSave="{9400588B-9CC1-4815-B58E-DB3214ADB68A}"/>
  <bookViews>
    <workbookView xWindow="-108" yWindow="-108" windowWidth="23256" windowHeight="12456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Unificado!$A$1:$AD$658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24" i="1" l="1"/>
  <c r="M281" i="1"/>
  <c r="M282" i="1"/>
  <c r="L503" i="1"/>
  <c r="L532" i="1" s="1"/>
  <c r="M23" i="1"/>
  <c r="M22" i="1"/>
  <c r="M21" i="1"/>
  <c r="M20" i="1"/>
  <c r="M19" i="1"/>
  <c r="M18" i="1"/>
  <c r="M17" i="1"/>
  <c r="M16" i="1"/>
  <c r="M15" i="1"/>
  <c r="M14" i="1"/>
  <c r="N521" i="1"/>
  <c r="N226" i="1"/>
  <c r="N225" i="1"/>
  <c r="N224" i="1"/>
  <c r="N223" i="1"/>
  <c r="N222" i="1"/>
  <c r="N221" i="1"/>
  <c r="N220" i="1"/>
  <c r="N219" i="1"/>
  <c r="M226" i="1"/>
  <c r="M225" i="1"/>
  <c r="M224" i="1"/>
  <c r="M223" i="1"/>
  <c r="M222" i="1"/>
  <c r="M221" i="1"/>
  <c r="M220" i="1"/>
  <c r="M219" i="1"/>
  <c r="M521" i="1"/>
  <c r="L479" i="1"/>
  <c r="L478" i="1"/>
  <c r="K531" i="1"/>
  <c r="L531" i="1"/>
  <c r="L392" i="1"/>
  <c r="L393" i="1"/>
  <c r="L484" i="1"/>
  <c r="L428" i="1"/>
  <c r="L451" i="1"/>
  <c r="L450" i="1"/>
  <c r="L443" i="1"/>
  <c r="L442" i="1"/>
  <c r="L483" i="1"/>
  <c r="L435" i="1"/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L530" i="1"/>
  <c r="K530" i="1"/>
  <c r="N529" i="1"/>
  <c r="M529" i="1"/>
  <c r="L528" i="1"/>
  <c r="K528" i="1"/>
  <c r="N526" i="1"/>
  <c r="M526" i="1"/>
  <c r="N525" i="1"/>
  <c r="M525" i="1"/>
  <c r="N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K443" i="1"/>
  <c r="K442" i="1"/>
  <c r="L439" i="1"/>
  <c r="N439" i="1" s="1"/>
  <c r="L438" i="1"/>
  <c r="M438" i="1" s="1"/>
  <c r="K437" i="1"/>
  <c r="K436" i="1"/>
  <c r="K483" i="1"/>
  <c r="N434" i="1"/>
  <c r="N433" i="1"/>
  <c r="K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L431" i="1"/>
  <c r="M431" i="1" s="1"/>
  <c r="K430" i="1"/>
  <c r="K534" i="1" s="1"/>
  <c r="L430" i="1"/>
  <c r="K429" i="1"/>
  <c r="M432" i="1" l="1"/>
  <c r="L534" i="1"/>
  <c r="M534" i="1" s="1"/>
  <c r="M430" i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533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N392" i="1"/>
  <c r="N534" i="1" l="1"/>
  <c r="N533" i="1"/>
  <c r="M533" i="1"/>
  <c r="N393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519" i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<sst xmlns="http://schemas.openxmlformats.org/spreadsheetml/2006/main" count="27931" uniqueCount="594">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</sst>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8"/>
  <sheetViews>
    <sheetView tabSelected="1"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f t="shared" ref="M14:M23" si="4">+L14/K14</f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f t="shared" si="4"/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f t="shared" si="4"/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f t="shared" si="4"/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f t="shared" si="4"/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f t="shared" si="4"/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f t="shared" si="4"/>
        <v>1.0034695195972696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f t="shared" si="4"/>
        <v>1.0173851646479608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f t="shared" si="4"/>
        <v>1.0173851646479608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f t="shared" si="4"/>
        <v>1.053529477570198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5">YEAR(F26)</f>
        <v>2018</v>
      </c>
      <c r="H26" s="3" t="str">
        <f t="shared" ref="H26:H37" si="6">PROPER(TEXT(F26,"mmmm"))</f>
        <v>Junio</v>
      </c>
      <c r="I26" s="3" t="str">
        <f t="shared" ref="I26:I37" si="7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5"/>
        <v>2018</v>
      </c>
      <c r="H27" s="3" t="str">
        <f t="shared" si="6"/>
        <v>Diciembre</v>
      </c>
      <c r="I27" s="3" t="str">
        <f t="shared" si="7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5"/>
        <v>2018</v>
      </c>
      <c r="H28" s="3" t="str">
        <f t="shared" si="6"/>
        <v>Diciembre</v>
      </c>
      <c r="I28" s="3" t="str">
        <f t="shared" si="7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5"/>
        <v>2019</v>
      </c>
      <c r="H29" s="3" t="str">
        <f t="shared" si="6"/>
        <v>Junio</v>
      </c>
      <c r="I29" s="3" t="str">
        <f t="shared" si="7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5"/>
        <v>2019</v>
      </c>
      <c r="H30" s="3" t="str">
        <f t="shared" si="6"/>
        <v>Diciembre</v>
      </c>
      <c r="I30" s="3" t="str">
        <f t="shared" si="7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5"/>
        <v>2019</v>
      </c>
      <c r="H31" s="3" t="str">
        <f t="shared" si="6"/>
        <v>Diciembre</v>
      </c>
      <c r="I31" s="3" t="str">
        <f t="shared" si="7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5"/>
        <v>2020</v>
      </c>
      <c r="H32" s="3" t="str">
        <f t="shared" si="6"/>
        <v>Junio</v>
      </c>
      <c r="I32" s="3" t="str">
        <f t="shared" si="7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5"/>
        <v>2020</v>
      </c>
      <c r="H33" s="3" t="str">
        <f t="shared" si="6"/>
        <v>Diciembre</v>
      </c>
      <c r="I33" s="3" t="str">
        <f t="shared" si="7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5"/>
        <v>2020</v>
      </c>
      <c r="H34" s="3" t="str">
        <f t="shared" si="6"/>
        <v>Diciembre</v>
      </c>
      <c r="I34" s="3" t="str">
        <f t="shared" si="7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5"/>
        <v>2021</v>
      </c>
      <c r="H35" s="3" t="str">
        <f t="shared" si="6"/>
        <v>Junio</v>
      </c>
      <c r="I35" s="3" t="str">
        <f t="shared" si="7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5"/>
        <v>2021</v>
      </c>
      <c r="H36" s="3" t="str">
        <f t="shared" si="6"/>
        <v>Diciembre</v>
      </c>
      <c r="I36" s="3" t="str">
        <f t="shared" si="7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5"/>
        <v>2021</v>
      </c>
      <c r="H37" s="3" t="str">
        <f t="shared" si="6"/>
        <v>Diciembre</v>
      </c>
      <c r="I37" s="3" t="str">
        <f t="shared" si="7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1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1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1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1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1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1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1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1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1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1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1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1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1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1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1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1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1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1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1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1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1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1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1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1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1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5">+L92/K92</f>
        <v>0.99574122895964312</v>
      </c>
      <c r="N92" s="3">
        <f t="shared" ref="N92:N97" si="16">+L92/K92</f>
        <v>0.99574122895964312</v>
      </c>
      <c r="O92" s="3" t="s">
        <v>35</v>
      </c>
      <c r="P92" s="3" t="s">
        <v>35</v>
      </c>
      <c r="Q92" s="3" t="str">
        <f t="shared" si="11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5"/>
        <v>1.0057843157653814</v>
      </c>
      <c r="N93" s="3">
        <f t="shared" si="16"/>
        <v>1.0057843157653814</v>
      </c>
      <c r="O93" s="3" t="s">
        <v>35</v>
      </c>
      <c r="P93" s="3" t="s">
        <v>35</v>
      </c>
      <c r="Q93" s="3" t="str">
        <f t="shared" si="11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5"/>
        <v>1.0006983598812789</v>
      </c>
      <c r="N94" s="3">
        <f t="shared" si="16"/>
        <v>1.0006983598812789</v>
      </c>
      <c r="O94" s="3" t="s">
        <v>35</v>
      </c>
      <c r="P94" s="3" t="s">
        <v>35</v>
      </c>
      <c r="Q94" s="3" t="str">
        <f t="shared" si="11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5"/>
        <v>1.0494762288477035</v>
      </c>
      <c r="N95" s="3">
        <f t="shared" si="16"/>
        <v>1.0494762288477035</v>
      </c>
      <c r="O95" s="3" t="s">
        <v>35</v>
      </c>
      <c r="P95" s="3" t="s">
        <v>35</v>
      </c>
      <c r="Q95" s="3" t="str">
        <f t="shared" si="11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5"/>
        <v>1.0102823788631401</v>
      </c>
      <c r="N96" s="3">
        <f t="shared" si="16"/>
        <v>1.0102823788631401</v>
      </c>
      <c r="O96" s="3" t="s">
        <v>35</v>
      </c>
      <c r="P96" s="3" t="s">
        <v>35</v>
      </c>
      <c r="Q96" s="3" t="str">
        <f t="shared" si="11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5"/>
        <v>1.0294735596129376</v>
      </c>
      <c r="N97" s="3">
        <f t="shared" si="16"/>
        <v>1.0294735596129376</v>
      </c>
      <c r="O97" s="3" t="s">
        <v>35</v>
      </c>
      <c r="P97" s="3" t="s">
        <v>35</v>
      </c>
      <c r="Q97" s="3" t="str">
        <f t="shared" si="11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7">YEAR(F98)</f>
        <v>2018</v>
      </c>
      <c r="H98" s="3" t="str">
        <f t="shared" ref="H98:H109" si="18">PROPER(TEXT(F98,"mmmm"))</f>
        <v>Junio</v>
      </c>
      <c r="I98" s="3" t="str">
        <f t="shared" ref="I98:I109" si="19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1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7"/>
        <v>2018</v>
      </c>
      <c r="H99" s="3" t="str">
        <f t="shared" si="18"/>
        <v>Diciembre</v>
      </c>
      <c r="I99" s="3" t="str">
        <f t="shared" si="19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1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7"/>
        <v>2018</v>
      </c>
      <c r="H100" s="3" t="str">
        <f t="shared" si="18"/>
        <v>Diciembre</v>
      </c>
      <c r="I100" s="3" t="str">
        <f t="shared" si="19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1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7"/>
        <v>2019</v>
      </c>
      <c r="H101" s="3" t="str">
        <f t="shared" si="18"/>
        <v>Junio</v>
      </c>
      <c r="I101" s="3" t="str">
        <f t="shared" si="19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1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7"/>
        <v>2019</v>
      </c>
      <c r="H102" s="3" t="str">
        <f t="shared" si="18"/>
        <v>Diciembre</v>
      </c>
      <c r="I102" s="3" t="str">
        <f t="shared" si="19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1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7"/>
        <v>2019</v>
      </c>
      <c r="H103" s="3" t="str">
        <f t="shared" si="18"/>
        <v>Diciembre</v>
      </c>
      <c r="I103" s="3" t="str">
        <f t="shared" si="19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1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7"/>
        <v>2020</v>
      </c>
      <c r="H104" s="3" t="str">
        <f t="shared" si="18"/>
        <v>Junio</v>
      </c>
      <c r="I104" s="3" t="str">
        <f t="shared" si="19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1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7"/>
        <v>2020</v>
      </c>
      <c r="H105" s="3" t="str">
        <f t="shared" si="18"/>
        <v>Diciembre</v>
      </c>
      <c r="I105" s="3" t="str">
        <f t="shared" si="19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1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7"/>
        <v>2020</v>
      </c>
      <c r="H106" s="3" t="str">
        <f t="shared" si="18"/>
        <v>Diciembre</v>
      </c>
      <c r="I106" s="3" t="str">
        <f t="shared" si="19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1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7"/>
        <v>2021</v>
      </c>
      <c r="H107" s="3" t="str">
        <f t="shared" si="18"/>
        <v>Junio</v>
      </c>
      <c r="I107" s="3" t="str">
        <f t="shared" si="19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1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7"/>
        <v>2021</v>
      </c>
      <c r="H108" s="3" t="str">
        <f t="shared" si="18"/>
        <v>Diciembre</v>
      </c>
      <c r="I108" s="3" t="str">
        <f t="shared" si="19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1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7"/>
        <v>2021</v>
      </c>
      <c r="H109" s="3" t="str">
        <f t="shared" si="18"/>
        <v>Diciembre</v>
      </c>
      <c r="I109" s="3" t="str">
        <f t="shared" si="19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1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1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1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1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1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1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1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0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1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0"/>
        <v>1.2</v>
      </c>
      <c r="N117" s="3">
        <f t="shared" ref="N117:N121" si="21">+L117/K117</f>
        <v>1.2</v>
      </c>
      <c r="O117" s="3" t="s">
        <v>35</v>
      </c>
      <c r="P117" s="3" t="s">
        <v>35</v>
      </c>
      <c r="Q117" s="3" t="str">
        <f t="shared" si="11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0"/>
        <v>1.163142485361093</v>
      </c>
      <c r="N118" s="3">
        <f t="shared" si="21"/>
        <v>1.163142485361093</v>
      </c>
      <c r="O118" s="3" t="s">
        <v>35</v>
      </c>
      <c r="P118" s="3" t="s">
        <v>35</v>
      </c>
      <c r="Q118" s="3" t="str">
        <f t="shared" si="11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0"/>
        <v>1.1039058587881823</v>
      </c>
      <c r="N119" s="3">
        <f t="shared" si="21"/>
        <v>1.1039058587881823</v>
      </c>
      <c r="O119" s="3" t="s">
        <v>35</v>
      </c>
      <c r="P119" s="3" t="s">
        <v>35</v>
      </c>
      <c r="Q119" s="3" t="str">
        <f t="shared" si="11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0"/>
        <v>1.1600697037590242</v>
      </c>
      <c r="N120" s="3">
        <f t="shared" si="21"/>
        <v>1.1600697037590242</v>
      </c>
      <c r="O120" s="3" t="s">
        <v>35</v>
      </c>
      <c r="P120" s="3" t="s">
        <v>35</v>
      </c>
      <c r="Q120" s="3" t="str">
        <f t="shared" si="11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0"/>
        <v>1.13206840594183</v>
      </c>
      <c r="N121" s="3">
        <f t="shared" si="21"/>
        <v>1.13206840594183</v>
      </c>
      <c r="O121" s="3" t="s">
        <v>35</v>
      </c>
      <c r="P121" s="3" t="s">
        <v>35</v>
      </c>
      <c r="Q121" s="3" t="str">
        <f t="shared" si="11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1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1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1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1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1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1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1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1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1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2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2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2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2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2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2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2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2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2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2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2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2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2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2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2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2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2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2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2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2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2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2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2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2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2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3">IF(+L156/K156&gt;1.3,1.3,L156/K156)</f>
        <v>1.3</v>
      </c>
      <c r="N156" s="3">
        <f t="shared" ref="N156:N162" si="24">+L156/K156</f>
        <v>1.4279999999999999</v>
      </c>
      <c r="O156" s="3" t="s">
        <v>58</v>
      </c>
      <c r="P156" s="3" t="s">
        <v>58</v>
      </c>
      <c r="Q156" s="3" t="str">
        <f t="shared" si="22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3"/>
        <v>1.1419999999999999</v>
      </c>
      <c r="N157" s="3">
        <f t="shared" si="24"/>
        <v>1.1419999999999999</v>
      </c>
      <c r="O157" s="3" t="s">
        <v>58</v>
      </c>
      <c r="P157" s="3" t="s">
        <v>58</v>
      </c>
      <c r="Q157" s="3" t="str">
        <f t="shared" si="22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3"/>
        <v>1.1419999999999999</v>
      </c>
      <c r="N158" s="3">
        <f t="shared" si="24"/>
        <v>1.1419999999999999</v>
      </c>
      <c r="O158" s="3" t="s">
        <v>58</v>
      </c>
      <c r="P158" s="3" t="s">
        <v>58</v>
      </c>
      <c r="Q158" s="3" t="str">
        <f t="shared" si="22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3"/>
        <v>0.86</v>
      </c>
      <c r="N159" s="3">
        <f t="shared" si="24"/>
        <v>0.86</v>
      </c>
      <c r="O159" s="3" t="s">
        <v>58</v>
      </c>
      <c r="P159" s="3" t="s">
        <v>58</v>
      </c>
      <c r="Q159" s="3" t="str">
        <f t="shared" si="22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3"/>
        <v>1.26</v>
      </c>
      <c r="N160" s="3">
        <f t="shared" si="24"/>
        <v>1.26</v>
      </c>
      <c r="O160" s="3" t="s">
        <v>58</v>
      </c>
      <c r="P160" s="3" t="s">
        <v>58</v>
      </c>
      <c r="Q160" s="3" t="str">
        <f t="shared" si="22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3"/>
        <v>1.26</v>
      </c>
      <c r="N161" s="3">
        <f t="shared" si="24"/>
        <v>1.26</v>
      </c>
      <c r="O161" s="3" t="s">
        <v>58</v>
      </c>
      <c r="P161" s="3" t="s">
        <v>58</v>
      </c>
      <c r="Q161" s="3" t="str">
        <f t="shared" si="22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3"/>
        <v>1.02</v>
      </c>
      <c r="N162" s="3">
        <f t="shared" si="24"/>
        <v>1.02</v>
      </c>
      <c r="O162" s="3" t="s">
        <v>58</v>
      </c>
      <c r="P162" s="3" t="s">
        <v>58</v>
      </c>
      <c r="Q162" s="3" t="str">
        <f t="shared" si="22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3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2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2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5">+L165/K165</f>
        <v>1.2157894736842105</v>
      </c>
      <c r="N165" s="3">
        <f t="shared" ref="N165:N174" si="26">+L165/K165</f>
        <v>1.2157894736842105</v>
      </c>
      <c r="O165" s="3" t="s">
        <v>58</v>
      </c>
      <c r="P165" s="3" t="s">
        <v>58</v>
      </c>
      <c r="Q165" s="3" t="str">
        <f t="shared" si="22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5"/>
        <v>1.2157894736842105</v>
      </c>
      <c r="N166" s="3">
        <f t="shared" si="26"/>
        <v>1.2157894736842105</v>
      </c>
      <c r="O166" s="3" t="s">
        <v>58</v>
      </c>
      <c r="P166" s="3" t="s">
        <v>58</v>
      </c>
      <c r="Q166" s="3" t="str">
        <f t="shared" si="22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5"/>
        <v>0.99891304347826093</v>
      </c>
      <c r="N167" s="3">
        <f t="shared" si="26"/>
        <v>0.99891304347826093</v>
      </c>
      <c r="O167" s="3" t="s">
        <v>58</v>
      </c>
      <c r="P167" s="3" t="s">
        <v>58</v>
      </c>
      <c r="Q167" s="3" t="str">
        <f t="shared" si="22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5"/>
        <v>0.99239130434782608</v>
      </c>
      <c r="N168" s="3">
        <f t="shared" si="26"/>
        <v>0.99239130434782608</v>
      </c>
      <c r="O168" s="3" t="s">
        <v>58</v>
      </c>
      <c r="P168" s="3" t="s">
        <v>58</v>
      </c>
      <c r="Q168" s="3" t="str">
        <f t="shared" si="22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5"/>
        <v>0.99239130434782608</v>
      </c>
      <c r="N169" s="3">
        <f t="shared" si="26"/>
        <v>0.99239130434782608</v>
      </c>
      <c r="O169" s="3" t="s">
        <v>58</v>
      </c>
      <c r="P169" s="3" t="s">
        <v>58</v>
      </c>
      <c r="Q169" s="3" t="str">
        <f t="shared" si="22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5"/>
        <v>1.018888888888889</v>
      </c>
      <c r="N170" s="3">
        <f t="shared" si="26"/>
        <v>1.018888888888889</v>
      </c>
      <c r="O170" s="3" t="s">
        <v>58</v>
      </c>
      <c r="P170" s="3" t="s">
        <v>58</v>
      </c>
      <c r="Q170" s="3" t="str">
        <f t="shared" si="22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5"/>
        <v>1.038888888888889</v>
      </c>
      <c r="N171" s="3">
        <f t="shared" si="26"/>
        <v>1.038888888888889</v>
      </c>
      <c r="O171" s="3" t="s">
        <v>58</v>
      </c>
      <c r="P171" s="3" t="s">
        <v>58</v>
      </c>
      <c r="Q171" s="3" t="str">
        <f t="shared" si="22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5"/>
        <v>1.038888888888889</v>
      </c>
      <c r="N172" s="3">
        <f t="shared" si="26"/>
        <v>1.038888888888889</v>
      </c>
      <c r="O172" s="3" t="s">
        <v>58</v>
      </c>
      <c r="P172" s="3" t="s">
        <v>58</v>
      </c>
      <c r="Q172" s="3" t="str">
        <f t="shared" si="22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5"/>
        <v>1.034516129032258</v>
      </c>
      <c r="N173" s="3">
        <f t="shared" si="26"/>
        <v>1.034516129032258</v>
      </c>
      <c r="O173" s="3" t="s">
        <v>58</v>
      </c>
      <c r="P173" s="3" t="s">
        <v>58</v>
      </c>
      <c r="Q173" s="3" t="str">
        <f t="shared" si="22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5"/>
        <v>1.0106382978723405</v>
      </c>
      <c r="N174" s="3">
        <f t="shared" si="26"/>
        <v>1.0106382978723405</v>
      </c>
      <c r="O174" s="3" t="s">
        <v>58</v>
      </c>
      <c r="P174" s="3" t="s">
        <v>58</v>
      </c>
      <c r="Q174" s="3" t="str">
        <f t="shared" si="22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2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7">+L176/K176</f>
        <v>1.1384931506849314</v>
      </c>
      <c r="N176" s="3">
        <f t="shared" ref="N176:N185" si="28">+L176/K176</f>
        <v>1.1384931506849314</v>
      </c>
      <c r="O176" s="3" t="s">
        <v>58</v>
      </c>
      <c r="P176" s="3" t="s">
        <v>58</v>
      </c>
      <c r="Q176" s="3" t="str">
        <f t="shared" si="22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7"/>
        <v>1.1384931506849314</v>
      </c>
      <c r="N177" s="3">
        <f t="shared" si="28"/>
        <v>1.1384931506849314</v>
      </c>
      <c r="O177" s="3" t="s">
        <v>58</v>
      </c>
      <c r="P177" s="3" t="s">
        <v>58</v>
      </c>
      <c r="Q177" s="3" t="str">
        <f t="shared" si="22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7"/>
        <v>0.98975000000000013</v>
      </c>
      <c r="N178" s="3">
        <f t="shared" si="28"/>
        <v>0.98975000000000013</v>
      </c>
      <c r="O178" s="3" t="s">
        <v>58</v>
      </c>
      <c r="P178" s="3" t="s">
        <v>58</v>
      </c>
      <c r="Q178" s="3" t="str">
        <f t="shared" si="22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7"/>
        <v>1.0238749999999999</v>
      </c>
      <c r="N179" s="3">
        <f t="shared" si="28"/>
        <v>1.0238749999999999</v>
      </c>
      <c r="O179" s="3" t="s">
        <v>58</v>
      </c>
      <c r="P179" s="3" t="s">
        <v>58</v>
      </c>
      <c r="Q179" s="3" t="str">
        <f t="shared" si="22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7"/>
        <v>1.0238749999999999</v>
      </c>
      <c r="N180" s="3">
        <f t="shared" si="28"/>
        <v>1.0238749999999999</v>
      </c>
      <c r="O180" s="3" t="s">
        <v>58</v>
      </c>
      <c r="P180" s="3" t="s">
        <v>58</v>
      </c>
      <c r="Q180" s="3" t="str">
        <f t="shared" si="22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7"/>
        <v>1.0248148148148148</v>
      </c>
      <c r="N181" s="3">
        <f t="shared" si="28"/>
        <v>1.0248148148148148</v>
      </c>
      <c r="O181" s="3" t="s">
        <v>58</v>
      </c>
      <c r="P181" s="3" t="s">
        <v>58</v>
      </c>
      <c r="Q181" s="3" t="str">
        <f t="shared" si="22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7"/>
        <v>1.0987654320987654</v>
      </c>
      <c r="N182" s="3">
        <f t="shared" si="28"/>
        <v>1.0987654320987654</v>
      </c>
      <c r="O182" s="3" t="s">
        <v>58</v>
      </c>
      <c r="P182" s="3" t="s">
        <v>58</v>
      </c>
      <c r="Q182" s="3" t="str">
        <f t="shared" si="22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7"/>
        <v>1.0987654320987654</v>
      </c>
      <c r="N183" s="3">
        <f t="shared" si="28"/>
        <v>1.0987654320987654</v>
      </c>
      <c r="O183" s="3" t="s">
        <v>58</v>
      </c>
      <c r="P183" s="3" t="s">
        <v>58</v>
      </c>
      <c r="Q183" s="3" t="str">
        <f t="shared" si="22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7"/>
        <v>1.125</v>
      </c>
      <c r="N184" s="3">
        <f t="shared" si="28"/>
        <v>1.125</v>
      </c>
      <c r="O184" s="3" t="s">
        <v>58</v>
      </c>
      <c r="P184" s="3" t="s">
        <v>58</v>
      </c>
      <c r="Q184" s="3" t="str">
        <f t="shared" si="22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7"/>
        <v>1.0576470588235294</v>
      </c>
      <c r="N185" s="3">
        <f t="shared" si="28"/>
        <v>1.0576470588235294</v>
      </c>
      <c r="O185" s="3" t="s">
        <v>58</v>
      </c>
      <c r="P185" s="3" t="s">
        <v>58</v>
      </c>
      <c r="Q185" s="3" t="str">
        <f t="shared" si="22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2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2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2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2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2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9">YEAR(F191)</f>
        <v>2017</v>
      </c>
      <c r="H191" s="3" t="str">
        <f t="shared" ref="H191:H196" si="30">PROPER(TEXT(F191,"mmmm"))</f>
        <v>Diciembre</v>
      </c>
      <c r="I191" s="3" t="str">
        <f t="shared" ref="I191:I196" si="31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2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9"/>
        <v>2017</v>
      </c>
      <c r="H192" s="3" t="str">
        <f t="shared" si="30"/>
        <v>Diciembre</v>
      </c>
      <c r="I192" s="3" t="str">
        <f t="shared" si="31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2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9"/>
        <v>2019</v>
      </c>
      <c r="H193" s="3" t="str">
        <f t="shared" si="30"/>
        <v>Diciembre</v>
      </c>
      <c r="I193" s="3" t="str">
        <f t="shared" si="31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2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9"/>
        <v>2019</v>
      </c>
      <c r="H194" s="3" t="str">
        <f t="shared" si="30"/>
        <v>Diciembre</v>
      </c>
      <c r="I194" s="3" t="str">
        <f t="shared" si="31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2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9"/>
        <v>2021</v>
      </c>
      <c r="H195" s="3" t="str">
        <f t="shared" si="30"/>
        <v>Diciembre</v>
      </c>
      <c r="I195" s="3" t="str">
        <f t="shared" si="31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2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9"/>
        <v>2021</v>
      </c>
      <c r="H196" s="3" t="str">
        <f t="shared" si="30"/>
        <v>Diciembre</v>
      </c>
      <c r="I196" s="3" t="str">
        <f t="shared" si="31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2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2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2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2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2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3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2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3"/>
        <v>1.0990358226202512</v>
      </c>
      <c r="N202" s="3">
        <f t="shared" ref="N202:N210" si="34">+L202/K202</f>
        <v>1.0990358226202512</v>
      </c>
      <c r="O202" s="3" t="s">
        <v>143</v>
      </c>
      <c r="P202" s="3" t="s">
        <v>143</v>
      </c>
      <c r="Q202" s="3" t="str">
        <f t="shared" si="32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3"/>
        <v>1.0769292461236857</v>
      </c>
      <c r="N203" s="3">
        <f t="shared" si="34"/>
        <v>1.0769292461236857</v>
      </c>
      <c r="O203" s="3" t="s">
        <v>143</v>
      </c>
      <c r="P203" s="3" t="s">
        <v>143</v>
      </c>
      <c r="Q203" s="3" t="str">
        <f t="shared" si="32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3"/>
        <v>1.0463235542785188</v>
      </c>
      <c r="N204" s="3">
        <f t="shared" si="34"/>
        <v>1.0463235542785188</v>
      </c>
      <c r="O204" s="3" t="s">
        <v>143</v>
      </c>
      <c r="P204" s="3" t="s">
        <v>143</v>
      </c>
      <c r="Q204" s="3" t="str">
        <f t="shared" si="32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3"/>
        <v>1.0233644861783664</v>
      </c>
      <c r="N205" s="3">
        <f t="shared" si="34"/>
        <v>1.0233644861783664</v>
      </c>
      <c r="O205" s="3" t="s">
        <v>143</v>
      </c>
      <c r="P205" s="3" t="s">
        <v>143</v>
      </c>
      <c r="Q205" s="3" t="str">
        <f t="shared" si="32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3"/>
        <v>1.0340675895505487</v>
      </c>
      <c r="N206" s="3">
        <f t="shared" si="34"/>
        <v>1.0340675895505487</v>
      </c>
      <c r="O206" s="3" t="s">
        <v>143</v>
      </c>
      <c r="P206" s="3" t="s">
        <v>143</v>
      </c>
      <c r="Q206" s="3" t="str">
        <f t="shared" si="32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3"/>
        <v>1.0200828539694751</v>
      </c>
      <c r="N207" s="3">
        <f t="shared" si="34"/>
        <v>1.0200828539694751</v>
      </c>
      <c r="O207" s="3" t="s">
        <v>143</v>
      </c>
      <c r="P207" s="3" t="s">
        <v>143</v>
      </c>
      <c r="Q207" s="3" t="str">
        <f t="shared" si="32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3"/>
        <v>1.0365164919765848</v>
      </c>
      <c r="N208" s="3">
        <f t="shared" si="34"/>
        <v>1.0365164919765848</v>
      </c>
      <c r="O208" s="3" t="s">
        <v>143</v>
      </c>
      <c r="P208" s="3" t="s">
        <v>143</v>
      </c>
      <c r="Q208" s="3" t="str">
        <f t="shared" si="32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3"/>
        <v>1.0284101409296484</v>
      </c>
      <c r="N209" s="3">
        <f t="shared" si="34"/>
        <v>1.0284101409296484</v>
      </c>
      <c r="O209" s="3" t="s">
        <v>143</v>
      </c>
      <c r="P209" s="3" t="s">
        <v>143</v>
      </c>
      <c r="Q209" s="3" t="str">
        <f t="shared" si="32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3"/>
        <v>1.1176678071147821</v>
      </c>
      <c r="N210" s="3">
        <f t="shared" si="34"/>
        <v>1.1176678071147821</v>
      </c>
      <c r="O210" s="3" t="s">
        <v>143</v>
      </c>
      <c r="P210" s="3" t="s">
        <v>143</v>
      </c>
      <c r="Q210" s="3" t="str">
        <f t="shared" si="32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2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2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2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2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2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2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/>
      <c r="N217" s="3"/>
      <c r="O217" s="3" t="s">
        <v>143</v>
      </c>
      <c r="P217" s="3" t="s">
        <v>143</v>
      </c>
      <c r="Q217" s="3" t="str">
        <f t="shared" si="32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/>
      <c r="N218" s="3"/>
      <c r="O218" s="3" t="s">
        <v>143</v>
      </c>
      <c r="P218" s="3" t="s">
        <v>143</v>
      </c>
      <c r="Q218" s="3" t="str">
        <f t="shared" si="32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f t="shared" ref="M219:M226" si="35">IF(L219/K219&gt;1.3,1.3,L219/K219)</f>
        <v>1.3</v>
      </c>
      <c r="N219" s="3">
        <f>L219/K219</f>
        <v>1.6542728645151394</v>
      </c>
      <c r="O219" s="3" t="s">
        <v>143</v>
      </c>
      <c r="P219" s="3" t="s">
        <v>143</v>
      </c>
      <c r="Q219" s="3" t="str">
        <f t="shared" si="32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f t="shared" si="35"/>
        <v>1.3</v>
      </c>
      <c r="N220" s="3">
        <f t="shared" ref="N220:N226" si="36">L220/K220</f>
        <v>3.5975721079811076</v>
      </c>
      <c r="O220" s="3" t="s">
        <v>143</v>
      </c>
      <c r="P220" s="3" t="s">
        <v>143</v>
      </c>
      <c r="Q220" s="3" t="str">
        <f t="shared" si="32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f t="shared" si="35"/>
        <v>1.3</v>
      </c>
      <c r="N221" s="3">
        <f t="shared" si="36"/>
        <v>4.2650764615555667</v>
      </c>
      <c r="O221" s="3" t="s">
        <v>143</v>
      </c>
      <c r="P221" s="3" t="s">
        <v>143</v>
      </c>
      <c r="Q221" s="3" t="str">
        <f t="shared" si="32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f t="shared" si="35"/>
        <v>1.3</v>
      </c>
      <c r="N222" s="3">
        <f t="shared" si="36"/>
        <v>2.1506679157553927</v>
      </c>
      <c r="O222" s="3" t="s">
        <v>143</v>
      </c>
      <c r="P222" s="3" t="s">
        <v>143</v>
      </c>
      <c r="Q222" s="3" t="str">
        <f t="shared" si="32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f t="shared" si="35"/>
        <v>1.3</v>
      </c>
      <c r="N223" s="3">
        <f t="shared" si="36"/>
        <v>1.829676969334304</v>
      </c>
      <c r="O223" s="3" t="s">
        <v>143</v>
      </c>
      <c r="P223" s="3" t="s">
        <v>143</v>
      </c>
      <c r="Q223" s="3" t="str">
        <f t="shared" si="32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f t="shared" si="35"/>
        <v>1.3</v>
      </c>
      <c r="N224" s="3">
        <f t="shared" si="36"/>
        <v>1.8471782698182972</v>
      </c>
      <c r="O224" s="3" t="s">
        <v>143</v>
      </c>
      <c r="P224" s="3" t="s">
        <v>143</v>
      </c>
      <c r="Q224" s="3" t="str">
        <f t="shared" si="32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f t="shared" si="35"/>
        <v>1.3</v>
      </c>
      <c r="N225" s="3">
        <f t="shared" si="36"/>
        <v>1.8631019332578234</v>
      </c>
      <c r="O225" s="3" t="s">
        <v>143</v>
      </c>
      <c r="P225" s="3" t="s">
        <v>143</v>
      </c>
      <c r="Q225" s="3" t="str">
        <f t="shared" si="32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5674</v>
      </c>
      <c r="M226" s="3">
        <f t="shared" si="35"/>
        <v>1.2113578138343297</v>
      </c>
      <c r="N226" s="3">
        <f t="shared" si="36"/>
        <v>1.2113578138343297</v>
      </c>
      <c r="O226" s="3" t="s">
        <v>143</v>
      </c>
      <c r="P226" s="3" t="s">
        <v>143</v>
      </c>
      <c r="Q226" s="3" t="str">
        <f t="shared" si="32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2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2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2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2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2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2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2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2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2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7">+L236/K236</f>
        <v>1.3743493771565587</v>
      </c>
      <c r="N236" s="3">
        <f t="shared" ref="N236:N240" si="38">+L236/K236</f>
        <v>1.3743493771565587</v>
      </c>
      <c r="O236" s="3" t="s">
        <v>445</v>
      </c>
      <c r="P236" s="3" t="s">
        <v>445</v>
      </c>
      <c r="Q236" s="3" t="str">
        <f t="shared" si="32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7"/>
        <v>1.0010913364674279</v>
      </c>
      <c r="N237" s="3">
        <f t="shared" si="38"/>
        <v>1.0010913364674279</v>
      </c>
      <c r="O237" s="3" t="s">
        <v>445</v>
      </c>
      <c r="P237" s="3" t="s">
        <v>445</v>
      </c>
      <c r="Q237" s="3" t="str">
        <f t="shared" si="32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7"/>
        <v>1.0010913364674279</v>
      </c>
      <c r="N238" s="3">
        <f t="shared" si="38"/>
        <v>1.0010913364674279</v>
      </c>
      <c r="O238" s="3" t="s">
        <v>445</v>
      </c>
      <c r="P238" s="3" t="s">
        <v>445</v>
      </c>
      <c r="Q238" s="3" t="str">
        <f t="shared" si="32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7"/>
        <v>0.99999999999999978</v>
      </c>
      <c r="N239" s="3">
        <f t="shared" si="38"/>
        <v>0.99999999999999978</v>
      </c>
      <c r="O239" s="3" t="s">
        <v>445</v>
      </c>
      <c r="P239" s="3" t="s">
        <v>445</v>
      </c>
      <c r="Q239" s="3" t="str">
        <f t="shared" si="32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7"/>
        <v>0.99999999999999978</v>
      </c>
      <c r="N240" s="3">
        <f t="shared" si="38"/>
        <v>0.99999999999999978</v>
      </c>
      <c r="O240" s="3" t="s">
        <v>445</v>
      </c>
      <c r="P240" s="3" t="s">
        <v>445</v>
      </c>
      <c r="Q240" s="3" t="str">
        <f t="shared" si="32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2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9">IF(K242/L242&gt;1.3,1.3,K242/L242)</f>
        <v>1</v>
      </c>
      <c r="N242" s="3">
        <f t="shared" ref="N242:N247" si="40">+K242/L242</f>
        <v>1</v>
      </c>
      <c r="O242" s="3" t="s">
        <v>35</v>
      </c>
      <c r="P242" s="3" t="s">
        <v>35</v>
      </c>
      <c r="Q242" s="3" t="str">
        <f t="shared" si="32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9"/>
        <v>1.0416666666666667</v>
      </c>
      <c r="N243" s="3">
        <f t="shared" si="40"/>
        <v>1.0416666666666667</v>
      </c>
      <c r="O243" s="3" t="s">
        <v>35</v>
      </c>
      <c r="P243" s="3" t="s">
        <v>35</v>
      </c>
      <c r="Q243" s="3" t="str">
        <f t="shared" si="32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9"/>
        <v>1.0416666666666667</v>
      </c>
      <c r="N244" s="3">
        <f t="shared" si="40"/>
        <v>1.0416666666666667</v>
      </c>
      <c r="O244" s="3" t="s">
        <v>35</v>
      </c>
      <c r="P244" s="3" t="s">
        <v>35</v>
      </c>
      <c r="Q244" s="3" t="str">
        <f t="shared" si="32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9"/>
        <v>1</v>
      </c>
      <c r="N245" s="3">
        <f t="shared" si="40"/>
        <v>1</v>
      </c>
      <c r="O245" s="3" t="s">
        <v>35</v>
      </c>
      <c r="P245" s="3" t="s">
        <v>35</v>
      </c>
      <c r="Q245" s="3" t="str">
        <f t="shared" si="32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9"/>
        <v>1</v>
      </c>
      <c r="N246" s="3">
        <f t="shared" si="40"/>
        <v>1</v>
      </c>
      <c r="O246" s="3" t="s">
        <v>35</v>
      </c>
      <c r="P246" s="3" t="s">
        <v>35</v>
      </c>
      <c r="Q246" s="3" t="str">
        <f t="shared" si="32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9"/>
        <v>1.3</v>
      </c>
      <c r="N247" s="3">
        <f t="shared" si="40"/>
        <v>1.9230769230769231</v>
      </c>
      <c r="O247" s="3" t="s">
        <v>35</v>
      </c>
      <c r="P247" s="3" t="s">
        <v>35</v>
      </c>
      <c r="Q247" s="3" t="str">
        <f t="shared" si="32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2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1">+L249/K249</f>
        <v>0.97062146892655377</v>
      </c>
      <c r="N249" s="3">
        <f t="shared" ref="N249:N258" si="42">+L249/K249</f>
        <v>0.97062146892655377</v>
      </c>
      <c r="O249" s="3" t="s">
        <v>58</v>
      </c>
      <c r="P249" s="3" t="s">
        <v>58</v>
      </c>
      <c r="Q249" s="3" t="str">
        <f t="shared" si="32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1"/>
        <v>0.97062146892655377</v>
      </c>
      <c r="N250" s="3">
        <f t="shared" si="42"/>
        <v>0.97062146892655377</v>
      </c>
      <c r="O250" s="3" t="s">
        <v>58</v>
      </c>
      <c r="P250" s="3" t="s">
        <v>58</v>
      </c>
      <c r="Q250" s="3" t="str">
        <f t="shared" si="32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1"/>
        <v>0.97839080459770122</v>
      </c>
      <c r="N251" s="3">
        <f t="shared" si="42"/>
        <v>0.97839080459770122</v>
      </c>
      <c r="O251" s="3" t="s">
        <v>58</v>
      </c>
      <c r="P251" s="3" t="s">
        <v>58</v>
      </c>
      <c r="Q251" s="3" t="str">
        <f t="shared" si="32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1"/>
        <v>0.9813793103448275</v>
      </c>
      <c r="N252" s="3">
        <f t="shared" si="42"/>
        <v>0.9813793103448275</v>
      </c>
      <c r="O252" s="3" t="s">
        <v>58</v>
      </c>
      <c r="P252" s="3" t="s">
        <v>58</v>
      </c>
      <c r="Q252" s="3" t="str">
        <f t="shared" si="32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1"/>
        <v>0.9813793103448275</v>
      </c>
      <c r="N253" s="3">
        <f t="shared" si="42"/>
        <v>0.9813793103448275</v>
      </c>
      <c r="O253" s="3" t="s">
        <v>58</v>
      </c>
      <c r="P253" s="3" t="s">
        <v>58</v>
      </c>
      <c r="Q253" s="3" t="str">
        <f t="shared" si="32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1"/>
        <v>1.0015294117647058</v>
      </c>
      <c r="N254" s="3">
        <f t="shared" si="42"/>
        <v>1.0015294117647058</v>
      </c>
      <c r="O254" s="3" t="s">
        <v>58</v>
      </c>
      <c r="P254" s="3" t="s">
        <v>58</v>
      </c>
      <c r="Q254" s="3" t="str">
        <f t="shared" si="32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1"/>
        <v>1.0022352941176471</v>
      </c>
      <c r="N255" s="3">
        <f t="shared" si="42"/>
        <v>1.0022352941176471</v>
      </c>
      <c r="O255" s="3" t="s">
        <v>58</v>
      </c>
      <c r="P255" s="3" t="s">
        <v>58</v>
      </c>
      <c r="Q255" s="3" t="str">
        <f t="shared" si="32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1"/>
        <v>1.0022352941176471</v>
      </c>
      <c r="N256" s="3">
        <f t="shared" si="42"/>
        <v>1.0022352941176471</v>
      </c>
      <c r="O256" s="3" t="s">
        <v>58</v>
      </c>
      <c r="P256" s="3" t="s">
        <v>58</v>
      </c>
      <c r="Q256" s="3" t="str">
        <f t="shared" si="32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1"/>
        <v>1.0093348891481912</v>
      </c>
      <c r="N257" s="3">
        <f t="shared" si="42"/>
        <v>1.0093348891481912</v>
      </c>
      <c r="O257" s="3" t="s">
        <v>58</v>
      </c>
      <c r="P257" s="3" t="s">
        <v>58</v>
      </c>
      <c r="Q257" s="3" t="str">
        <f t="shared" si="32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1"/>
        <v>1.0011614401858304</v>
      </c>
      <c r="N258" s="3">
        <f t="shared" si="42"/>
        <v>1.0011614401858304</v>
      </c>
      <c r="O258" s="3" t="s">
        <v>58</v>
      </c>
      <c r="P258" s="3" t="s">
        <v>58</v>
      </c>
      <c r="Q258" s="3" t="str">
        <f t="shared" si="32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3">YEAR(F259)</f>
        <v>2018</v>
      </c>
      <c r="H259" s="3" t="str">
        <f t="shared" ref="H259:H270" si="44">PROPER(TEXT(F259,"mmmm"))</f>
        <v>Junio</v>
      </c>
      <c r="I259" s="3" t="str">
        <f t="shared" ref="I259:I270" si="45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6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3"/>
        <v>2018</v>
      </c>
      <c r="H260" s="3" t="str">
        <f t="shared" si="44"/>
        <v>Diciembre</v>
      </c>
      <c r="I260" s="3" t="str">
        <f t="shared" si="45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6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3"/>
        <v>2018</v>
      </c>
      <c r="H261" s="3" t="str">
        <f t="shared" si="44"/>
        <v>Diciembre</v>
      </c>
      <c r="I261" s="3" t="str">
        <f t="shared" si="45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6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3"/>
        <v>2019</v>
      </c>
      <c r="H262" s="3" t="str">
        <f t="shared" si="44"/>
        <v>Junio</v>
      </c>
      <c r="I262" s="3" t="str">
        <f t="shared" si="45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6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3"/>
        <v>2019</v>
      </c>
      <c r="H263" s="3" t="str">
        <f t="shared" si="44"/>
        <v>Diciembre</v>
      </c>
      <c r="I263" s="3" t="str">
        <f t="shared" si="45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6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3"/>
        <v>2019</v>
      </c>
      <c r="H264" s="3" t="str">
        <f t="shared" si="44"/>
        <v>Diciembre</v>
      </c>
      <c r="I264" s="3" t="str">
        <f t="shared" si="45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6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3"/>
        <v>2020</v>
      </c>
      <c r="H265" s="3" t="str">
        <f t="shared" si="44"/>
        <v>Junio</v>
      </c>
      <c r="I265" s="3" t="str">
        <f t="shared" si="45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6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3"/>
        <v>2020</v>
      </c>
      <c r="H266" s="3" t="str">
        <f t="shared" si="44"/>
        <v>Diciembre</v>
      </c>
      <c r="I266" s="3" t="str">
        <f t="shared" si="45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6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3"/>
        <v>2020</v>
      </c>
      <c r="H267" s="3" t="str">
        <f t="shared" si="44"/>
        <v>Diciembre</v>
      </c>
      <c r="I267" s="3" t="str">
        <f t="shared" si="45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6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3"/>
        <v>2021</v>
      </c>
      <c r="H268" s="3" t="str">
        <f t="shared" si="44"/>
        <v>Junio</v>
      </c>
      <c r="I268" s="3" t="str">
        <f t="shared" si="45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6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3"/>
        <v>2021</v>
      </c>
      <c r="H269" s="3" t="str">
        <f t="shared" si="44"/>
        <v>Diciembre</v>
      </c>
      <c r="I269" s="3" t="str">
        <f t="shared" si="45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6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3"/>
        <v>2021</v>
      </c>
      <c r="H270" s="3" t="str">
        <f t="shared" si="44"/>
        <v>Diciembre</v>
      </c>
      <c r="I270" s="3" t="str">
        <f t="shared" si="45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6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6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7">+L272/K272</f>
        <v>1.0212472059673003</v>
      </c>
      <c r="N272" s="3">
        <f t="shared" ref="N272:N282" si="48">+L272/K272</f>
        <v>1.0212472059673003</v>
      </c>
      <c r="O272" s="3" t="s">
        <v>35</v>
      </c>
      <c r="P272" s="3" t="s">
        <v>35</v>
      </c>
      <c r="Q272" s="3" t="str">
        <f t="shared" si="46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7"/>
        <v>1.0212472059673003</v>
      </c>
      <c r="N273" s="3">
        <f t="shared" si="48"/>
        <v>1.0212472059673003</v>
      </c>
      <c r="O273" s="3" t="s">
        <v>35</v>
      </c>
      <c r="P273" s="3" t="s">
        <v>35</v>
      </c>
      <c r="Q273" s="3" t="str">
        <f t="shared" si="46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7"/>
        <v>0.97612804954178845</v>
      </c>
      <c r="N274" s="3">
        <f t="shared" si="48"/>
        <v>0.97612804954178845</v>
      </c>
      <c r="O274" s="3" t="s">
        <v>35</v>
      </c>
      <c r="P274" s="3" t="s">
        <v>35</v>
      </c>
      <c r="Q274" s="3" t="str">
        <f t="shared" si="46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7"/>
        <v>0.97512616297146681</v>
      </c>
      <c r="N275" s="3">
        <f t="shared" si="48"/>
        <v>0.97512616297146681</v>
      </c>
      <c r="O275" s="3" t="s">
        <v>35</v>
      </c>
      <c r="P275" s="3" t="s">
        <v>35</v>
      </c>
      <c r="Q275" s="3" t="str">
        <f t="shared" si="46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7"/>
        <v>0.97510224582047789</v>
      </c>
      <c r="N276" s="3">
        <f t="shared" si="48"/>
        <v>0.97510224582047789</v>
      </c>
      <c r="O276" s="3" t="s">
        <v>35</v>
      </c>
      <c r="P276" s="3" t="s">
        <v>35</v>
      </c>
      <c r="Q276" s="3" t="str">
        <f t="shared" si="46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7"/>
        <v>1.0202251822842863</v>
      </c>
      <c r="N277" s="3">
        <f t="shared" si="48"/>
        <v>1.0202251822842863</v>
      </c>
      <c r="O277" s="3" t="s">
        <v>35</v>
      </c>
      <c r="P277" s="3" t="s">
        <v>35</v>
      </c>
      <c r="Q277" s="3" t="str">
        <f t="shared" si="46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7"/>
        <v>1.0246037437254272</v>
      </c>
      <c r="N278" s="3">
        <f t="shared" si="48"/>
        <v>1.0246037437254272</v>
      </c>
      <c r="O278" s="3" t="s">
        <v>35</v>
      </c>
      <c r="P278" s="3" t="s">
        <v>35</v>
      </c>
      <c r="Q278" s="3" t="str">
        <f t="shared" si="46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7"/>
        <v>1.0245952787304076</v>
      </c>
      <c r="N279" s="3">
        <f t="shared" si="48"/>
        <v>1.0245952787304076</v>
      </c>
      <c r="O279" s="3" t="s">
        <v>35</v>
      </c>
      <c r="P279" s="3" t="s">
        <v>35</v>
      </c>
      <c r="Q279" s="3" t="str">
        <f t="shared" si="46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7"/>
        <v>1.0584120321790835</v>
      </c>
      <c r="N280" s="3">
        <f t="shared" si="48"/>
        <v>1.0584120321790835</v>
      </c>
      <c r="O280" s="3" t="s">
        <v>35</v>
      </c>
      <c r="P280" s="3" t="s">
        <v>35</v>
      </c>
      <c r="Q280" s="3" t="str">
        <f t="shared" si="46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45583</v>
      </c>
      <c r="M281" s="3">
        <f>+L281/K281</f>
        <v>1.0189105214922771</v>
      </c>
      <c r="N281" s="3">
        <f t="shared" si="48"/>
        <v>1.0189105214922771</v>
      </c>
      <c r="O281" s="3" t="s">
        <v>35</v>
      </c>
      <c r="P281" s="3" t="s">
        <v>35</v>
      </c>
      <c r="Q281" s="3" t="str">
        <f t="shared" si="46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45583</v>
      </c>
      <c r="M282" s="3">
        <f>+L282/K282</f>
        <v>1.0189105214922771</v>
      </c>
      <c r="N282" s="3">
        <f t="shared" si="48"/>
        <v>1.0189105214922771</v>
      </c>
      <c r="O282" s="3" t="s">
        <v>35</v>
      </c>
      <c r="P282" s="3" t="s">
        <v>35</v>
      </c>
      <c r="Q282" s="3" t="str">
        <f t="shared" si="46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6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9">+K284/L284</f>
        <v>1</v>
      </c>
      <c r="N284" s="3">
        <f t="shared" ref="N284:N293" si="50">+K284/L284</f>
        <v>1</v>
      </c>
      <c r="O284" s="3" t="s">
        <v>35</v>
      </c>
      <c r="P284" s="3" t="s">
        <v>245</v>
      </c>
      <c r="Q284" s="3" t="str">
        <f t="shared" si="46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9"/>
        <v>1</v>
      </c>
      <c r="N285" s="3">
        <f t="shared" si="50"/>
        <v>1</v>
      </c>
      <c r="O285" s="3" t="s">
        <v>35</v>
      </c>
      <c r="P285" s="3" t="s">
        <v>35</v>
      </c>
      <c r="Q285" s="3" t="str">
        <f t="shared" si="46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9"/>
        <v>0.94454939437715302</v>
      </c>
      <c r="N286" s="3">
        <f t="shared" si="50"/>
        <v>0.94454939437715302</v>
      </c>
      <c r="O286" s="3" t="s">
        <v>35</v>
      </c>
      <c r="P286" s="3" t="s">
        <v>245</v>
      </c>
      <c r="Q286" s="3" t="str">
        <f t="shared" si="46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9"/>
        <v>1.0059171597633136</v>
      </c>
      <c r="N287" s="3">
        <f t="shared" si="50"/>
        <v>1.0059171597633136</v>
      </c>
      <c r="O287" s="3" t="s">
        <v>35</v>
      </c>
      <c r="P287" s="3" t="s">
        <v>245</v>
      </c>
      <c r="Q287" s="3" t="str">
        <f t="shared" si="46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9"/>
        <v>1.0059171597633136</v>
      </c>
      <c r="N288" s="3">
        <f t="shared" si="50"/>
        <v>1.0059171597633136</v>
      </c>
      <c r="O288" s="3" t="s">
        <v>35</v>
      </c>
      <c r="P288" s="3" t="s">
        <v>245</v>
      </c>
      <c r="Q288" s="3" t="str">
        <f t="shared" si="46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9"/>
        <v>0.89659294680215174</v>
      </c>
      <c r="N289" s="3">
        <f t="shared" si="50"/>
        <v>0.89659294680215174</v>
      </c>
      <c r="O289" s="3" t="s">
        <v>35</v>
      </c>
      <c r="P289" s="3" t="s">
        <v>245</v>
      </c>
      <c r="Q289" s="3" t="str">
        <f t="shared" si="46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9"/>
        <v>0.90711175616835982</v>
      </c>
      <c r="N290" s="3">
        <f t="shared" si="50"/>
        <v>0.90711175616835982</v>
      </c>
      <c r="O290" s="3" t="s">
        <v>35</v>
      </c>
      <c r="P290" s="3" t="s">
        <v>245</v>
      </c>
      <c r="Q290" s="3" t="str">
        <f t="shared" si="46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9"/>
        <v>0.90711175616835982</v>
      </c>
      <c r="N291" s="3">
        <f t="shared" si="50"/>
        <v>0.90711175616835982</v>
      </c>
      <c r="O291" s="3" t="s">
        <v>35</v>
      </c>
      <c r="P291" s="3" t="s">
        <v>245</v>
      </c>
      <c r="Q291" s="3" t="str">
        <f t="shared" si="46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9"/>
        <v>0.96222380612972191</v>
      </c>
      <c r="N292" s="3">
        <f t="shared" si="50"/>
        <v>0.96222380612972191</v>
      </c>
      <c r="O292" s="3" t="s">
        <v>35</v>
      </c>
      <c r="P292" s="3" t="s">
        <v>245</v>
      </c>
      <c r="Q292" s="3" t="str">
        <f t="shared" si="46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9"/>
        <v>0.97814273638449456</v>
      </c>
      <c r="N293" s="3">
        <f t="shared" si="50"/>
        <v>0.97814273638449456</v>
      </c>
      <c r="O293" s="3" t="s">
        <v>35</v>
      </c>
      <c r="P293" s="3" t="s">
        <v>245</v>
      </c>
      <c r="Q293" s="3" t="str">
        <f t="shared" si="46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6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1">+K295/L295</f>
        <v>1.1597762314094691</v>
      </c>
      <c r="N295" s="3">
        <f t="shared" ref="N295:N301" si="52">+K295/L295</f>
        <v>1.1597762314094691</v>
      </c>
      <c r="O295" s="3" t="s">
        <v>35</v>
      </c>
      <c r="P295" s="3" t="s">
        <v>245</v>
      </c>
      <c r="Q295" s="3" t="str">
        <f t="shared" si="46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1"/>
        <v>1.1597762314094691</v>
      </c>
      <c r="N296" s="3">
        <f t="shared" si="52"/>
        <v>1.1597762314094691</v>
      </c>
      <c r="O296" s="3" t="s">
        <v>35</v>
      </c>
      <c r="P296" s="3" t="s">
        <v>245</v>
      </c>
      <c r="Q296" s="3" t="str">
        <f t="shared" si="46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1"/>
        <v>1.0255689800505758</v>
      </c>
      <c r="N297" s="3">
        <f t="shared" si="52"/>
        <v>1.0255689800505758</v>
      </c>
      <c r="O297" s="3" t="s">
        <v>35</v>
      </c>
      <c r="P297" s="3" t="s">
        <v>245</v>
      </c>
      <c r="Q297" s="3" t="str">
        <f t="shared" si="46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1"/>
        <v>1.0247052217855139</v>
      </c>
      <c r="N298" s="3">
        <f t="shared" si="52"/>
        <v>1.0247052217855139</v>
      </c>
      <c r="O298" s="3" t="s">
        <v>35</v>
      </c>
      <c r="P298" s="3" t="s">
        <v>245</v>
      </c>
      <c r="Q298" s="3" t="str">
        <f t="shared" si="46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1"/>
        <v>1.0247052217855139</v>
      </c>
      <c r="N299" s="3">
        <f t="shared" si="52"/>
        <v>1.0247052217855139</v>
      </c>
      <c r="O299" s="3" t="s">
        <v>35</v>
      </c>
      <c r="P299" s="3" t="s">
        <v>245</v>
      </c>
      <c r="Q299" s="3" t="str">
        <f t="shared" si="46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1"/>
        <v>1.0232021905173656</v>
      </c>
      <c r="N300" s="3">
        <f t="shared" si="52"/>
        <v>1.0232021905173656</v>
      </c>
      <c r="O300" s="3" t="s">
        <v>35</v>
      </c>
      <c r="P300" s="3" t="s">
        <v>245</v>
      </c>
      <c r="Q300" s="3" t="str">
        <f t="shared" si="46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1"/>
        <v>1.0380116959064327</v>
      </c>
      <c r="N301" s="3">
        <f t="shared" si="52"/>
        <v>1.0380116959064327</v>
      </c>
      <c r="O301" s="3" t="s">
        <v>35</v>
      </c>
      <c r="P301" s="3" t="s">
        <v>245</v>
      </c>
      <c r="Q301" s="3" t="str">
        <f t="shared" si="46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6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6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6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6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6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6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6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6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6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6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6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6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6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6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6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6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6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6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6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6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6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3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3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3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3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3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3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3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3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3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3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3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3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3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3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3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3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3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3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3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3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3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3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3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3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3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3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3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3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3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3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3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3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3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3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3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3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3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3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3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3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3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3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3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3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3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4">+L368/K368</f>
        <v>0.98094276519214996</v>
      </c>
      <c r="N368" s="3">
        <f t="shared" ref="N368:N371" si="55">+L368/K368</f>
        <v>0.98094276519214996</v>
      </c>
      <c r="O368" s="3" t="s">
        <v>35</v>
      </c>
      <c r="P368" s="3" t="s">
        <v>35</v>
      </c>
      <c r="Q368" s="3" t="str">
        <f t="shared" si="53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4"/>
        <v>1.119505269136114</v>
      </c>
      <c r="N369" s="3">
        <f t="shared" si="55"/>
        <v>1.119505269136114</v>
      </c>
      <c r="O369" s="3" t="s">
        <v>35</v>
      </c>
      <c r="P369" s="3" t="s">
        <v>35</v>
      </c>
      <c r="Q369" s="3" t="str">
        <f t="shared" si="53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4"/>
        <v>0.93885032603143126</v>
      </c>
      <c r="N370" s="3">
        <f t="shared" si="55"/>
        <v>0.93885032603143126</v>
      </c>
      <c r="O370" s="3" t="s">
        <v>35</v>
      </c>
      <c r="P370" s="3" t="s">
        <v>35</v>
      </c>
      <c r="Q370" s="3" t="str">
        <f t="shared" si="53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4"/>
        <v>0.78106093994150405</v>
      </c>
      <c r="N371" s="3">
        <f t="shared" si="55"/>
        <v>0.78106093994150405</v>
      </c>
      <c r="O371" s="3" t="s">
        <v>35</v>
      </c>
      <c r="P371" s="3" t="s">
        <v>35</v>
      </c>
      <c r="Q371" s="3" t="str">
        <f t="shared" si="53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6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3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6"/>
        <v>1.25</v>
      </c>
      <c r="N373" s="3">
        <f t="shared" ref="N373:N377" si="57">+L373/K373</f>
        <v>1.25</v>
      </c>
      <c r="O373" s="3" t="s">
        <v>58</v>
      </c>
      <c r="P373" s="3" t="s">
        <v>58</v>
      </c>
      <c r="Q373" s="3" t="str">
        <f t="shared" si="53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6"/>
        <v>1.25</v>
      </c>
      <c r="N374" s="3">
        <f t="shared" si="57"/>
        <v>1.25</v>
      </c>
      <c r="O374" s="3" t="s">
        <v>58</v>
      </c>
      <c r="P374" s="3" t="s">
        <v>58</v>
      </c>
      <c r="Q374" s="3" t="str">
        <f t="shared" si="53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6"/>
        <v>0.99199999999999999</v>
      </c>
      <c r="N375" s="3">
        <f t="shared" si="57"/>
        <v>0.99199999999999999</v>
      </c>
      <c r="O375" s="3" t="s">
        <v>58</v>
      </c>
      <c r="P375" s="3" t="s">
        <v>58</v>
      </c>
      <c r="Q375" s="3" t="str">
        <f t="shared" si="53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6"/>
        <v>0.99199999999999999</v>
      </c>
      <c r="N376" s="3">
        <f t="shared" si="57"/>
        <v>0.99199999999999999</v>
      </c>
      <c r="O376" s="3" t="s">
        <v>58</v>
      </c>
      <c r="P376" s="3" t="s">
        <v>58</v>
      </c>
      <c r="Q376" s="3" t="str">
        <f t="shared" si="53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6"/>
        <v>0.76400000000000001</v>
      </c>
      <c r="N377" s="3">
        <f t="shared" si="57"/>
        <v>0.76400000000000001</v>
      </c>
      <c r="O377" s="3" t="s">
        <v>58</v>
      </c>
      <c r="P377" s="3" t="s">
        <v>58</v>
      </c>
      <c r="Q377" s="3" t="str">
        <f t="shared" si="53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3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3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3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8">+L381/K381</f>
        <v>0.76249999999999996</v>
      </c>
      <c r="O381" s="3" t="s">
        <v>35</v>
      </c>
      <c r="P381" s="3" t="s">
        <v>35</v>
      </c>
      <c r="Q381" s="3" t="str">
        <f t="shared" si="53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9">+L382/K382</f>
        <v>0.71296296296296291</v>
      </c>
      <c r="N382" s="3">
        <f t="shared" si="58"/>
        <v>0.71296296296296291</v>
      </c>
      <c r="O382" s="3" t="s">
        <v>35</v>
      </c>
      <c r="P382" s="3" t="s">
        <v>35</v>
      </c>
      <c r="Q382" s="3" t="str">
        <f t="shared" si="53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9"/>
        <v>0.73404255319148937</v>
      </c>
      <c r="N383" s="3">
        <f t="shared" si="58"/>
        <v>0.73404255319148937</v>
      </c>
      <c r="O383" s="3" t="s">
        <v>35</v>
      </c>
      <c r="P383" s="3" t="s">
        <v>35</v>
      </c>
      <c r="Q383" s="3" t="str">
        <f t="shared" si="53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9"/>
        <v>0.88888888888888884</v>
      </c>
      <c r="N384" s="3">
        <f t="shared" si="58"/>
        <v>0.88888888888888884</v>
      </c>
      <c r="O384" s="3" t="s">
        <v>35</v>
      </c>
      <c r="P384" s="3" t="s">
        <v>35</v>
      </c>
      <c r="Q384" s="3" t="str">
        <f t="shared" si="53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9"/>
        <v>1.0825688073394495</v>
      </c>
      <c r="N385" s="3">
        <f t="shared" si="58"/>
        <v>1.0825688073394495</v>
      </c>
      <c r="O385" s="3" t="s">
        <v>35</v>
      </c>
      <c r="P385" s="3" t="s">
        <v>35</v>
      </c>
      <c r="Q385" s="3" t="str">
        <f t="shared" si="53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8"/>
        <v>1.5027390438247012</v>
      </c>
      <c r="O386" s="3" t="s">
        <v>143</v>
      </c>
      <c r="P386" s="3" t="s">
        <v>143</v>
      </c>
      <c r="Q386" s="3" t="str">
        <f t="shared" si="53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60">+L387/K387</f>
        <v>1.5027390438247012</v>
      </c>
      <c r="N387" s="3">
        <f t="shared" ref="N387:N393" si="61">+L387/K387</f>
        <v>1.5027390438247012</v>
      </c>
      <c r="O387" s="3" t="s">
        <v>143</v>
      </c>
      <c r="P387" s="3" t="s">
        <v>143</v>
      </c>
      <c r="Q387" s="3" t="str">
        <f t="shared" ref="Q387:Q450" si="62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60"/>
        <v>1.0126417845079374</v>
      </c>
      <c r="N388" s="3">
        <f t="shared" si="61"/>
        <v>1.0126417845079374</v>
      </c>
      <c r="O388" s="3" t="s">
        <v>143</v>
      </c>
      <c r="P388" s="3" t="s">
        <v>143</v>
      </c>
      <c r="Q388" s="3" t="str">
        <f t="shared" si="62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60"/>
        <v>1.0126417845079394</v>
      </c>
      <c r="N389" s="3">
        <f t="shared" si="61"/>
        <v>1.0126417845079394</v>
      </c>
      <c r="O389" s="3" t="s">
        <v>143</v>
      </c>
      <c r="P389" s="3" t="s">
        <v>143</v>
      </c>
      <c r="Q389" s="3" t="str">
        <f t="shared" si="62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60"/>
        <v>1.0909960747143497</v>
      </c>
      <c r="N390" s="3">
        <f t="shared" si="61"/>
        <v>1.0909960747143497</v>
      </c>
      <c r="O390" s="3" t="s">
        <v>143</v>
      </c>
      <c r="P390" s="3" t="s">
        <v>143</v>
      </c>
      <c r="Q390" s="3" t="str">
        <f t="shared" si="62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60"/>
        <v>1.0909960747143497</v>
      </c>
      <c r="N391" s="3">
        <f t="shared" si="61"/>
        <v>1.0909960747143497</v>
      </c>
      <c r="O391" s="3" t="s">
        <v>143</v>
      </c>
      <c r="P391" s="3" t="s">
        <v>143</v>
      </c>
      <c r="Q391" s="3" t="str">
        <f t="shared" si="62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37751457388/1000000</f>
        <v>37751.457388000003</v>
      </c>
      <c r="M392" s="3">
        <f t="shared" si="60"/>
        <v>1.1750883690528604</v>
      </c>
      <c r="N392" s="3">
        <f t="shared" si="61"/>
        <v>1.1750883690528604</v>
      </c>
      <c r="O392" s="3" t="s">
        <v>143</v>
      </c>
      <c r="P392" s="3" t="s">
        <v>143</v>
      </c>
      <c r="Q392" s="3" t="str">
        <f t="shared" si="62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37751457388/1000000</f>
        <v>37751.457388000003</v>
      </c>
      <c r="M393" s="3">
        <f t="shared" si="60"/>
        <v>1.1750883690528604</v>
      </c>
      <c r="N393" s="3">
        <f t="shared" si="61"/>
        <v>1.1750883690528604</v>
      </c>
      <c r="O393" s="3" t="s">
        <v>143</v>
      </c>
      <c r="P393" s="3" t="s">
        <v>143</v>
      </c>
      <c r="Q393" s="3" t="str">
        <f t="shared" si="62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62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62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62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62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62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3">YEAR(F399)</f>
        <v>2018</v>
      </c>
      <c r="H399" s="3" t="str">
        <f t="shared" ref="H399:H410" si="64">PROPER(TEXT(F399,"mmmm"))</f>
        <v>Junio</v>
      </c>
      <c r="I399" s="3" t="str">
        <f t="shared" ref="I399:I410" si="65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62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3"/>
        <v>2018</v>
      </c>
      <c r="H400" s="3" t="str">
        <f t="shared" si="64"/>
        <v>Diciembre</v>
      </c>
      <c r="I400" s="3" t="str">
        <f t="shared" si="65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2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3"/>
        <v>2018</v>
      </c>
      <c r="H401" s="3" t="str">
        <f t="shared" si="64"/>
        <v>Diciembre</v>
      </c>
      <c r="I401" s="3" t="str">
        <f t="shared" si="65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2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3"/>
        <v>2019</v>
      </c>
      <c r="H402" s="3" t="str">
        <f t="shared" si="64"/>
        <v>Junio</v>
      </c>
      <c r="I402" s="3" t="str">
        <f t="shared" si="65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2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3"/>
        <v>2019</v>
      </c>
      <c r="H403" s="3" t="str">
        <f t="shared" si="64"/>
        <v>Diciembre</v>
      </c>
      <c r="I403" s="3" t="str">
        <f t="shared" si="65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2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3"/>
        <v>2019</v>
      </c>
      <c r="H404" s="3" t="str">
        <f t="shared" si="64"/>
        <v>Diciembre</v>
      </c>
      <c r="I404" s="3" t="str">
        <f t="shared" si="65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2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3"/>
        <v>2020</v>
      </c>
      <c r="H405" s="3" t="str">
        <f t="shared" si="64"/>
        <v>Junio</v>
      </c>
      <c r="I405" s="3" t="str">
        <f t="shared" si="65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2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3"/>
        <v>2020</v>
      </c>
      <c r="H406" s="3" t="str">
        <f t="shared" si="64"/>
        <v>Diciembre</v>
      </c>
      <c r="I406" s="3" t="str">
        <f t="shared" si="65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2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3"/>
        <v>2020</v>
      </c>
      <c r="H407" s="3" t="str">
        <f t="shared" si="64"/>
        <v>Diciembre</v>
      </c>
      <c r="I407" s="3" t="str">
        <f t="shared" si="65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2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3"/>
        <v>2021</v>
      </c>
      <c r="H408" s="3" t="str">
        <f t="shared" si="64"/>
        <v>Junio</v>
      </c>
      <c r="I408" s="3" t="str">
        <f t="shared" si="65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2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3"/>
        <v>2021</v>
      </c>
      <c r="H409" s="3" t="str">
        <f t="shared" si="64"/>
        <v>Diciembre</v>
      </c>
      <c r="I409" s="3" t="str">
        <f t="shared" si="65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2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3"/>
        <v>2021</v>
      </c>
      <c r="H410" s="3" t="str">
        <f t="shared" si="64"/>
        <v>Diciembre</v>
      </c>
      <c r="I410" s="3" t="str">
        <f t="shared" si="65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2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62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6">+L412/K412</f>
        <v>1.0419930374238469</v>
      </c>
      <c r="N412" s="3">
        <f t="shared" ref="N412:N421" si="67">+L412/K412</f>
        <v>1.0419930374238469</v>
      </c>
      <c r="O412" s="3" t="s">
        <v>35</v>
      </c>
      <c r="P412" s="3" t="s">
        <v>35</v>
      </c>
      <c r="Q412" s="3" t="str">
        <f t="shared" si="62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6"/>
        <v>1.0295000000000001</v>
      </c>
      <c r="N413" s="3">
        <f t="shared" si="67"/>
        <v>1.0295000000000001</v>
      </c>
      <c r="O413" s="3" t="s">
        <v>35</v>
      </c>
      <c r="P413" s="3" t="s">
        <v>35</v>
      </c>
      <c r="Q413" s="3" t="str">
        <f t="shared" si="62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6"/>
        <v>1.0207749381698268</v>
      </c>
      <c r="N414" s="3">
        <f t="shared" si="67"/>
        <v>1.0207749381698268</v>
      </c>
      <c r="O414" s="3" t="s">
        <v>35</v>
      </c>
      <c r="P414" s="3" t="s">
        <v>35</v>
      </c>
      <c r="Q414" s="3" t="str">
        <f t="shared" si="62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6"/>
        <v>1.0738153098420413</v>
      </c>
      <c r="N415" s="3">
        <f t="shared" si="67"/>
        <v>1.0738153098420413</v>
      </c>
      <c r="O415" s="3" t="s">
        <v>35</v>
      </c>
      <c r="P415" s="3" t="s">
        <v>35</v>
      </c>
      <c r="Q415" s="3" t="str">
        <f t="shared" si="62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6"/>
        <v>1.0445787512496592</v>
      </c>
      <c r="N416" s="3">
        <f t="shared" si="67"/>
        <v>1.0445787512496592</v>
      </c>
      <c r="O416" s="3" t="s">
        <v>35</v>
      </c>
      <c r="P416" s="3" t="s">
        <v>35</v>
      </c>
      <c r="Q416" s="3" t="str">
        <f t="shared" si="62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6"/>
        <v>0.95562913907284763</v>
      </c>
      <c r="N417" s="3">
        <f t="shared" si="67"/>
        <v>0.95562913907284763</v>
      </c>
      <c r="O417" s="3" t="s">
        <v>35</v>
      </c>
      <c r="P417" s="3" t="s">
        <v>35</v>
      </c>
      <c r="Q417" s="3" t="str">
        <f t="shared" si="62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6"/>
        <v>0.99007025761124123</v>
      </c>
      <c r="N418" s="3">
        <f t="shared" si="67"/>
        <v>0.99007025761124123</v>
      </c>
      <c r="O418" s="3" t="s">
        <v>35</v>
      </c>
      <c r="P418" s="3" t="s">
        <v>35</v>
      </c>
      <c r="Q418" s="3" t="str">
        <f t="shared" si="62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6"/>
        <v>0.97078096023078508</v>
      </c>
      <c r="N419" s="3">
        <f t="shared" si="67"/>
        <v>0.97078096023078508</v>
      </c>
      <c r="O419" s="3" t="s">
        <v>35</v>
      </c>
      <c r="P419" s="3" t="s">
        <v>35</v>
      </c>
      <c r="Q419" s="3" t="str">
        <f t="shared" si="62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6"/>
        <v>1.0390917775001838</v>
      </c>
      <c r="N420" s="3">
        <f t="shared" si="67"/>
        <v>1.0390917775001838</v>
      </c>
      <c r="O420" s="3" t="s">
        <v>35</v>
      </c>
      <c r="P420" s="3" t="s">
        <v>35</v>
      </c>
      <c r="Q420" s="3" t="str">
        <f t="shared" si="62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11224</v>
      </c>
      <c r="M421" s="3">
        <f t="shared" si="66"/>
        <v>1.0186042290588984</v>
      </c>
      <c r="N421" s="3">
        <f t="shared" si="67"/>
        <v>1.0186042290588984</v>
      </c>
      <c r="O421" s="3" t="s">
        <v>35</v>
      </c>
      <c r="P421" s="3" t="s">
        <v>35</v>
      </c>
      <c r="Q421" s="3" t="str">
        <f t="shared" si="62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62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8">L423/K423</f>
        <v>0.75108988032332902</v>
      </c>
      <c r="N423" s="3">
        <f t="shared" ref="N423:N428" si="69">L423/K423</f>
        <v>0.75108988032332902</v>
      </c>
      <c r="O423" s="3" t="s">
        <v>143</v>
      </c>
      <c r="P423" s="3" t="s">
        <v>143</v>
      </c>
      <c r="Q423" s="3" t="str">
        <f t="shared" si="62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8"/>
        <v>1.2553149921891629</v>
      </c>
      <c r="N424" s="3">
        <f t="shared" si="69"/>
        <v>1.2553149921891629</v>
      </c>
      <c r="O424" s="3" t="s">
        <v>143</v>
      </c>
      <c r="P424" s="3" t="s">
        <v>143</v>
      </c>
      <c r="Q424" s="3" t="str">
        <f t="shared" si="62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8"/>
        <v>1.2553149921891629</v>
      </c>
      <c r="N425" s="3">
        <f t="shared" si="69"/>
        <v>1.2553149921891629</v>
      </c>
      <c r="O425" s="3" t="s">
        <v>143</v>
      </c>
      <c r="P425" s="3" t="s">
        <v>143</v>
      </c>
      <c r="Q425" s="3" t="str">
        <f t="shared" si="62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8"/>
        <v>0.85398321724869886</v>
      </c>
      <c r="N426" s="3">
        <f t="shared" si="69"/>
        <v>0.85398321724869886</v>
      </c>
      <c r="O426" s="3" t="s">
        <v>143</v>
      </c>
      <c r="P426" s="3" t="s">
        <v>143</v>
      </c>
      <c r="Q426" s="3" t="str">
        <f t="shared" si="62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8"/>
        <v>0.85398321724869886</v>
      </c>
      <c r="N427" s="3">
        <f t="shared" si="69"/>
        <v>0.85398321724869886</v>
      </c>
      <c r="O427" s="3" t="s">
        <v>143</v>
      </c>
      <c r="P427" s="3" t="s">
        <v>143</v>
      </c>
      <c r="Q427" s="3" t="str">
        <f t="shared" si="62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18570267021/1000000</f>
        <v>18570.267021</v>
      </c>
      <c r="M428" s="3">
        <f t="shared" si="68"/>
        <v>1.0886389449492739</v>
      </c>
      <c r="N428" s="3">
        <f t="shared" si="69"/>
        <v>1.0886389449492739</v>
      </c>
      <c r="O428" s="3" t="s">
        <v>143</v>
      </c>
      <c r="P428" s="3" t="s">
        <v>143</v>
      </c>
      <c r="Q428" s="3" t="str">
        <f t="shared" si="62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70">+L429/K429</f>
        <v>1</v>
      </c>
      <c r="O429" s="3" t="s">
        <v>143</v>
      </c>
      <c r="P429" s="3" t="s">
        <v>143</v>
      </c>
      <c r="Q429" s="3" t="str">
        <f t="shared" si="62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70"/>
        <v>1</v>
      </c>
      <c r="O430" s="3" t="s">
        <v>143</v>
      </c>
      <c r="P430" s="3" t="s">
        <v>143</v>
      </c>
      <c r="Q430" s="3" t="str">
        <f t="shared" si="62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70"/>
        <v>2.7839074929774967</v>
      </c>
      <c r="O431" s="3" t="s">
        <v>143</v>
      </c>
      <c r="P431" s="3" t="s">
        <v>143</v>
      </c>
      <c r="Q431" s="3" t="str">
        <f t="shared" si="62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71">IF(+L432/K432&gt;1.3,1.3,L432/K432)</f>
        <v>1.3</v>
      </c>
      <c r="N432" s="3">
        <f t="shared" si="70"/>
        <v>2.7839074929774967</v>
      </c>
      <c r="O432" s="3" t="s">
        <v>143</v>
      </c>
      <c r="P432" s="3" t="s">
        <v>143</v>
      </c>
      <c r="Q432" s="3" t="str">
        <f t="shared" si="62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71"/>
        <v>1.3</v>
      </c>
      <c r="N433" s="3">
        <f t="shared" si="70"/>
        <v>1.3708904125402521</v>
      </c>
      <c r="O433" s="3" t="s">
        <v>143</v>
      </c>
      <c r="P433" s="3" t="s">
        <v>143</v>
      </c>
      <c r="Q433" s="3" t="str">
        <f t="shared" si="62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71"/>
        <v>1.3</v>
      </c>
      <c r="N434" s="3">
        <f t="shared" si="70"/>
        <v>1.3708904125402521</v>
      </c>
      <c r="O434" s="3" t="s">
        <v>143</v>
      </c>
      <c r="P434" s="3" t="s">
        <v>143</v>
      </c>
      <c r="Q434" s="3" t="str">
        <f t="shared" si="62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4700694763/1000000</f>
        <v>4700.6947630000004</v>
      </c>
      <c r="M435" s="3">
        <f t="shared" si="71"/>
        <v>1.1627806593671794</v>
      </c>
      <c r="N435" s="3">
        <f t="shared" si="70"/>
        <v>1.1627806593671794</v>
      </c>
      <c r="O435" s="3" t="s">
        <v>143</v>
      </c>
      <c r="P435" s="3" t="s">
        <v>143</v>
      </c>
      <c r="Q435" s="3" t="str">
        <f t="shared" si="62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62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2">L437/K437</f>
        <v>1</v>
      </c>
      <c r="O437" s="3" t="s">
        <v>143</v>
      </c>
      <c r="P437" s="3" t="s">
        <v>143</v>
      </c>
      <c r="Q437" s="3" t="str">
        <f t="shared" si="62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3">L438/K438</f>
        <v>1.393450174618678</v>
      </c>
      <c r="N438" s="3">
        <f t="shared" si="72"/>
        <v>1.393450174618678</v>
      </c>
      <c r="O438" s="3" t="s">
        <v>143</v>
      </c>
      <c r="P438" s="3" t="s">
        <v>143</v>
      </c>
      <c r="Q438" s="3" t="str">
        <f t="shared" si="62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3"/>
        <v>1.393450174618678</v>
      </c>
      <c r="N439" s="3">
        <f t="shared" si="72"/>
        <v>1.393450174618678</v>
      </c>
      <c r="O439" s="3" t="s">
        <v>143</v>
      </c>
      <c r="P439" s="3" t="s">
        <v>143</v>
      </c>
      <c r="Q439" s="3" t="str">
        <f t="shared" si="62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3"/>
        <v>0.54086603411912804</v>
      </c>
      <c r="N440" s="3">
        <f t="shared" si="72"/>
        <v>0.54086603411912804</v>
      </c>
      <c r="O440" s="3" t="s">
        <v>143</v>
      </c>
      <c r="P440" s="3" t="s">
        <v>143</v>
      </c>
      <c r="Q440" s="3" t="str">
        <f t="shared" si="62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3"/>
        <v>0.54086603411912804</v>
      </c>
      <c r="N441" s="3">
        <f t="shared" si="72"/>
        <v>0.54086603411912804</v>
      </c>
      <c r="O441" s="3" t="s">
        <v>143</v>
      </c>
      <c r="P441" s="3" t="s">
        <v>143</v>
      </c>
      <c r="Q441" s="3" t="str">
        <f t="shared" si="62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7473892508/1000000</f>
        <v>7473.8925079999999</v>
      </c>
      <c r="M442" s="3">
        <f t="shared" si="73"/>
        <v>1.0036340039279443</v>
      </c>
      <c r="N442" s="3">
        <f t="shared" si="72"/>
        <v>1.0036340039279443</v>
      </c>
      <c r="O442" s="3" t="s">
        <v>143</v>
      </c>
      <c r="P442" s="3" t="s">
        <v>143</v>
      </c>
      <c r="Q442" s="3" t="str">
        <f t="shared" si="62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7473892508/1000000</f>
        <v>7473.8925079999999</v>
      </c>
      <c r="M443" s="3">
        <f t="shared" si="73"/>
        <v>1.0036340039279443</v>
      </c>
      <c r="N443" s="3">
        <f t="shared" si="72"/>
        <v>1.0036340039279443</v>
      </c>
      <c r="O443" s="3" t="s">
        <v>143</v>
      </c>
      <c r="P443" s="3" t="s">
        <v>143</v>
      </c>
      <c r="Q443" s="3" t="str">
        <f t="shared" si="62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62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4">IF(L445/K445&gt;1.3,1.3,L445/K445)</f>
        <v>1</v>
      </c>
      <c r="N445" s="3">
        <f t="shared" ref="N445:N451" si="75">L445/K445</f>
        <v>1</v>
      </c>
      <c r="O445" s="3" t="s">
        <v>143</v>
      </c>
      <c r="P445" s="3" t="s">
        <v>143</v>
      </c>
      <c r="Q445" s="3" t="str">
        <f t="shared" si="62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4"/>
        <v>0.71558444628256934</v>
      </c>
      <c r="N446" s="3">
        <f t="shared" si="75"/>
        <v>0.71558444628256934</v>
      </c>
      <c r="O446" s="3" t="s">
        <v>143</v>
      </c>
      <c r="P446" s="3" t="s">
        <v>143</v>
      </c>
      <c r="Q446" s="3" t="str">
        <f t="shared" si="62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4"/>
        <v>0.71558444628256934</v>
      </c>
      <c r="N447" s="3">
        <f t="shared" si="75"/>
        <v>0.71558444628256934</v>
      </c>
      <c r="O447" s="3" t="s">
        <v>143</v>
      </c>
      <c r="P447" s="3" t="s">
        <v>143</v>
      </c>
      <c r="Q447" s="3" t="str">
        <f t="shared" si="62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4"/>
        <v>1.0013905729387031</v>
      </c>
      <c r="N448" s="3">
        <f t="shared" si="75"/>
        <v>1.0013905729387031</v>
      </c>
      <c r="O448" s="3" t="s">
        <v>143</v>
      </c>
      <c r="P448" s="3" t="s">
        <v>143</v>
      </c>
      <c r="Q448" s="3" t="str">
        <f t="shared" si="62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4"/>
        <v>1.0013905729387031</v>
      </c>
      <c r="N449" s="3">
        <f t="shared" si="75"/>
        <v>1.0013905729387031</v>
      </c>
      <c r="O449" s="3" t="s">
        <v>143</v>
      </c>
      <c r="P449" s="3" t="s">
        <v>143</v>
      </c>
      <c r="Q449" s="3" t="str">
        <f t="shared" si="62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6395679750/1000000</f>
        <v>6395.6797500000002</v>
      </c>
      <c r="M450" s="3">
        <f t="shared" si="74"/>
        <v>1.1484886334386992</v>
      </c>
      <c r="N450" s="3">
        <f t="shared" si="75"/>
        <v>1.1484886334386992</v>
      </c>
      <c r="O450" s="3" t="s">
        <v>143</v>
      </c>
      <c r="P450" s="3" t="s">
        <v>143</v>
      </c>
      <c r="Q450" s="3" t="str">
        <f t="shared" si="62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6395679750/1000000</f>
        <v>6395.6797500000002</v>
      </c>
      <c r="M451" s="3">
        <f t="shared" si="74"/>
        <v>1.1484886334386992</v>
      </c>
      <c r="N451" s="3">
        <f t="shared" si="75"/>
        <v>1.1484886334386992</v>
      </c>
      <c r="O451" s="3" t="s">
        <v>143</v>
      </c>
      <c r="P451" s="3" t="s">
        <v>143</v>
      </c>
      <c r="Q451" s="3" t="str">
        <f t="shared" ref="Q451:Q514" si="76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6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7">+L453/K453</f>
        <v>0.88636363636363624</v>
      </c>
      <c r="N453" s="3">
        <f t="shared" ref="N453:N458" si="78">+L453/K453</f>
        <v>0.88636363636363624</v>
      </c>
      <c r="O453" s="3" t="s">
        <v>245</v>
      </c>
      <c r="P453" s="3" t="s">
        <v>245</v>
      </c>
      <c r="Q453" s="3" t="str">
        <f t="shared" si="76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7"/>
        <v>0.94047619047619047</v>
      </c>
      <c r="N454" s="3">
        <f t="shared" si="78"/>
        <v>0.94047619047619047</v>
      </c>
      <c r="O454" s="3" t="s">
        <v>245</v>
      </c>
      <c r="P454" s="3" t="s">
        <v>245</v>
      </c>
      <c r="Q454" s="3" t="str">
        <f t="shared" si="76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7"/>
        <v>0.94047619047619047</v>
      </c>
      <c r="N455" s="3">
        <f t="shared" si="78"/>
        <v>0.94047619047619047</v>
      </c>
      <c r="O455" s="3" t="s">
        <v>245</v>
      </c>
      <c r="P455" s="3" t="s">
        <v>245</v>
      </c>
      <c r="Q455" s="3" t="str">
        <f t="shared" si="76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7"/>
        <v>1.4939759036144578</v>
      </c>
      <c r="N456" s="3">
        <f t="shared" si="78"/>
        <v>1.4939759036144578</v>
      </c>
      <c r="O456" s="3" t="s">
        <v>245</v>
      </c>
      <c r="P456" s="3" t="s">
        <v>245</v>
      </c>
      <c r="Q456" s="3" t="str">
        <f t="shared" si="76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7"/>
        <v>1.4939759036144578</v>
      </c>
      <c r="N457" s="3">
        <f t="shared" si="78"/>
        <v>1.4939759036144578</v>
      </c>
      <c r="O457" s="3" t="s">
        <v>245</v>
      </c>
      <c r="P457" s="3" t="s">
        <v>245</v>
      </c>
      <c r="Q457" s="3" t="str">
        <f t="shared" si="76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7"/>
        <v>1.2583333333333333</v>
      </c>
      <c r="N458" s="3">
        <f t="shared" si="78"/>
        <v>1.2583333333333333</v>
      </c>
      <c r="O458" s="3" t="s">
        <v>245</v>
      </c>
      <c r="P458" s="3" t="s">
        <v>245</v>
      </c>
      <c r="Q458" s="3" t="str">
        <f t="shared" si="76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6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9">+L460/K460</f>
        <v>0.76923076923076927</v>
      </c>
      <c r="N460" s="3">
        <f t="shared" ref="N460:N465" si="80">+L460/K460</f>
        <v>0.76923076923076927</v>
      </c>
      <c r="O460" s="3" t="s">
        <v>245</v>
      </c>
      <c r="P460" s="3" t="s">
        <v>35</v>
      </c>
      <c r="Q460" s="3" t="str">
        <f t="shared" si="76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9"/>
        <v>1</v>
      </c>
      <c r="N461" s="3">
        <f t="shared" si="80"/>
        <v>1</v>
      </c>
      <c r="O461" s="3" t="s">
        <v>35</v>
      </c>
      <c r="P461" s="3" t="s">
        <v>35</v>
      </c>
      <c r="Q461" s="3" t="str">
        <f t="shared" si="76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9"/>
        <v>1</v>
      </c>
      <c r="N462" s="3">
        <f t="shared" si="80"/>
        <v>1</v>
      </c>
      <c r="O462" s="3" t="s">
        <v>35</v>
      </c>
      <c r="P462" s="3" t="s">
        <v>35</v>
      </c>
      <c r="Q462" s="3" t="str">
        <f t="shared" si="76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9"/>
        <v>1.2857142857142858</v>
      </c>
      <c r="N463" s="3">
        <f t="shared" si="80"/>
        <v>1.2857142857142858</v>
      </c>
      <c r="O463" s="3" t="s">
        <v>35</v>
      </c>
      <c r="P463" s="3" t="s">
        <v>35</v>
      </c>
      <c r="Q463" s="3" t="str">
        <f t="shared" si="76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9"/>
        <v>1.2857142857142858</v>
      </c>
      <c r="N464" s="3">
        <f t="shared" si="80"/>
        <v>1.2857142857142858</v>
      </c>
      <c r="O464" s="3" t="s">
        <v>35</v>
      </c>
      <c r="P464" s="3" t="s">
        <v>35</v>
      </c>
      <c r="Q464" s="3" t="str">
        <f t="shared" si="76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9"/>
        <v>1.2222222222222223</v>
      </c>
      <c r="N465" s="3">
        <f t="shared" si="80"/>
        <v>1.2222222222222223</v>
      </c>
      <c r="O465" s="3" t="s">
        <v>35</v>
      </c>
      <c r="P465" s="3" t="s">
        <v>35</v>
      </c>
      <c r="Q465" s="3" t="str">
        <f t="shared" si="76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6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6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6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6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6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6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81">+L472/K472</f>
        <v>1.7424000000000002</v>
      </c>
      <c r="O472" s="3" t="s">
        <v>35</v>
      </c>
      <c r="P472" s="3" t="s">
        <v>245</v>
      </c>
      <c r="Q472" s="3" t="str">
        <f t="shared" si="76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81"/>
        <v>1.27</v>
      </c>
      <c r="O473" s="3" t="s">
        <v>35</v>
      </c>
      <c r="P473" s="3" t="s">
        <v>245</v>
      </c>
      <c r="Q473" s="3" t="str">
        <f t="shared" si="76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81"/>
        <v>1.27</v>
      </c>
      <c r="O474" s="3" t="s">
        <v>35</v>
      </c>
      <c r="P474" s="3" t="s">
        <v>245</v>
      </c>
      <c r="Q474" s="3" t="str">
        <f t="shared" si="76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81"/>
        <v>1.0759999999999998</v>
      </c>
      <c r="O475" s="3" t="s">
        <v>35</v>
      </c>
      <c r="P475" s="3" t="s">
        <v>245</v>
      </c>
      <c r="Q475" s="3" t="str">
        <f t="shared" si="76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81"/>
        <v>1.0759999999999998</v>
      </c>
      <c r="O476" s="3" t="s">
        <v>35</v>
      </c>
      <c r="P476" s="3" t="s">
        <v>245</v>
      </c>
      <c r="Q476" s="3" t="str">
        <f t="shared" si="76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82">+L477/K477</f>
        <v>1.0654545454545454</v>
      </c>
      <c r="N477" s="3">
        <f t="shared" si="81"/>
        <v>1.0654545454545454</v>
      </c>
      <c r="O477" s="3" t="s">
        <v>35</v>
      </c>
      <c r="P477" s="3" t="s">
        <v>245</v>
      </c>
      <c r="Q477" s="3" t="str">
        <f t="shared" si="76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f>176757251547.1/1000000</f>
        <v>176757.25154709999</v>
      </c>
      <c r="M478" s="3">
        <f t="shared" si="82"/>
        <v>1.1092117501681222</v>
      </c>
      <c r="N478" s="3">
        <f t="shared" ref="N478:N479" si="83">+L478/K478</f>
        <v>1.1092117501681222</v>
      </c>
      <c r="O478" s="3" t="s">
        <v>143</v>
      </c>
      <c r="P478" s="3" t="s">
        <v>143</v>
      </c>
      <c r="Q478" s="3" t="str">
        <f t="shared" si="76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344352396844/1000000</f>
        <v>344352.39684399997</v>
      </c>
      <c r="M479" s="3">
        <f t="shared" si="82"/>
        <v>1.1133112424773159</v>
      </c>
      <c r="N479" s="3">
        <f t="shared" si="83"/>
        <v>1.1133112424773159</v>
      </c>
      <c r="O479" s="3" t="s">
        <v>143</v>
      </c>
      <c r="P479" s="3" t="s">
        <v>143</v>
      </c>
      <c r="Q479" s="3" t="str">
        <f t="shared" si="76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6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82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6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82"/>
        <v>1.175</v>
      </c>
      <c r="N482" s="3">
        <v>1.0625</v>
      </c>
      <c r="O482" s="3" t="s">
        <v>58</v>
      </c>
      <c r="P482" s="3" t="s">
        <v>58</v>
      </c>
      <c r="Q482" s="3" t="str">
        <f t="shared" si="76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4700694763/1000000</f>
        <v>4700.6947630000004</v>
      </c>
      <c r="M483" s="3">
        <f>IF(+L483/K483&gt;1.3,1.3,L483/K483)</f>
        <v>1.1627806593671794</v>
      </c>
      <c r="N483" s="3">
        <f>+L483/K483</f>
        <v>1.1627806593671794</v>
      </c>
      <c r="O483" s="3" t="s">
        <v>143</v>
      </c>
      <c r="P483" s="3" t="s">
        <v>143</v>
      </c>
      <c r="Q483" s="3" t="str">
        <f t="shared" si="76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18570267021/1000000</f>
        <v>18570.267021</v>
      </c>
      <c r="M484" s="3">
        <f>L484/K484</f>
        <v>1.0886389449492739</v>
      </c>
      <c r="N484" s="3">
        <f>L484/K484</f>
        <v>1.0886389449492739</v>
      </c>
      <c r="O484" s="3" t="s">
        <v>143</v>
      </c>
      <c r="P484" s="3" t="s">
        <v>143</v>
      </c>
      <c r="Q484" s="3" t="str">
        <f t="shared" si="76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6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6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6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6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6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6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6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6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6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6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4">+L495/K495</f>
        <v>1.0576470588235294</v>
      </c>
      <c r="N495" s="3">
        <f t="shared" ref="N495" si="85">+L495/K495</f>
        <v>1.0576470588235294</v>
      </c>
      <c r="O495" s="3" t="s">
        <v>58</v>
      </c>
      <c r="P495" s="3" t="s">
        <v>58</v>
      </c>
      <c r="Q495" s="3" t="str">
        <f t="shared" si="76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6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6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6">+L498/K498</f>
        <v>1.0011614401858304</v>
      </c>
      <c r="N498" s="3">
        <f t="shared" ref="N498" si="87">+L498/K498</f>
        <v>1.0011614401858304</v>
      </c>
      <c r="O498" s="3" t="s">
        <v>58</v>
      </c>
      <c r="P498" s="3" t="s">
        <v>58</v>
      </c>
      <c r="Q498" s="3" t="str">
        <f t="shared" si="76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8">+K499/L499</f>
        <v>0.97814273638449456</v>
      </c>
      <c r="N499" s="3">
        <f t="shared" ref="N499:N500" si="89">+K499/L499</f>
        <v>0.97814273638449456</v>
      </c>
      <c r="O499" s="3" t="s">
        <v>35</v>
      </c>
      <c r="P499" s="3" t="s">
        <v>245</v>
      </c>
      <c r="Q499" s="3" t="str">
        <f t="shared" si="76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8"/>
        <v>1.0380116959064327</v>
      </c>
      <c r="N500" s="3">
        <f t="shared" si="89"/>
        <v>1.0380116959064327</v>
      </c>
      <c r="O500" s="3" t="s">
        <v>35</v>
      </c>
      <c r="P500" s="3" t="s">
        <v>245</v>
      </c>
      <c r="Q500" s="3" t="str">
        <f t="shared" si="76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90">+L501/K501</f>
        <v>0.84417707369256101</v>
      </c>
      <c r="N501" s="3">
        <f t="shared" ref="N501" si="91">+L501/K501</f>
        <v>0.84417707369256101</v>
      </c>
      <c r="O501" s="3" t="s">
        <v>35</v>
      </c>
      <c r="P501" s="3" t="s">
        <v>35</v>
      </c>
      <c r="Q501" s="3" t="str">
        <f t="shared" si="76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90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6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25365</v>
      </c>
      <c r="M503" s="3">
        <f>+L503/K503</f>
        <v>1.0299252882897516</v>
      </c>
      <c r="N503" s="3">
        <f>+L503/K503</f>
        <v>1.0299252882897516</v>
      </c>
      <c r="O503" s="3" t="s">
        <v>35</v>
      </c>
      <c r="P503" s="3" t="s">
        <v>35</v>
      </c>
      <c r="Q503" s="3" t="str">
        <f t="shared" si="76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56807</v>
      </c>
      <c r="M504" s="3">
        <f>+L504/K504</f>
        <v>1.0188499892388263</v>
      </c>
      <c r="N504" s="3">
        <f>+L504/K504</f>
        <v>1.0188499892388263</v>
      </c>
      <c r="O504" s="3" t="s">
        <v>35</v>
      </c>
      <c r="P504" s="3" t="s">
        <v>35</v>
      </c>
      <c r="Q504" s="3" t="str">
        <f t="shared" si="76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6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6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92">+L507/K507</f>
        <v>1.0294735596129376</v>
      </c>
      <c r="N507" s="3">
        <f t="shared" ref="N507:N508" si="93">+L507/K507</f>
        <v>1.0294735596129376</v>
      </c>
      <c r="O507" s="3" t="s">
        <v>35</v>
      </c>
      <c r="P507" s="3" t="s">
        <v>35</v>
      </c>
      <c r="Q507" s="3" t="str">
        <f t="shared" si="76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92"/>
        <v>1.033763700538733</v>
      </c>
      <c r="N508" s="3">
        <f t="shared" si="93"/>
        <v>1.033763700538733</v>
      </c>
      <c r="O508" s="3" t="s">
        <v>35</v>
      </c>
      <c r="P508" s="3" t="s">
        <v>35</v>
      </c>
      <c r="Q508" s="3" t="str">
        <f t="shared" si="76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6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6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6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6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4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6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6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5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6">+L516/K516</f>
        <v>1.0576470588235294</v>
      </c>
      <c r="N516" s="3">
        <f t="shared" ref="N516" si="97">+L516/K516</f>
        <v>1.0576470588235294</v>
      </c>
      <c r="O516" s="3" t="s">
        <v>58</v>
      </c>
      <c r="P516" s="3" t="s">
        <v>58</v>
      </c>
      <c r="Q516" s="3" t="str">
        <f t="shared" si="95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5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5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1157792.5697010001</v>
      </c>
      <c r="M519" s="3">
        <f t="shared" ref="M519" si="98">+L519/K519</f>
        <v>1.0639250292430453</v>
      </c>
      <c r="N519" s="3">
        <f t="shared" ref="N519" si="99">+L519/K519</f>
        <v>1.0639250292430453</v>
      </c>
      <c r="O519" s="3" t="s">
        <v>143</v>
      </c>
      <c r="P519" s="3" t="s">
        <v>143</v>
      </c>
      <c r="Q519" s="3" t="str">
        <f t="shared" si="95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5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5674</v>
      </c>
      <c r="M521" s="3">
        <f>IF(L521/K521&gt;1.3,1.3,L521/K521)</f>
        <v>1.2113578138343297</v>
      </c>
      <c r="N521" s="3">
        <f>L521/K521</f>
        <v>1.2113578138343297</v>
      </c>
      <c r="O521" s="3" t="s">
        <v>143</v>
      </c>
      <c r="P521" s="3" t="s">
        <v>143</v>
      </c>
      <c r="Q521" s="3" t="str">
        <f t="shared" si="95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5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100">+L523/K523</f>
        <v>1.0011614401858304</v>
      </c>
      <c r="N523" s="3">
        <f t="shared" ref="N523:N524" si="101">+L523/K523</f>
        <v>1.0011614401858304</v>
      </c>
      <c r="O523" s="3" t="s">
        <v>58</v>
      </c>
      <c r="P523" s="3" t="s">
        <v>58</v>
      </c>
      <c r="Q523" s="3" t="str">
        <f t="shared" si="95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45583</v>
      </c>
      <c r="M524" s="3">
        <f>+L524/K524</f>
        <v>1.0189105214922771</v>
      </c>
      <c r="N524" s="3">
        <f t="shared" si="101"/>
        <v>1.0189105214922771</v>
      </c>
      <c r="O524" s="3" t="s">
        <v>35</v>
      </c>
      <c r="P524" s="3" t="s">
        <v>35</v>
      </c>
      <c r="Q524" s="3" t="str">
        <f t="shared" si="95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102">+K525/L525</f>
        <v>0.97814273638449456</v>
      </c>
      <c r="N525" s="3">
        <f t="shared" ref="N525:N526" si="103">+K525/L525</f>
        <v>0.97814273638449456</v>
      </c>
      <c r="O525" s="3" t="s">
        <v>35</v>
      </c>
      <c r="P525" s="3" t="s">
        <v>245</v>
      </c>
      <c r="Q525" s="3" t="str">
        <f t="shared" si="95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102"/>
        <v>1.0380116959064327</v>
      </c>
      <c r="N526" s="3">
        <f t="shared" si="103"/>
        <v>1.0380116959064327</v>
      </c>
      <c r="O526" s="3" t="s">
        <v>35</v>
      </c>
      <c r="P526" s="3" t="s">
        <v>245</v>
      </c>
      <c r="Q526" s="3" t="str">
        <f t="shared" si="95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5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4">+L528/K528</f>
        <v>0.97848330378250592</v>
      </c>
      <c r="N528" s="3">
        <f t="shared" ref="N528" si="105">+L528/K528</f>
        <v>0.97848330378250592</v>
      </c>
      <c r="O528" s="3" t="s">
        <v>35</v>
      </c>
      <c r="P528" s="3" t="s">
        <v>35</v>
      </c>
      <c r="Q528" s="3" t="str">
        <f t="shared" si="95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5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6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5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117762.46742599996</v>
      </c>
      <c r="M531" s="3">
        <f t="shared" si="106"/>
        <v>1.1628097256781738</v>
      </c>
      <c r="N531" s="3">
        <f t="shared" ref="N531" si="107">+L531/K531</f>
        <v>1.1628097256781738</v>
      </c>
      <c r="O531" s="3" t="s">
        <v>143</v>
      </c>
      <c r="P531" s="3" t="s">
        <v>143</v>
      </c>
      <c r="Q531" s="3" t="str">
        <f t="shared" si="95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92498</v>
      </c>
      <c r="M532" s="3">
        <f>+L532/K532</f>
        <v>1.0175909525957381</v>
      </c>
      <c r="N532" s="3">
        <f>+L532/K532</f>
        <v>1.0175909525957381</v>
      </c>
      <c r="O532" s="3" t="s">
        <v>35</v>
      </c>
      <c r="P532" s="3" t="s">
        <v>35</v>
      </c>
      <c r="Q532" s="3" t="str">
        <f t="shared" si="95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59545.798287999998</v>
      </c>
      <c r="M533" s="3">
        <f>L533/K533</f>
        <v>0.99202561337790229</v>
      </c>
      <c r="N533" s="3">
        <f>L533/K533</f>
        <v>0.99202561337790229</v>
      </c>
      <c r="O533" s="3" t="s">
        <v>143</v>
      </c>
      <c r="P533" s="3" t="s">
        <v>143</v>
      </c>
      <c r="Q533" s="3" t="str">
        <f t="shared" si="95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14069.243124000001</v>
      </c>
      <c r="M534" s="3">
        <f>IF(+L534/K534&gt;1.3,1.3,L534/K534)</f>
        <v>1.3</v>
      </c>
      <c r="N534" s="3">
        <f>+L534/K534</f>
        <v>1.4475982453256353</v>
      </c>
      <c r="O534" s="3" t="s">
        <v>143</v>
      </c>
      <c r="P534" s="3" t="s">
        <v>143</v>
      </c>
      <c r="Q534" s="3" t="str">
        <f t="shared" si="95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26848.239661</v>
      </c>
      <c r="M535" s="3">
        <f t="shared" ref="M535" si="108">L535/K535</f>
        <v>0.97363708829366702</v>
      </c>
      <c r="N535" s="3">
        <f t="shared" ref="N535:N536" si="109">L535/K535</f>
        <v>0.97363708829366702</v>
      </c>
      <c r="O535" s="3" t="s">
        <v>143</v>
      </c>
      <c r="P535" s="3" t="s">
        <v>143</v>
      </c>
      <c r="Q535" s="3" t="str">
        <f t="shared" si="95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18628.315503000002</v>
      </c>
      <c r="M536" s="3">
        <f t="shared" ref="M536" si="110">IF(L536/K536&gt;1.3,1.3,L536/K536)</f>
        <v>0.95999771993622107</v>
      </c>
      <c r="N536" s="3">
        <f t="shared" si="109"/>
        <v>0.95999771993622107</v>
      </c>
      <c r="O536" s="3" t="s">
        <v>143</v>
      </c>
      <c r="P536" s="3" t="s">
        <v>143</v>
      </c>
      <c r="Q536" s="3" t="str">
        <f t="shared" si="95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5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5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11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5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5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12">IF(L541/K541&gt;1,1,L541/K541)</f>
        <v>1</v>
      </c>
      <c r="N541" s="3">
        <f t="shared" ref="N541:N601" si="113">IF(L541/K541&gt;1,1,L541/K541)</f>
        <v>1</v>
      </c>
      <c r="O541" s="3" t="s">
        <v>58</v>
      </c>
      <c r="P541" s="3" t="s">
        <v>58</v>
      </c>
      <c r="Q541" s="3" t="str">
        <f t="shared" si="95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12"/>
        <v>1</v>
      </c>
      <c r="N542" s="3">
        <f t="shared" si="113"/>
        <v>1</v>
      </c>
      <c r="O542" s="3" t="s">
        <v>58</v>
      </c>
      <c r="P542" s="3" t="s">
        <v>58</v>
      </c>
      <c r="Q542" s="3" t="str">
        <f t="shared" si="95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12"/>
        <v>1</v>
      </c>
      <c r="N543" s="3">
        <f t="shared" si="113"/>
        <v>1</v>
      </c>
      <c r="O543" s="3" t="s">
        <v>58</v>
      </c>
      <c r="P543" s="3" t="s">
        <v>58</v>
      </c>
      <c r="Q543" s="3" t="str">
        <f t="shared" si="95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12"/>
        <v>0.94871794871794868</v>
      </c>
      <c r="N544" s="3">
        <f t="shared" si="113"/>
        <v>0.94871794871794868</v>
      </c>
      <c r="O544" s="3"/>
      <c r="P544" s="3"/>
      <c r="Q544" s="3" t="str">
        <f t="shared" si="95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12"/>
        <v>1</v>
      </c>
      <c r="N545" s="3">
        <f t="shared" si="113"/>
        <v>1</v>
      </c>
      <c r="O545" s="3"/>
      <c r="P545" s="3"/>
      <c r="Q545" s="3" t="str">
        <f t="shared" si="95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12"/>
        <v>0.94871794871794868</v>
      </c>
      <c r="N546" s="3">
        <f t="shared" si="113"/>
        <v>0.94871794871794868</v>
      </c>
      <c r="O546" s="3" t="s">
        <v>58</v>
      </c>
      <c r="P546" s="3" t="s">
        <v>58</v>
      </c>
      <c r="Q546" s="3" t="str">
        <f t="shared" si="95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12"/>
        <v>1</v>
      </c>
      <c r="N547" s="3">
        <f t="shared" si="113"/>
        <v>1</v>
      </c>
      <c r="O547" s="3" t="s">
        <v>58</v>
      </c>
      <c r="P547" s="3" t="s">
        <v>58</v>
      </c>
      <c r="Q547" s="3" t="str">
        <f t="shared" si="95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12"/>
        <v>0.96938775510204078</v>
      </c>
      <c r="N548" s="3">
        <f t="shared" si="113"/>
        <v>0.96938775510204078</v>
      </c>
      <c r="O548" s="3" t="s">
        <v>58</v>
      </c>
      <c r="P548" s="3" t="s">
        <v>58</v>
      </c>
      <c r="Q548" s="3" t="str">
        <f t="shared" si="95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12"/>
        <v>1</v>
      </c>
      <c r="N549" s="3">
        <f t="shared" si="113"/>
        <v>1</v>
      </c>
      <c r="O549" s="3" t="s">
        <v>58</v>
      </c>
      <c r="P549" s="3" t="s">
        <v>58</v>
      </c>
      <c r="Q549" s="3" t="str">
        <f t="shared" si="95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12"/>
        <v>0.8571428571428571</v>
      </c>
      <c r="N550" s="3">
        <f t="shared" si="113"/>
        <v>0.8571428571428571</v>
      </c>
      <c r="O550" s="3" t="s">
        <v>58</v>
      </c>
      <c r="P550" s="3" t="s">
        <v>58</v>
      </c>
      <c r="Q550" s="3" t="str">
        <f t="shared" si="95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12"/>
        <v>1</v>
      </c>
      <c r="N551" s="3">
        <f t="shared" si="113"/>
        <v>1</v>
      </c>
      <c r="O551" s="3" t="s">
        <v>58</v>
      </c>
      <c r="P551" s="3" t="s">
        <v>58</v>
      </c>
      <c r="Q551" s="3" t="str">
        <f t="shared" si="95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12"/>
        <v>1</v>
      </c>
      <c r="N552" s="3">
        <f t="shared" si="113"/>
        <v>1</v>
      </c>
      <c r="O552" s="3"/>
      <c r="P552" s="3"/>
      <c r="Q552" s="3" t="str">
        <f t="shared" si="95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12"/>
        <v>0.96938775510204078</v>
      </c>
      <c r="N553" s="3">
        <f t="shared" si="113"/>
        <v>0.96938775510204078</v>
      </c>
      <c r="O553" s="3" t="s">
        <v>58</v>
      </c>
      <c r="P553" s="3" t="s">
        <v>58</v>
      </c>
      <c r="Q553" s="3" t="str">
        <f t="shared" si="95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12"/>
        <v>1</v>
      </c>
      <c r="N554" s="3">
        <f t="shared" si="113"/>
        <v>1</v>
      </c>
      <c r="O554" s="3" t="s">
        <v>58</v>
      </c>
      <c r="P554" s="3" t="s">
        <v>58</v>
      </c>
      <c r="Q554" s="3" t="str">
        <f t="shared" si="95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12"/>
        <v>1</v>
      </c>
      <c r="N555" s="3">
        <f t="shared" si="113"/>
        <v>1</v>
      </c>
      <c r="O555" s="3">
        <v>0</v>
      </c>
      <c r="P555" s="3">
        <v>0</v>
      </c>
      <c r="Q555" s="3" t="str">
        <f t="shared" si="95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12"/>
        <v>1</v>
      </c>
      <c r="N556" s="3">
        <f t="shared" si="113"/>
        <v>1</v>
      </c>
      <c r="O556" s="3">
        <v>0</v>
      </c>
      <c r="P556" s="3">
        <v>0</v>
      </c>
      <c r="Q556" s="3" t="str">
        <f t="shared" si="95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5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12"/>
        <v>0.7846153846153846</v>
      </c>
      <c r="N558" s="3">
        <f t="shared" si="113"/>
        <v>0.7846153846153846</v>
      </c>
      <c r="O558" s="3"/>
      <c r="P558" s="3"/>
      <c r="Q558" s="3" t="str">
        <f t="shared" si="95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12"/>
        <v>0.73684210526315785</v>
      </c>
      <c r="N559" s="3">
        <f t="shared" si="113"/>
        <v>0.73684210526315785</v>
      </c>
      <c r="O559" s="3"/>
      <c r="P559" s="3"/>
      <c r="Q559" s="3" t="str">
        <f t="shared" si="95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12"/>
        <v>0.99</v>
      </c>
      <c r="N560" s="3">
        <f t="shared" si="113"/>
        <v>0.99</v>
      </c>
      <c r="O560" s="3" t="s">
        <v>58</v>
      </c>
      <c r="P560" s="3" t="s">
        <v>58</v>
      </c>
      <c r="Q560" s="3" t="str">
        <f t="shared" si="95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12"/>
        <v>1</v>
      </c>
      <c r="N561" s="3">
        <f t="shared" si="113"/>
        <v>1</v>
      </c>
      <c r="O561" s="3" t="s">
        <v>58</v>
      </c>
      <c r="P561" s="3" t="s">
        <v>58</v>
      </c>
      <c r="Q561" s="3" t="str">
        <f t="shared" si="95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12"/>
        <v>1</v>
      </c>
      <c r="N562" s="3">
        <f t="shared" si="113"/>
        <v>1</v>
      </c>
      <c r="O562" s="3" t="s">
        <v>58</v>
      </c>
      <c r="P562" s="3" t="s">
        <v>58</v>
      </c>
      <c r="Q562" s="3" t="str">
        <f t="shared" si="95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12"/>
        <v>0.87804878048780488</v>
      </c>
      <c r="N563" s="3">
        <f t="shared" si="113"/>
        <v>0.87804878048780488</v>
      </c>
      <c r="O563" s="3"/>
      <c r="P563" s="3"/>
      <c r="Q563" s="3" t="str">
        <f t="shared" si="95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12"/>
        <v>1</v>
      </c>
      <c r="N564" s="3">
        <f t="shared" si="113"/>
        <v>1</v>
      </c>
      <c r="O564" s="3"/>
      <c r="P564" s="3"/>
      <c r="Q564" s="3" t="str">
        <f t="shared" si="95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12"/>
        <v>1</v>
      </c>
      <c r="N565" s="3">
        <f t="shared" si="113"/>
        <v>1</v>
      </c>
      <c r="O565" s="3"/>
      <c r="P565" s="3"/>
      <c r="Q565" s="3" t="str">
        <f t="shared" si="95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12"/>
        <v>1</v>
      </c>
      <c r="N566" s="3">
        <f t="shared" si="113"/>
        <v>1</v>
      </c>
      <c r="O566" s="3" t="s">
        <v>58</v>
      </c>
      <c r="P566" s="3" t="s">
        <v>58</v>
      </c>
      <c r="Q566" s="3" t="str">
        <f t="shared" si="95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12"/>
        <v>1</v>
      </c>
      <c r="N567" s="3">
        <f t="shared" si="113"/>
        <v>1</v>
      </c>
      <c r="O567" s="3" t="s">
        <v>58</v>
      </c>
      <c r="P567" s="3" t="s">
        <v>58</v>
      </c>
      <c r="Q567" s="3" t="str">
        <f t="shared" si="95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12"/>
        <v>1</v>
      </c>
      <c r="N568" s="3">
        <f t="shared" si="113"/>
        <v>1</v>
      </c>
      <c r="O568" s="3" t="s">
        <v>58</v>
      </c>
      <c r="P568" s="3" t="s">
        <v>58</v>
      </c>
      <c r="Q568" s="3" t="str">
        <f t="shared" si="95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12"/>
        <v>1</v>
      </c>
      <c r="N569" s="3">
        <f t="shared" si="113"/>
        <v>1</v>
      </c>
      <c r="O569" s="3" t="s">
        <v>58</v>
      </c>
      <c r="P569" s="3" t="s">
        <v>58</v>
      </c>
      <c r="Q569" s="3" t="str">
        <f t="shared" si="95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12"/>
        <v>1</v>
      </c>
      <c r="N570" s="3">
        <f t="shared" si="113"/>
        <v>1</v>
      </c>
      <c r="O570" s="3">
        <v>0</v>
      </c>
      <c r="P570" s="3">
        <v>0</v>
      </c>
      <c r="Q570" s="3" t="str">
        <f t="shared" si="95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12"/>
        <v>1</v>
      </c>
      <c r="N571" s="3">
        <f t="shared" si="113"/>
        <v>1</v>
      </c>
      <c r="O571" s="3">
        <v>0</v>
      </c>
      <c r="P571" s="3">
        <v>0</v>
      </c>
      <c r="Q571" s="3" t="str">
        <f t="shared" si="95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12"/>
        <v>1</v>
      </c>
      <c r="N572" s="3">
        <f t="shared" si="113"/>
        <v>1</v>
      </c>
      <c r="O572" s="3" t="s">
        <v>58</v>
      </c>
      <c r="P572" s="3" t="s">
        <v>58</v>
      </c>
      <c r="Q572" s="3" t="str">
        <f t="shared" si="95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12"/>
        <v>1</v>
      </c>
      <c r="N573" s="3">
        <f t="shared" si="113"/>
        <v>1</v>
      </c>
      <c r="O573" s="3" t="s">
        <v>58</v>
      </c>
      <c r="P573" s="3" t="s">
        <v>58</v>
      </c>
      <c r="Q573" s="3" t="str">
        <f t="shared" si="95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12"/>
        <v>1</v>
      </c>
      <c r="N574" s="3">
        <f t="shared" si="113"/>
        <v>1</v>
      </c>
      <c r="O574" s="3" t="s">
        <v>58</v>
      </c>
      <c r="P574" s="3" t="s">
        <v>58</v>
      </c>
      <c r="Q574" s="3" t="str">
        <f t="shared" si="95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12"/>
        <v>1</v>
      </c>
      <c r="N575" s="3">
        <f t="shared" si="113"/>
        <v>1</v>
      </c>
      <c r="O575" s="3" t="s">
        <v>58</v>
      </c>
      <c r="P575" s="3" t="s">
        <v>58</v>
      </c>
      <c r="Q575" s="3" t="str">
        <f t="shared" si="95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12"/>
        <v>1</v>
      </c>
      <c r="N576" s="3">
        <f t="shared" si="113"/>
        <v>1</v>
      </c>
      <c r="O576" s="3" t="s">
        <v>58</v>
      </c>
      <c r="P576" s="3" t="s">
        <v>58</v>
      </c>
      <c r="Q576" s="3" t="str">
        <f t="shared" si="95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12"/>
        <v>1</v>
      </c>
      <c r="N577" s="3">
        <f t="shared" si="113"/>
        <v>1</v>
      </c>
      <c r="O577" s="3"/>
      <c r="P577" s="3"/>
      <c r="Q577" s="3" t="str">
        <f t="shared" si="95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12"/>
        <v>1</v>
      </c>
      <c r="N578" s="3">
        <f t="shared" si="113"/>
        <v>1</v>
      </c>
      <c r="O578" s="3" t="s">
        <v>58</v>
      </c>
      <c r="P578" s="3" t="s">
        <v>58</v>
      </c>
      <c r="Q578" s="3" t="str">
        <f t="shared" si="95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12"/>
        <v>1</v>
      </c>
      <c r="N579" s="3">
        <f t="shared" si="113"/>
        <v>1</v>
      </c>
      <c r="O579" s="3" t="s">
        <v>58</v>
      </c>
      <c r="P579" s="3" t="s">
        <v>58</v>
      </c>
      <c r="Q579" s="3" t="str">
        <f t="shared" ref="Q579:Q642" si="114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12"/>
        <v>1</v>
      </c>
      <c r="N580" s="3">
        <f t="shared" si="113"/>
        <v>1</v>
      </c>
      <c r="O580" s="3" t="s">
        <v>58</v>
      </c>
      <c r="P580" s="3" t="s">
        <v>58</v>
      </c>
      <c r="Q580" s="3" t="str">
        <f t="shared" si="114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12"/>
        <v>1</v>
      </c>
      <c r="N581" s="3">
        <f t="shared" si="113"/>
        <v>1</v>
      </c>
      <c r="O581" s="3">
        <v>0</v>
      </c>
      <c r="P581" s="3">
        <v>0</v>
      </c>
      <c r="Q581" s="3" t="str">
        <f t="shared" si="114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4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4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4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12"/>
        <v>1</v>
      </c>
      <c r="N585" s="3">
        <f t="shared" si="113"/>
        <v>1</v>
      </c>
      <c r="O585" s="3" t="s">
        <v>58</v>
      </c>
      <c r="P585" s="3" t="s">
        <v>58</v>
      </c>
      <c r="Q585" s="3" t="str">
        <f t="shared" si="114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12"/>
        <v>1</v>
      </c>
      <c r="N586" s="3">
        <f t="shared" si="113"/>
        <v>1</v>
      </c>
      <c r="O586" s="3">
        <v>0</v>
      </c>
      <c r="P586" s="3">
        <v>0</v>
      </c>
      <c r="Q586" s="3" t="str">
        <f t="shared" si="114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12"/>
        <v>1</v>
      </c>
      <c r="N587" s="3">
        <f t="shared" si="113"/>
        <v>1</v>
      </c>
      <c r="O587" s="3" t="s">
        <v>58</v>
      </c>
      <c r="P587" s="3" t="s">
        <v>58</v>
      </c>
      <c r="Q587" s="3" t="str">
        <f t="shared" si="114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12"/>
        <v>1</v>
      </c>
      <c r="N588" s="3">
        <f t="shared" si="113"/>
        <v>1</v>
      </c>
      <c r="O588" s="3" t="s">
        <v>58</v>
      </c>
      <c r="P588" s="3" t="s">
        <v>58</v>
      </c>
      <c r="Q588" s="3" t="str">
        <f t="shared" si="114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4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12"/>
        <v>1</v>
      </c>
      <c r="N590" s="3">
        <f t="shared" si="113"/>
        <v>1</v>
      </c>
      <c r="O590" s="3"/>
      <c r="P590" s="3"/>
      <c r="Q590" s="3" t="str">
        <f t="shared" si="114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12"/>
        <v>1</v>
      </c>
      <c r="N591" s="3">
        <f t="shared" si="113"/>
        <v>1</v>
      </c>
      <c r="O591" s="3"/>
      <c r="P591" s="3"/>
      <c r="Q591" s="3" t="str">
        <f t="shared" si="114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12"/>
        <v>1</v>
      </c>
      <c r="N592" s="3">
        <f t="shared" si="113"/>
        <v>1</v>
      </c>
      <c r="O592" s="3" t="s">
        <v>58</v>
      </c>
      <c r="P592" s="3" t="s">
        <v>58</v>
      </c>
      <c r="Q592" s="3" t="str">
        <f t="shared" si="114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12"/>
        <v>1</v>
      </c>
      <c r="N593" s="3">
        <f t="shared" si="113"/>
        <v>1</v>
      </c>
      <c r="O593" s="3" t="s">
        <v>58</v>
      </c>
      <c r="P593" s="3" t="s">
        <v>58</v>
      </c>
      <c r="Q593" s="3" t="str">
        <f t="shared" si="114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12"/>
        <v>1</v>
      </c>
      <c r="N594" s="3">
        <f t="shared" si="113"/>
        <v>1</v>
      </c>
      <c r="O594" s="3" t="s">
        <v>58</v>
      </c>
      <c r="P594" s="3" t="s">
        <v>58</v>
      </c>
      <c r="Q594" s="3" t="str">
        <f t="shared" si="114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12"/>
        <v>1</v>
      </c>
      <c r="N595" s="3">
        <f t="shared" si="113"/>
        <v>1</v>
      </c>
      <c r="O595" s="3" t="s">
        <v>58</v>
      </c>
      <c r="P595" s="3" t="s">
        <v>58</v>
      </c>
      <c r="Q595" s="3" t="str">
        <f t="shared" si="114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12"/>
        <v>1</v>
      </c>
      <c r="N596" s="3">
        <f t="shared" si="113"/>
        <v>1</v>
      </c>
      <c r="O596" s="3" t="s">
        <v>58</v>
      </c>
      <c r="P596" s="3" t="s">
        <v>58</v>
      </c>
      <c r="Q596" s="3" t="str">
        <f t="shared" si="114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12"/>
        <v>1</v>
      </c>
      <c r="N597" s="3">
        <f t="shared" si="113"/>
        <v>1</v>
      </c>
      <c r="O597" s="3" t="s">
        <v>58</v>
      </c>
      <c r="P597" s="3" t="s">
        <v>58</v>
      </c>
      <c r="Q597" s="3" t="str">
        <f t="shared" si="114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12"/>
        <v>1</v>
      </c>
      <c r="N598" s="3">
        <f t="shared" si="113"/>
        <v>1</v>
      </c>
      <c r="O598" s="3" t="s">
        <v>58</v>
      </c>
      <c r="P598" s="3" t="s">
        <v>58</v>
      </c>
      <c r="Q598" s="3" t="str">
        <f t="shared" si="114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12"/>
        <v>1</v>
      </c>
      <c r="N599" s="3">
        <f t="shared" si="113"/>
        <v>1</v>
      </c>
      <c r="O599" s="3"/>
      <c r="P599" s="3"/>
      <c r="Q599" s="3" t="str">
        <f t="shared" si="114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12"/>
        <v>0.99</v>
      </c>
      <c r="N600" s="3">
        <f t="shared" si="113"/>
        <v>0.99</v>
      </c>
      <c r="O600" s="3" t="s">
        <v>58</v>
      </c>
      <c r="P600" s="3" t="s">
        <v>58</v>
      </c>
      <c r="Q600" s="3" t="str">
        <f t="shared" si="114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12"/>
        <v>1</v>
      </c>
      <c r="N601" s="3">
        <f t="shared" si="113"/>
        <v>1</v>
      </c>
      <c r="O601" s="3">
        <v>0</v>
      </c>
      <c r="P601" s="3">
        <v>0</v>
      </c>
      <c r="Q601" s="3" t="str">
        <f t="shared" si="114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12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4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5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4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5"/>
        <v>0.93333333333333335</v>
      </c>
      <c r="N604" s="3">
        <f t="shared" ref="N604:N616" si="116">IF(L604/K604&gt;1,1,L604/K604)</f>
        <v>0.93333333333333335</v>
      </c>
      <c r="O604" s="3" t="s">
        <v>58</v>
      </c>
      <c r="P604" s="3" t="s">
        <v>58</v>
      </c>
      <c r="Q604" s="3" t="str">
        <f t="shared" si="114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5"/>
        <v>1</v>
      </c>
      <c r="N605" s="3">
        <f t="shared" si="116"/>
        <v>1</v>
      </c>
      <c r="O605" s="3">
        <v>0</v>
      </c>
      <c r="P605" s="3">
        <v>0</v>
      </c>
      <c r="Q605" s="3" t="str">
        <f t="shared" si="114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5"/>
        <v>1</v>
      </c>
      <c r="N606" s="3">
        <f t="shared" si="116"/>
        <v>1</v>
      </c>
      <c r="O606" s="3">
        <v>0</v>
      </c>
      <c r="P606" s="3">
        <v>0</v>
      </c>
      <c r="Q606" s="3" t="str">
        <f t="shared" si="114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5"/>
        <v>1</v>
      </c>
      <c r="N607" s="3">
        <f t="shared" si="116"/>
        <v>1</v>
      </c>
      <c r="O607" s="3" t="s">
        <v>58</v>
      </c>
      <c r="P607" s="3" t="s">
        <v>58</v>
      </c>
      <c r="Q607" s="3" t="str">
        <f t="shared" si="114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5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4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5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4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5"/>
        <v>1</v>
      </c>
      <c r="N610" s="3">
        <f t="shared" si="116"/>
        <v>1</v>
      </c>
      <c r="O610" s="3" t="s">
        <v>58</v>
      </c>
      <c r="P610" s="3" t="s">
        <v>58</v>
      </c>
      <c r="Q610" s="3" t="str">
        <f t="shared" si="114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5"/>
        <v>0.96666666666666667</v>
      </c>
      <c r="N611" s="3">
        <f t="shared" si="116"/>
        <v>0.96666666666666667</v>
      </c>
      <c r="O611" s="3" t="s">
        <v>58</v>
      </c>
      <c r="P611" s="3" t="s">
        <v>58</v>
      </c>
      <c r="Q611" s="3" t="str">
        <f t="shared" si="114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5"/>
        <v>0.99</v>
      </c>
      <c r="N612" s="3">
        <f t="shared" si="116"/>
        <v>0.99</v>
      </c>
      <c r="O612" s="3" t="s">
        <v>58</v>
      </c>
      <c r="P612" s="3" t="s">
        <v>58</v>
      </c>
      <c r="Q612" s="3" t="str">
        <f t="shared" si="114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5"/>
        <v>1</v>
      </c>
      <c r="N613" s="3">
        <f t="shared" si="116"/>
        <v>1</v>
      </c>
      <c r="O613" s="3" t="s">
        <v>58</v>
      </c>
      <c r="P613" s="3" t="s">
        <v>58</v>
      </c>
      <c r="Q613" s="3" t="str">
        <f t="shared" si="114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5"/>
        <v>0.94444444444444442</v>
      </c>
      <c r="N614" s="3">
        <f t="shared" si="116"/>
        <v>0.94444444444444442</v>
      </c>
      <c r="O614" s="3" t="s">
        <v>58</v>
      </c>
      <c r="P614" s="3" t="s">
        <v>58</v>
      </c>
      <c r="Q614" s="3" t="str">
        <f t="shared" si="114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5"/>
        <v>1</v>
      </c>
      <c r="N615" s="3">
        <f t="shared" si="116"/>
        <v>1</v>
      </c>
      <c r="O615" s="3" t="s">
        <v>58</v>
      </c>
      <c r="P615" s="3" t="s">
        <v>58</v>
      </c>
      <c r="Q615" s="3" t="str">
        <f t="shared" si="114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5"/>
        <v>1</v>
      </c>
      <c r="N616" s="3">
        <f t="shared" si="116"/>
        <v>1</v>
      </c>
      <c r="O616" s="3">
        <v>0</v>
      </c>
      <c r="P616" s="3">
        <v>0</v>
      </c>
      <c r="Q616" s="3" t="str">
        <f t="shared" si="114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7">IF(L617/K617&gt;1,1,L617/K617)</f>
        <v>1</v>
      </c>
      <c r="N617" s="3">
        <f t="shared" ref="N617:N621" si="118">IF(L617/K617&gt;1,1,L617/K617)</f>
        <v>1</v>
      </c>
      <c r="O617" s="3">
        <v>0</v>
      </c>
      <c r="P617" s="3">
        <v>0</v>
      </c>
      <c r="Q617" s="3" t="str">
        <f t="shared" si="114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7"/>
        <v>1</v>
      </c>
      <c r="N618" s="3">
        <f t="shared" si="118"/>
        <v>1</v>
      </c>
      <c r="O618" s="3">
        <v>0</v>
      </c>
      <c r="P618" s="3">
        <v>0</v>
      </c>
      <c r="Q618" s="3" t="str">
        <f t="shared" si="114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7"/>
        <v>1</v>
      </c>
      <c r="N619" s="3">
        <f t="shared" si="118"/>
        <v>1</v>
      </c>
      <c r="O619" s="3"/>
      <c r="P619" s="3"/>
      <c r="Q619" s="3" t="str">
        <f t="shared" si="114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7"/>
        <v>1</v>
      </c>
      <c r="N620" s="3">
        <f t="shared" si="118"/>
        <v>1</v>
      </c>
      <c r="O620" s="3" t="s">
        <v>58</v>
      </c>
      <c r="P620" s="3" t="s">
        <v>58</v>
      </c>
      <c r="Q620" s="3" t="str">
        <f t="shared" si="114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7"/>
        <v>1</v>
      </c>
      <c r="N621" s="3">
        <f t="shared" si="118"/>
        <v>1</v>
      </c>
      <c r="O621" s="3" t="s">
        <v>58</v>
      </c>
      <c r="P621" s="3" t="s">
        <v>58</v>
      </c>
      <c r="Q621" s="3" t="str">
        <f t="shared" si="114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7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4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7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4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7"/>
        <v>1</v>
      </c>
      <c r="N624" s="3">
        <f t="shared" ref="N624" si="119">IF(L624/K624&gt;1,1,L624/K624)</f>
        <v>1</v>
      </c>
      <c r="O624" s="3" t="s">
        <v>58</v>
      </c>
      <c r="P624" s="3" t="s">
        <v>58</v>
      </c>
      <c r="Q624" s="3" t="str">
        <f t="shared" si="114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7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4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7"/>
        <v>1</v>
      </c>
      <c r="N626" s="3">
        <f t="shared" ref="N626:N631" si="120">IF(L626/K626&gt;1,1,L626/K626)</f>
        <v>1</v>
      </c>
      <c r="O626" s="3"/>
      <c r="P626" s="3"/>
      <c r="Q626" s="3" t="str">
        <f t="shared" si="114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7"/>
        <v>0.99</v>
      </c>
      <c r="N627" s="3">
        <f t="shared" si="120"/>
        <v>0.99</v>
      </c>
      <c r="O627" s="3" t="s">
        <v>58</v>
      </c>
      <c r="P627" s="3" t="s">
        <v>58</v>
      </c>
      <c r="Q627" s="3" t="str">
        <f t="shared" si="114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7"/>
        <v>0.93333333333333335</v>
      </c>
      <c r="N628" s="3">
        <f t="shared" si="120"/>
        <v>0.93333333333333335</v>
      </c>
      <c r="O628" s="3" t="s">
        <v>58</v>
      </c>
      <c r="P628" s="3" t="s">
        <v>58</v>
      </c>
      <c r="Q628" s="3" t="str">
        <f t="shared" si="114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7"/>
        <v>1</v>
      </c>
      <c r="N629" s="3">
        <f t="shared" si="120"/>
        <v>1</v>
      </c>
      <c r="O629" s="3" t="s">
        <v>58</v>
      </c>
      <c r="P629" s="3" t="s">
        <v>58</v>
      </c>
      <c r="Q629" s="3" t="str">
        <f t="shared" si="114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7"/>
        <v>1</v>
      </c>
      <c r="N630" s="3">
        <f t="shared" si="120"/>
        <v>1</v>
      </c>
      <c r="O630" s="3" t="s">
        <v>58</v>
      </c>
      <c r="P630" s="3" t="s">
        <v>58</v>
      </c>
      <c r="Q630" s="3" t="str">
        <f t="shared" si="114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7"/>
        <v>0.99</v>
      </c>
      <c r="N631" s="3">
        <f t="shared" si="120"/>
        <v>0.99</v>
      </c>
      <c r="O631" s="3" t="s">
        <v>58</v>
      </c>
      <c r="P631" s="3" t="s">
        <v>58</v>
      </c>
      <c r="Q631" s="3" t="str">
        <f t="shared" si="114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7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4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7"/>
        <v>0.94444444444444442</v>
      </c>
      <c r="N633" s="3">
        <f t="shared" ref="N633:N636" si="121">IF(L633/K633&gt;1,1,L633/K633)</f>
        <v>0.94444444444444442</v>
      </c>
      <c r="O633" s="3" t="s">
        <v>58</v>
      </c>
      <c r="P633" s="3" t="s">
        <v>58</v>
      </c>
      <c r="Q633" s="3" t="str">
        <f t="shared" si="114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7"/>
        <v>1</v>
      </c>
      <c r="N634" s="3">
        <f t="shared" si="121"/>
        <v>1</v>
      </c>
      <c r="O634" s="3" t="s">
        <v>58</v>
      </c>
      <c r="P634" s="3" t="s">
        <v>58</v>
      </c>
      <c r="Q634" s="3" t="str">
        <f t="shared" si="114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7"/>
        <v>0.96666666666666667</v>
      </c>
      <c r="N635" s="3">
        <f t="shared" si="121"/>
        <v>0.96666666666666667</v>
      </c>
      <c r="O635" s="3" t="s">
        <v>58</v>
      </c>
      <c r="P635" s="3" t="s">
        <v>58</v>
      </c>
      <c r="Q635" s="3" t="str">
        <f t="shared" si="114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7"/>
        <v>1</v>
      </c>
      <c r="N636" s="3">
        <f t="shared" si="121"/>
        <v>1</v>
      </c>
      <c r="O636" s="3" t="s">
        <v>58</v>
      </c>
      <c r="P636" s="3" t="s">
        <v>58</v>
      </c>
      <c r="Q636" s="3" t="str">
        <f t="shared" si="114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22">IF(L637/K637&gt;1,1,L637/K637)</f>
        <v>1</v>
      </c>
      <c r="N637" s="3">
        <f t="shared" ref="N637" si="123">IF(L637/K637&gt;1,1,L637/K637)</f>
        <v>1</v>
      </c>
      <c r="O637" s="3" t="s">
        <v>58</v>
      </c>
      <c r="P637" s="3" t="s">
        <v>58</v>
      </c>
      <c r="Q637" s="3" t="str">
        <f t="shared" si="114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4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4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4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4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4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587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587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587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587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587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587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587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587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587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587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587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587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587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587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587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587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587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587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587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587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587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587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587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587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588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588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588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588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588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588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588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588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588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588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588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588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588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588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588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588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588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588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588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588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588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588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588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588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589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589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589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589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589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589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589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589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589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589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589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589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589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589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589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589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589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589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589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589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589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589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589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589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590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590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590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590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590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590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590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590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590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590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590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590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590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590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590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590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590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590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590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590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590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590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590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590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587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588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589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590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D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58"/>
  <sheetViews>
    <sheetView workbookViewId="0">
      <selection activeCell="B46" sqref="B46"/>
    </sheetView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hidden="1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hidden="1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hidden="1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hidden="1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hidden="1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hidden="1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hidden="1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hidden="1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hidden="1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hidden="1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hidden="1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hidden="1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hidden="1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hidden="1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hidden="1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hidden="1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hidden="1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hidden="1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hidden="1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hidden="1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hidden="1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hidden="1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hidden="1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hidden="1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hidden="1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hidden="1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hidden="1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hidden="1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hidden="1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hidden="1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hidden="1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hidden="1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hidden="1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hidden="1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hidden="1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hidden="1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hidden="1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hidden="1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hidden="1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hidden="1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hidden="1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hidden="1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hidden="1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hidden="1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hidden="1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hidden="1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hidden="1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hidden="1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hidden="1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hidden="1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hidden="1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hidden="1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hidden="1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hidden="1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hidden="1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autoFilter ref="A1:M58" xr:uid="{00000000-0001-0000-0100-000000000000}">
    <filterColumn colId="1">
      <filters>
        <filter val="Lanzamiento de nuevos programas presencial"/>
        <filter val="Lanzamiento de nuevos programas virtual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2026-02-19T06:20:56Z</dcterms:modified>
</cp:coreProperties>
</file>