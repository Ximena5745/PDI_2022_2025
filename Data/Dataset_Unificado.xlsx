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092" documentId="11_C54DB9D477E07092D1C9E253F65DD242EE9209D1" xr6:coauthVersionLast="47" xr6:coauthVersionMax="47" xr10:uidLastSave="{A3E419ED-A243-480A-989A-BB89C67704D3}"/>
  <bookViews>
    <workbookView xWindow="-108" yWindow="-108" windowWidth="23256" windowHeight="12456" activeTab="1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externalReferences>
    <externalReference r:id="rId6"/>
  </externalReference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Unificado!$A$1:$AE$658</definedName>
    <definedName name="_xlnm._FilterDatabase" localSheetId="1" hidden="1">'Unificado (2)'!$A$1:$AE$658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K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N484" i="5"/>
  <c r="L484" i="5"/>
  <c r="K484" i="5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M450" i="5" s="1"/>
  <c r="K450" i="5"/>
  <c r="Q449" i="5"/>
  <c r="N449" i="5"/>
  <c r="M449" i="5"/>
  <c r="Q448" i="5"/>
  <c r="N448" i="5"/>
  <c r="M448" i="5"/>
  <c r="Q447" i="5"/>
  <c r="L447" i="5"/>
  <c r="M447" i="5" s="1"/>
  <c r="Q446" i="5"/>
  <c r="M446" i="5"/>
  <c r="L446" i="5"/>
  <c r="N446" i="5" s="1"/>
  <c r="Q445" i="5"/>
  <c r="L445" i="5"/>
  <c r="M445" i="5" s="1"/>
  <c r="K445" i="5"/>
  <c r="Q444" i="5"/>
  <c r="L444" i="5"/>
  <c r="M444" i="5" s="1"/>
  <c r="K444" i="5"/>
  <c r="Q443" i="5"/>
  <c r="N443" i="5"/>
  <c r="L443" i="5"/>
  <c r="K443" i="5"/>
  <c r="Q442" i="5"/>
  <c r="N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M437" i="5" s="1"/>
  <c r="K437" i="5"/>
  <c r="G437" i="5"/>
  <c r="Q436" i="5"/>
  <c r="M436" i="5"/>
  <c r="L436" i="5"/>
  <c r="K436" i="5"/>
  <c r="N436" i="5" s="1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M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I98" i="5" s="1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I26" i="5" s="1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528" i="5" l="1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AE540" i="1"/>
  <c r="AE540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K531" i="1"/>
  <c r="L530" i="1"/>
  <c r="K530" i="1"/>
  <c r="N529" i="1"/>
  <c r="M529" i="1"/>
  <c r="L528" i="1"/>
  <c r="K528" i="1"/>
  <c r="N526" i="1"/>
  <c r="M526" i="1"/>
  <c r="N525" i="1"/>
  <c r="M525" i="1"/>
  <c r="N524" i="1"/>
  <c r="M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34" i="1"/>
  <c r="N433" i="1"/>
  <c r="K435" i="1"/>
  <c r="L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K429" i="1"/>
  <c r="M430" i="1" l="1"/>
  <c r="L534" i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AE332" i="5" l="1"/>
  <c r="AE548" i="1"/>
  <c r="AE404" i="1"/>
  <c r="AE260" i="1"/>
  <c r="AE116" i="1"/>
  <c r="AE182" i="5"/>
  <c r="AE258" i="1"/>
  <c r="AE523" i="1"/>
  <c r="AE379" i="1"/>
  <c r="AE235" i="1"/>
  <c r="AE83" i="5"/>
  <c r="AE406" i="5"/>
  <c r="AE551" i="5"/>
  <c r="AE424" i="1"/>
  <c r="AE124" i="1"/>
  <c r="AE506" i="5"/>
  <c r="AE389" i="1"/>
  <c r="AE340" i="1"/>
  <c r="AE579" i="1"/>
  <c r="AE435" i="1"/>
  <c r="AE294" i="1"/>
  <c r="AE65" i="1"/>
  <c r="AE518" i="1"/>
  <c r="AE374" i="1"/>
  <c r="AE230" i="1"/>
  <c r="AE521" i="1"/>
  <c r="AE626" i="1"/>
  <c r="AE445" i="1"/>
  <c r="AE269" i="5"/>
  <c r="AE441" i="5"/>
  <c r="AE613" i="1"/>
  <c r="AE468" i="1"/>
  <c r="AE198" i="1"/>
  <c r="AE379" i="5"/>
  <c r="AE611" i="1"/>
  <c r="AE395" i="1"/>
  <c r="AE251" i="1"/>
  <c r="AE426" i="1"/>
  <c r="AE466" i="5"/>
  <c r="AE292" i="5"/>
  <c r="AE277" i="5"/>
  <c r="AE544" i="1"/>
  <c r="AE491" i="1"/>
  <c r="AE514" i="1"/>
  <c r="AE463" i="5"/>
  <c r="AE305" i="1"/>
  <c r="AE637" i="1"/>
  <c r="AE573" i="1"/>
  <c r="AE429" i="1"/>
  <c r="AE224" i="5"/>
  <c r="AE112" i="5"/>
  <c r="AE213" i="5"/>
  <c r="AE293" i="5"/>
  <c r="AE481" i="5"/>
  <c r="AE639" i="5"/>
  <c r="AE79" i="1"/>
  <c r="AE154" i="5"/>
  <c r="AE369" i="5"/>
  <c r="AE514" i="5"/>
  <c r="AE626" i="5"/>
  <c r="AE287" i="5"/>
  <c r="AE403" i="5"/>
  <c r="AE529" i="5"/>
  <c r="AE635" i="5"/>
  <c r="AE243" i="1"/>
  <c r="AE99" i="1"/>
  <c r="AE45" i="5"/>
  <c r="AE147" i="5"/>
  <c r="AE407" i="5"/>
  <c r="AE536" i="5"/>
  <c r="AE158" i="1"/>
  <c r="AE14" i="1"/>
  <c r="AE128" i="5"/>
  <c r="AE239" i="5"/>
  <c r="AE315" i="5"/>
  <c r="AE561" i="5"/>
  <c r="AE253" i="1"/>
  <c r="AE109" i="1"/>
  <c r="AE133" i="5"/>
  <c r="AE367" i="5"/>
  <c r="AE442" i="5"/>
  <c r="AE604" i="5"/>
  <c r="AE372" i="1"/>
  <c r="AE228" i="1"/>
  <c r="AE84" i="1"/>
  <c r="AE55" i="5"/>
  <c r="AE164" i="5"/>
  <c r="AE416" i="5"/>
  <c r="AE583" i="5"/>
  <c r="AE107" i="1"/>
  <c r="AE19" i="5"/>
  <c r="AE151" i="5"/>
  <c r="AE244" i="5"/>
  <c r="AE352" i="5"/>
  <c r="AE531" i="5"/>
  <c r="AE370" i="1"/>
  <c r="AE642" i="1"/>
  <c r="AE536" i="1"/>
  <c r="AE392" i="1"/>
  <c r="AE248" i="1"/>
  <c r="AE104" i="1"/>
  <c r="AE187" i="5"/>
  <c r="AE632" i="1"/>
  <c r="AE511" i="1"/>
  <c r="AE367" i="1"/>
  <c r="AE223" i="1"/>
  <c r="AE91" i="5"/>
  <c r="AE410" i="5"/>
  <c r="AE593" i="1"/>
  <c r="AE352" i="1"/>
  <c r="AE112" i="1"/>
  <c r="AE606" i="1"/>
  <c r="AE293" i="1"/>
  <c r="AE292" i="1"/>
  <c r="AE567" i="1"/>
  <c r="AE423" i="1"/>
  <c r="AE186" i="1"/>
  <c r="AE9" i="5"/>
  <c r="AE506" i="1"/>
  <c r="AE362" i="1"/>
  <c r="AE340" i="5"/>
  <c r="AE425" i="1"/>
  <c r="AE649" i="1"/>
  <c r="AE433" i="1"/>
  <c r="AE273" i="5"/>
  <c r="AE605" i="1"/>
  <c r="AE624" i="1"/>
  <c r="AE456" i="1"/>
  <c r="AE54" i="1"/>
  <c r="AE560" i="5"/>
  <c r="AE575" i="1"/>
  <c r="AE383" i="1"/>
  <c r="AE239" i="1"/>
  <c r="AE306" i="1"/>
  <c r="AE455" i="5"/>
  <c r="AE512" i="5"/>
  <c r="AE499" i="5"/>
  <c r="AE460" i="1"/>
  <c r="AE646" i="1"/>
  <c r="AE502" i="1"/>
  <c r="AE546" i="1"/>
  <c r="AE221" i="1"/>
  <c r="AE577" i="1"/>
  <c r="AE561" i="1"/>
  <c r="AE417" i="1"/>
  <c r="AE32" i="1"/>
  <c r="AE118" i="5"/>
  <c r="AE231" i="5"/>
  <c r="AE297" i="5"/>
  <c r="AE485" i="5"/>
  <c r="AE211" i="1"/>
  <c r="AE67" i="1"/>
  <c r="AE158" i="5"/>
  <c r="AE373" i="5"/>
  <c r="AE528" i="5"/>
  <c r="AE630" i="5"/>
  <c r="AE304" i="5"/>
  <c r="AE422" i="5"/>
  <c r="AE591" i="5"/>
  <c r="AE643" i="5"/>
  <c r="AE231" i="1"/>
  <c r="AE87" i="1"/>
  <c r="AE50" i="5"/>
  <c r="AE163" i="5"/>
  <c r="AE411" i="5"/>
  <c r="AE146" i="1"/>
  <c r="AE6" i="5"/>
  <c r="AE132" i="5"/>
  <c r="AE243" i="5"/>
  <c r="AE335" i="5"/>
  <c r="AE565" i="5"/>
  <c r="AE241" i="1"/>
  <c r="AE97" i="1"/>
  <c r="AE149" i="5"/>
  <c r="AE371" i="5"/>
  <c r="AE450" i="5"/>
  <c r="AE608" i="5"/>
  <c r="AE360" i="1"/>
  <c r="AE216" i="1"/>
  <c r="AE72" i="1"/>
  <c r="AE59" i="5"/>
  <c r="AE522" i="1"/>
  <c r="AE524" i="1"/>
  <c r="AE380" i="1"/>
  <c r="AE236" i="1"/>
  <c r="AE92" i="1"/>
  <c r="AE192" i="5"/>
  <c r="AE643" i="1"/>
  <c r="AE499" i="1"/>
  <c r="AE355" i="1"/>
  <c r="AE23" i="5"/>
  <c r="AE95" i="5"/>
  <c r="AE414" i="5"/>
  <c r="AE509" i="1"/>
  <c r="AE304" i="1"/>
  <c r="AE100" i="1"/>
  <c r="AE498" i="1"/>
  <c r="AE197" i="1"/>
  <c r="AE268" i="1"/>
  <c r="AE555" i="1"/>
  <c r="AE411" i="1"/>
  <c r="AE126" i="1"/>
  <c r="AE365" i="5"/>
  <c r="AE494" i="1"/>
  <c r="AE350" i="1"/>
  <c r="AE594" i="1"/>
  <c r="AE341" i="1"/>
  <c r="AE601" i="1"/>
  <c r="AE421" i="1"/>
  <c r="AE341" i="5"/>
  <c r="AE497" i="1"/>
  <c r="AE588" i="1"/>
  <c r="AE444" i="1"/>
  <c r="AE62" i="5"/>
  <c r="AE642" i="5"/>
  <c r="AE539" i="1"/>
  <c r="AE371" i="1"/>
  <c r="AE234" i="5"/>
  <c r="AE174" i="1"/>
  <c r="AE405" i="5"/>
  <c r="AE477" i="5"/>
  <c r="AE486" i="5"/>
  <c r="AE364" i="1"/>
  <c r="AE634" i="1"/>
  <c r="AE490" i="1"/>
  <c r="AE438" i="1"/>
  <c r="AE125" i="1"/>
  <c r="AE612" i="1"/>
  <c r="AE549" i="1"/>
  <c r="AE405" i="1"/>
  <c r="AE20" i="1"/>
  <c r="AE124" i="5"/>
  <c r="AE237" i="5"/>
  <c r="AE311" i="5"/>
  <c r="AE498" i="5"/>
  <c r="AE199" i="1"/>
  <c r="AE55" i="1"/>
  <c r="AE214" i="5"/>
  <c r="AE377" i="5"/>
  <c r="AE534" i="5"/>
  <c r="AE634" i="5"/>
  <c r="AE323" i="5"/>
  <c r="AE426" i="5"/>
  <c r="AE595" i="5"/>
  <c r="AE363" i="1"/>
  <c r="AE219" i="1"/>
  <c r="AE75" i="1"/>
  <c r="AE54" i="5"/>
  <c r="AE167" i="5"/>
  <c r="AE415" i="5"/>
  <c r="AE544" i="5"/>
  <c r="AE134" i="1"/>
  <c r="AE10" i="5"/>
  <c r="AE148" i="5"/>
  <c r="AE247" i="5"/>
  <c r="AE344" i="5"/>
  <c r="AE569" i="5"/>
  <c r="AE229" i="1"/>
  <c r="AE85" i="1"/>
  <c r="AE156" i="5"/>
  <c r="AE375" i="5"/>
  <c r="AE454" i="5"/>
  <c r="AE612" i="5"/>
  <c r="AE348" i="1"/>
  <c r="AE204" i="1"/>
  <c r="AE60" i="1"/>
  <c r="AE402" i="1"/>
  <c r="AE512" i="1"/>
  <c r="AE368" i="1"/>
  <c r="AE224" i="1"/>
  <c r="AE80" i="1"/>
  <c r="AE196" i="5"/>
  <c r="AE631" i="1"/>
  <c r="AE487" i="1"/>
  <c r="AE343" i="1"/>
  <c r="AE27" i="5"/>
  <c r="AE99" i="5"/>
  <c r="AE418" i="5"/>
  <c r="AE413" i="1"/>
  <c r="AE280" i="1"/>
  <c r="AE88" i="1"/>
  <c r="AE378" i="1"/>
  <c r="AE113" i="1"/>
  <c r="AE244" i="1"/>
  <c r="AE543" i="1"/>
  <c r="AE399" i="1"/>
  <c r="AE102" i="1"/>
  <c r="AE524" i="5"/>
  <c r="AE482" i="1"/>
  <c r="AE338" i="1"/>
  <c r="AE486" i="1"/>
  <c r="AE245" i="1"/>
  <c r="AE553" i="1"/>
  <c r="AE409" i="1"/>
  <c r="AE482" i="5"/>
  <c r="AE377" i="1"/>
  <c r="AE576" i="1"/>
  <c r="AE432" i="1"/>
  <c r="AE356" i="5"/>
  <c r="AE556" i="1"/>
  <c r="AE515" i="1"/>
  <c r="AE359" i="1"/>
  <c r="AE238" i="5"/>
  <c r="AE42" i="1"/>
  <c r="AE353" i="5"/>
  <c r="AE461" i="5"/>
  <c r="AE283" i="5"/>
  <c r="AE614" i="1"/>
  <c r="AE622" i="1"/>
  <c r="AE478" i="1"/>
  <c r="AE318" i="1"/>
  <c r="AE89" i="1"/>
  <c r="AE635" i="1"/>
  <c r="AE537" i="1"/>
  <c r="AE393" i="1"/>
  <c r="AE8" i="1"/>
  <c r="AE130" i="5"/>
  <c r="AE241" i="5"/>
  <c r="AE320" i="5"/>
  <c r="AE523" i="5"/>
  <c r="AE187" i="1"/>
  <c r="AE43" i="1"/>
  <c r="AE222" i="5"/>
  <c r="AE383" i="5"/>
  <c r="AE590" i="5"/>
  <c r="AE640" i="5"/>
  <c r="AE333" i="5"/>
  <c r="AE430" i="5"/>
  <c r="AE599" i="5"/>
  <c r="AE351" i="1"/>
  <c r="AE207" i="1"/>
  <c r="AE234" i="1"/>
  <c r="AE500" i="1"/>
  <c r="AE356" i="1"/>
  <c r="AE212" i="1"/>
  <c r="AE68" i="1"/>
  <c r="AE200" i="5"/>
  <c r="AE619" i="1"/>
  <c r="AE475" i="1"/>
  <c r="AE331" i="1"/>
  <c r="AE42" i="5"/>
  <c r="AE103" i="5"/>
  <c r="AE444" i="5"/>
  <c r="AE317" i="1"/>
  <c r="AE256" i="1"/>
  <c r="AE76" i="1"/>
  <c r="AE270" i="1"/>
  <c r="AE77" i="1"/>
  <c r="AE220" i="1"/>
  <c r="AE531" i="1"/>
  <c r="AE387" i="1"/>
  <c r="AE6" i="1"/>
  <c r="AE576" i="5"/>
  <c r="AE470" i="1"/>
  <c r="AE326" i="1"/>
  <c r="AE366" i="1"/>
  <c r="AE173" i="1"/>
  <c r="AE541" i="1"/>
  <c r="AE397" i="1"/>
  <c r="AE618" i="1"/>
  <c r="AE257" i="1"/>
  <c r="AE564" i="1"/>
  <c r="AE420" i="1"/>
  <c r="AE539" i="5"/>
  <c r="AE472" i="1"/>
  <c r="AE503" i="1"/>
  <c r="AE347" i="1"/>
  <c r="AE242" i="5"/>
  <c r="AE547" i="5"/>
  <c r="AE338" i="5"/>
  <c r="AE316" i="5"/>
  <c r="AE518" i="5"/>
  <c r="AE554" i="1"/>
  <c r="AE610" i="1"/>
  <c r="AE466" i="1"/>
  <c r="AE222" i="1"/>
  <c r="AE29" i="1"/>
  <c r="AE599" i="1"/>
  <c r="AE525" i="1"/>
  <c r="AE381" i="1"/>
  <c r="AE4" i="5"/>
  <c r="AE142" i="5"/>
  <c r="AE245" i="5"/>
  <c r="AE330" i="5"/>
  <c r="AE533" i="5"/>
  <c r="AE175" i="1"/>
  <c r="AE31" i="1"/>
  <c r="AE232" i="5"/>
  <c r="AE387" i="5"/>
  <c r="AE594" i="5"/>
  <c r="AE4" i="1"/>
  <c r="AE342" i="5"/>
  <c r="AE449" i="5"/>
  <c r="AE603" i="5"/>
  <c r="AE339" i="1"/>
  <c r="AE644" i="1"/>
  <c r="AE488" i="1"/>
  <c r="AE344" i="1"/>
  <c r="AE200" i="1"/>
  <c r="AE56" i="1"/>
  <c r="AE204" i="5"/>
  <c r="AE607" i="1"/>
  <c r="AE463" i="1"/>
  <c r="AE319" i="1"/>
  <c r="AE49" i="5"/>
  <c r="AE620" i="1"/>
  <c r="AE476" i="1"/>
  <c r="AE332" i="1"/>
  <c r="AE188" i="1"/>
  <c r="AE44" i="1"/>
  <c r="AE208" i="5"/>
  <c r="AE595" i="1"/>
  <c r="AE451" i="1"/>
  <c r="AE307" i="1"/>
  <c r="AE53" i="5"/>
  <c r="AE115" i="5"/>
  <c r="AE582" i="1"/>
  <c r="AE101" i="1"/>
  <c r="AE208" i="1"/>
  <c r="AE52" i="1"/>
  <c r="AE43" i="5"/>
  <c r="AE519" i="5"/>
  <c r="AE2" i="1"/>
  <c r="AE507" i="1"/>
  <c r="AE280" i="5"/>
  <c r="AE434" i="5"/>
  <c r="AE532" i="1"/>
  <c r="AE446" i="1"/>
  <c r="AE302" i="1"/>
  <c r="AE162" i="1"/>
  <c r="AE392" i="5"/>
  <c r="AE517" i="1"/>
  <c r="AE373" i="1"/>
  <c r="AE354" i="1"/>
  <c r="AE53" i="1"/>
  <c r="AE233" i="5"/>
  <c r="AE533" i="1"/>
  <c r="AE650" i="1"/>
  <c r="AE467" i="1"/>
  <c r="AE323" i="1"/>
  <c r="AE250" i="5"/>
  <c r="AE557" i="1"/>
  <c r="AE264" i="5"/>
  <c r="AE325" i="5"/>
  <c r="AE459" i="5"/>
  <c r="AE648" i="1"/>
  <c r="AE586" i="1"/>
  <c r="AE442" i="1"/>
  <c r="AE114" i="1"/>
  <c r="AE572" i="5"/>
  <c r="AE645" i="1"/>
  <c r="AE501" i="1"/>
  <c r="AE357" i="1"/>
  <c r="AE12" i="5"/>
  <c r="AE185" i="5"/>
  <c r="AE253" i="5"/>
  <c r="AE354" i="5"/>
  <c r="AE563" i="5"/>
  <c r="AE151" i="1"/>
  <c r="AE7" i="1"/>
  <c r="AE286" i="5"/>
  <c r="AE402" i="5"/>
  <c r="AE602" i="5"/>
  <c r="AE44" i="5"/>
  <c r="AE366" i="5"/>
  <c r="AE460" i="5"/>
  <c r="AE611" i="5"/>
  <c r="AE315" i="1"/>
  <c r="AE171" i="1"/>
  <c r="AE27" i="1"/>
  <c r="AE76" i="5"/>
  <c r="AE226" i="5"/>
  <c r="AE483" i="5"/>
  <c r="AE644" i="5"/>
  <c r="AE86" i="1"/>
  <c r="AE46" i="5"/>
  <c r="AE608" i="1"/>
  <c r="AE464" i="1"/>
  <c r="AE320" i="1"/>
  <c r="AE176" i="1"/>
  <c r="AE114" i="5"/>
  <c r="AE215" i="5"/>
  <c r="AE583" i="1"/>
  <c r="AE439" i="1"/>
  <c r="AE295" i="1"/>
  <c r="AE57" i="5"/>
  <c r="AE119" i="5"/>
  <c r="AE462" i="1"/>
  <c r="AE17" i="1"/>
  <c r="AE184" i="1"/>
  <c r="AE40" i="1"/>
  <c r="AE378" i="5"/>
  <c r="AE568" i="5"/>
  <c r="AE639" i="1"/>
  <c r="AE495" i="1"/>
  <c r="AE494" i="5"/>
  <c r="AE545" i="1"/>
  <c r="AE412" i="1"/>
  <c r="AE434" i="1"/>
  <c r="AE290" i="1"/>
  <c r="AE90" i="1"/>
  <c r="AE535" i="5"/>
  <c r="AE505" i="1"/>
  <c r="AE361" i="1"/>
  <c r="AE246" i="1"/>
  <c r="AE580" i="5"/>
  <c r="AE528" i="1"/>
  <c r="AE468" i="5"/>
  <c r="AE437" i="1"/>
  <c r="AE578" i="1"/>
  <c r="AE455" i="1"/>
  <c r="AE311" i="1"/>
  <c r="AE254" i="5"/>
  <c r="AE461" i="1"/>
  <c r="AE229" i="5"/>
  <c r="AE227" i="5"/>
  <c r="AE349" i="5"/>
  <c r="AE600" i="1"/>
  <c r="AE574" i="1"/>
  <c r="AE430" i="1"/>
  <c r="AE18" i="1"/>
  <c r="AE604" i="1"/>
  <c r="AE633" i="1"/>
  <c r="AE489" i="1"/>
  <c r="AE162" i="5"/>
  <c r="AE34" i="5"/>
  <c r="AE191" i="5"/>
  <c r="AE257" i="5"/>
  <c r="AE433" i="5"/>
  <c r="AE567" i="5"/>
  <c r="AE572" i="1"/>
  <c r="AE428" i="1"/>
  <c r="AE284" i="1"/>
  <c r="AE140" i="1"/>
  <c r="AE144" i="5"/>
  <c r="AE534" i="1"/>
  <c r="AE547" i="1"/>
  <c r="AE403" i="1"/>
  <c r="AE259" i="1"/>
  <c r="AE75" i="5"/>
  <c r="AE145" i="5"/>
  <c r="AE30" i="1"/>
  <c r="AE616" i="1"/>
  <c r="AE148" i="1"/>
  <c r="AE350" i="5"/>
  <c r="AE569" i="1"/>
  <c r="AE484" i="1"/>
  <c r="AE603" i="1"/>
  <c r="AE459" i="1"/>
  <c r="AE510" i="1"/>
  <c r="AE269" i="1"/>
  <c r="AE542" i="1"/>
  <c r="AE398" i="1"/>
  <c r="AE254" i="1"/>
  <c r="AE555" i="5"/>
  <c r="AE496" i="1"/>
  <c r="AE469" i="1"/>
  <c r="AE325" i="1"/>
  <c r="AE35" i="5"/>
  <c r="AE328" i="1"/>
  <c r="AE492" i="1"/>
  <c r="AE450" i="1"/>
  <c r="AE149" i="1"/>
  <c r="AE636" i="1"/>
  <c r="AE419" i="1"/>
  <c r="AE275" i="1"/>
  <c r="AE469" i="5"/>
  <c r="AE161" i="1"/>
  <c r="AE337" i="5"/>
  <c r="AE100" i="5"/>
  <c r="AE22" i="5"/>
  <c r="AE563" i="1"/>
  <c r="AE538" i="1"/>
  <c r="AE223" i="5"/>
  <c r="AE485" i="1"/>
  <c r="AE316" i="1"/>
  <c r="AE597" i="1"/>
  <c r="AE453" i="1"/>
  <c r="AE174" i="5"/>
  <c r="AE102" i="5"/>
  <c r="AE203" i="5"/>
  <c r="AE272" i="5"/>
  <c r="AE474" i="5"/>
  <c r="AE579" i="5"/>
  <c r="AE103" i="1"/>
  <c r="AE125" i="5"/>
  <c r="AE355" i="5"/>
  <c r="AE560" i="1"/>
  <c r="AE416" i="1"/>
  <c r="AE272" i="1"/>
  <c r="AE128" i="1"/>
  <c r="AE178" i="5"/>
  <c r="AE414" i="1"/>
  <c r="AE535" i="1"/>
  <c r="AE391" i="1"/>
  <c r="AE247" i="1"/>
  <c r="AE79" i="5"/>
  <c r="AE303" i="5"/>
  <c r="AE294" i="5"/>
  <c r="AE508" i="1"/>
  <c r="AE136" i="1"/>
  <c r="AE502" i="5"/>
  <c r="AE473" i="1"/>
  <c r="AE400" i="1"/>
  <c r="AE591" i="1"/>
  <c r="AE447" i="1"/>
  <c r="AE390" i="1"/>
  <c r="AE185" i="1"/>
  <c r="AE530" i="1"/>
  <c r="AE386" i="1"/>
  <c r="AE242" i="1"/>
  <c r="AE617" i="1"/>
  <c r="AE388" i="1"/>
  <c r="AE457" i="1"/>
  <c r="AE313" i="1"/>
  <c r="AE298" i="5"/>
  <c r="AE566" i="1"/>
  <c r="AE480" i="1"/>
  <c r="AE330" i="1"/>
  <c r="AE596" i="1"/>
  <c r="AE571" i="1"/>
  <c r="AE342" i="1"/>
  <c r="AE437" i="5"/>
  <c r="AE510" i="5"/>
  <c r="AE278" i="1"/>
  <c r="AE349" i="1"/>
  <c r="AE408" i="1"/>
  <c r="AE443" i="1"/>
  <c r="AE365" i="1"/>
  <c r="AE301" i="5"/>
  <c r="AE418" i="1"/>
  <c r="AE621" i="1"/>
  <c r="AE40" i="5"/>
  <c r="AE440" i="5"/>
  <c r="AE19" i="1"/>
  <c r="AE425" i="5"/>
  <c r="AE146" i="5"/>
  <c r="AE476" i="5"/>
  <c r="AE291" i="1"/>
  <c r="AE51" i="1"/>
  <c r="AE92" i="5"/>
  <c r="AE445" i="5"/>
  <c r="AE206" i="1"/>
  <c r="AE16" i="5"/>
  <c r="AE201" i="5"/>
  <c r="AE299" i="5"/>
  <c r="AE577" i="5"/>
  <c r="AE169" i="1"/>
  <c r="AE17" i="5"/>
  <c r="AE385" i="5"/>
  <c r="AE530" i="5"/>
  <c r="AE396" i="1"/>
  <c r="AE180" i="1"/>
  <c r="AE18" i="5"/>
  <c r="AE134" i="5"/>
  <c r="AE408" i="5"/>
  <c r="AE553" i="5"/>
  <c r="AE95" i="1"/>
  <c r="AE37" i="5"/>
  <c r="AE190" i="5"/>
  <c r="AE260" i="5"/>
  <c r="AE458" i="5"/>
  <c r="AE578" i="5"/>
  <c r="AE286" i="1"/>
  <c r="AE142" i="1"/>
  <c r="AE20" i="5"/>
  <c r="AE309" i="5"/>
  <c r="AE424" i="5"/>
  <c r="AE597" i="5"/>
  <c r="AE345" i="1"/>
  <c r="AE201" i="1"/>
  <c r="AE57" i="1"/>
  <c r="AE60" i="5"/>
  <c r="AE153" i="5"/>
  <c r="AE348" i="5"/>
  <c r="AE538" i="5"/>
  <c r="AE194" i="5"/>
  <c r="AE480" i="5"/>
  <c r="AE274" i="1"/>
  <c r="AE38" i="5"/>
  <c r="AE428" i="5"/>
  <c r="AE601" i="5"/>
  <c r="AE333" i="1"/>
  <c r="AE45" i="1"/>
  <c r="AE70" i="5"/>
  <c r="AE362" i="5"/>
  <c r="AE150" i="5"/>
  <c r="AE420" i="5"/>
  <c r="AE227" i="1"/>
  <c r="AE86" i="5"/>
  <c r="AE198" i="5"/>
  <c r="AE271" i="5"/>
  <c r="AE484" i="5"/>
  <c r="AE588" i="5"/>
  <c r="AE118" i="1"/>
  <c r="AE328" i="5"/>
  <c r="AE447" i="5"/>
  <c r="AE605" i="5"/>
  <c r="AE177" i="1"/>
  <c r="AE33" i="1"/>
  <c r="AE74" i="5"/>
  <c r="AE398" i="5"/>
  <c r="AE546" i="5"/>
  <c r="AE111" i="5"/>
  <c r="AE136" i="5"/>
  <c r="AE262" i="5"/>
  <c r="AE170" i="5"/>
  <c r="AE388" i="5"/>
  <c r="AE72" i="5"/>
  <c r="AE270" i="5"/>
  <c r="AE345" i="5"/>
  <c r="AE85" i="5"/>
  <c r="AE143" i="1"/>
  <c r="AE566" i="5"/>
  <c r="AE633" i="5"/>
  <c r="AE310" i="5"/>
  <c r="AE131" i="5"/>
  <c r="AE558" i="1"/>
  <c r="AE584" i="1"/>
  <c r="AE559" i="1"/>
  <c r="AE210" i="1"/>
  <c r="AE641" i="5"/>
  <c r="AE630" i="1"/>
  <c r="AE266" i="1"/>
  <c r="AE337" i="1"/>
  <c r="AE475" i="5"/>
  <c r="AE431" i="1"/>
  <c r="AE281" i="1"/>
  <c r="AE276" i="5"/>
  <c r="AE406" i="1"/>
  <c r="AE609" i="1"/>
  <c r="AE89" i="5"/>
  <c r="AE467" i="5"/>
  <c r="AE41" i="5"/>
  <c r="AE429" i="5"/>
  <c r="AE155" i="5"/>
  <c r="AE491" i="5"/>
  <c r="AE279" i="1"/>
  <c r="AE39" i="1"/>
  <c r="AE96" i="5"/>
  <c r="AE464" i="5"/>
  <c r="AE194" i="1"/>
  <c r="AE32" i="5"/>
  <c r="AE205" i="5"/>
  <c r="AE306" i="5"/>
  <c r="AE581" i="5"/>
  <c r="AE157" i="1"/>
  <c r="AE66" i="5"/>
  <c r="AE389" i="5"/>
  <c r="AE582" i="5"/>
  <c r="AE384" i="1"/>
  <c r="AE168" i="1"/>
  <c r="AE25" i="5"/>
  <c r="AE138" i="5"/>
  <c r="AE412" i="5"/>
  <c r="AE647" i="5"/>
  <c r="AE83" i="1"/>
  <c r="AE68" i="5"/>
  <c r="AE267" i="5"/>
  <c r="AE584" i="5"/>
  <c r="AE130" i="1"/>
  <c r="AE318" i="5"/>
  <c r="AE189" i="1"/>
  <c r="AE161" i="5"/>
  <c r="AE542" i="5"/>
  <c r="AE71" i="1"/>
  <c r="AE262" i="1"/>
  <c r="AE69" i="5"/>
  <c r="AE321" i="1"/>
  <c r="AE165" i="5"/>
  <c r="AE629" i="5"/>
  <c r="AE483" i="1"/>
  <c r="AE632" i="5"/>
  <c r="AE390" i="5"/>
  <c r="AE516" i="1"/>
  <c r="AE452" i="1"/>
  <c r="AE427" i="1"/>
  <c r="AE209" i="1"/>
  <c r="AE13" i="5"/>
  <c r="AE290" i="5"/>
  <c r="AE282" i="1"/>
  <c r="AE474" i="1"/>
  <c r="AE570" i="1"/>
  <c r="AE407" i="1"/>
  <c r="AE5" i="5"/>
  <c r="AE221" i="5"/>
  <c r="AE322" i="5"/>
  <c r="AE585" i="1"/>
  <c r="AE106" i="5"/>
  <c r="AE478" i="5"/>
  <c r="AE90" i="5"/>
  <c r="AE448" i="5"/>
  <c r="AE159" i="5"/>
  <c r="AE511" i="5"/>
  <c r="AE267" i="1"/>
  <c r="AE15" i="1"/>
  <c r="AE137" i="5"/>
  <c r="AE487" i="5"/>
  <c r="AE182" i="1"/>
  <c r="AE36" i="5"/>
  <c r="AE209" i="5"/>
  <c r="AE393" i="5"/>
  <c r="AE587" i="5"/>
  <c r="AE145" i="1"/>
  <c r="AE189" i="5"/>
  <c r="AE394" i="5"/>
  <c r="AE592" i="5"/>
  <c r="AE336" i="1"/>
  <c r="AE156" i="1"/>
  <c r="AE29" i="5"/>
  <c r="AE440" i="1"/>
  <c r="AE415" i="1"/>
  <c r="AE399" i="5"/>
  <c r="AE640" i="1"/>
  <c r="AE449" i="1"/>
  <c r="AE31" i="5"/>
  <c r="AE138" i="1"/>
  <c r="AE629" i="1"/>
  <c r="AE335" i="1"/>
  <c r="AE289" i="5"/>
  <c r="AE589" i="1"/>
  <c r="AE150" i="1"/>
  <c r="AE513" i="1"/>
  <c r="AE181" i="5"/>
  <c r="AE559" i="5"/>
  <c r="AE113" i="5"/>
  <c r="AE452" i="5"/>
  <c r="AE225" i="5"/>
  <c r="AE515" i="5"/>
  <c r="AE255" i="1"/>
  <c r="AE3" i="1"/>
  <c r="AE171" i="5"/>
  <c r="AE495" i="5"/>
  <c r="AE170" i="1"/>
  <c r="AE65" i="5"/>
  <c r="AE216" i="5"/>
  <c r="AE400" i="5"/>
  <c r="AE645" i="5"/>
  <c r="AE133" i="1"/>
  <c r="AE217" i="5"/>
  <c r="AE404" i="5"/>
  <c r="AE596" i="5"/>
  <c r="AE324" i="1"/>
  <c r="AE144" i="1"/>
  <c r="AE47" i="5"/>
  <c r="AE168" i="5"/>
  <c r="AE446" i="5"/>
  <c r="AE215" i="1"/>
  <c r="AE59" i="1"/>
  <c r="AE101" i="5"/>
  <c r="AE202" i="5"/>
  <c r="AE275" i="5"/>
  <c r="AE497" i="5"/>
  <c r="AE648" i="5"/>
  <c r="AE250" i="1"/>
  <c r="AE106" i="1"/>
  <c r="AE87" i="5"/>
  <c r="AE347" i="5"/>
  <c r="AE451" i="5"/>
  <c r="AE609" i="5"/>
  <c r="AE309" i="1"/>
  <c r="AE165" i="1"/>
  <c r="AE21" i="1"/>
  <c r="AE78" i="5"/>
  <c r="AE169" i="5"/>
  <c r="AE409" i="5"/>
  <c r="AE550" i="5"/>
  <c r="AE562" i="1"/>
  <c r="AE324" i="5"/>
  <c r="AE521" i="5"/>
  <c r="AE336" i="5"/>
  <c r="AE264" i="1"/>
  <c r="AE155" i="1"/>
  <c r="AE562" i="5"/>
  <c r="AE386" i="5"/>
  <c r="AE279" i="5"/>
  <c r="AE127" i="5"/>
  <c r="AE266" i="5"/>
  <c r="AE268" i="5"/>
  <c r="AE631" i="5"/>
  <c r="AE183" i="5"/>
  <c r="AE25" i="1"/>
  <c r="AE541" i="5"/>
  <c r="AE34" i="1"/>
  <c r="AE123" i="5"/>
  <c r="AE410" i="1"/>
  <c r="AE308" i="1"/>
  <c r="AE283" i="1"/>
  <c r="AE564" i="5"/>
  <c r="AE568" i="1"/>
  <c r="AE353" i="1"/>
  <c r="AE364" i="5"/>
  <c r="AE66" i="1"/>
  <c r="AE329" i="1"/>
  <c r="AE299" i="1"/>
  <c r="AE465" i="5"/>
  <c r="AE623" i="1"/>
  <c r="AE543" i="5"/>
  <c r="AE477" i="1"/>
  <c r="AE195" i="5"/>
  <c r="AE571" i="5"/>
  <c r="AE143" i="5"/>
  <c r="AE598" i="5"/>
  <c r="AE358" i="5"/>
  <c r="AE607" i="5"/>
  <c r="AE195" i="1"/>
  <c r="AE15" i="5"/>
  <c r="AE175" i="5"/>
  <c r="AE503" i="5"/>
  <c r="AE122" i="1"/>
  <c r="AE104" i="5"/>
  <c r="AE235" i="5"/>
  <c r="AE435" i="5"/>
  <c r="AE301" i="1"/>
  <c r="AE121" i="1"/>
  <c r="AE281" i="5"/>
  <c r="AE423" i="5"/>
  <c r="AE600" i="5"/>
  <c r="AE312" i="1"/>
  <c r="AE132" i="1"/>
  <c r="AE51" i="5"/>
  <c r="AE172" i="5"/>
  <c r="AE472" i="5"/>
  <c r="AE203" i="1"/>
  <c r="AE47" i="1"/>
  <c r="AE105" i="5"/>
  <c r="AE206" i="5"/>
  <c r="AE296" i="5"/>
  <c r="AE517" i="5"/>
  <c r="AE394" i="1"/>
  <c r="AE238" i="1"/>
  <c r="AE94" i="1"/>
  <c r="AE110" i="5"/>
  <c r="AE368" i="5"/>
  <c r="AE473" i="5"/>
  <c r="AE613" i="5"/>
  <c r="AE297" i="1"/>
  <c r="AE153" i="1"/>
  <c r="AE9" i="1"/>
  <c r="AE82" i="5"/>
  <c r="AE173" i="5"/>
  <c r="AE413" i="5"/>
  <c r="AE554" i="5"/>
  <c r="AE638" i="5"/>
  <c r="AE261" i="5"/>
  <c r="AE48" i="1"/>
  <c r="AE334" i="1"/>
  <c r="AE39" i="5"/>
  <c r="AE123" i="1"/>
  <c r="AE36" i="1"/>
  <c r="AE396" i="5"/>
  <c r="AE532" i="5"/>
  <c r="AE489" i="5"/>
  <c r="AE296" i="1"/>
  <c r="AE271" i="1"/>
  <c r="AE232" i="1"/>
  <c r="AE196" i="1"/>
  <c r="AE628" i="1"/>
  <c r="AE5" i="1"/>
  <c r="AE137" i="1"/>
  <c r="AE233" i="1"/>
  <c r="AE287" i="1"/>
  <c r="AE346" i="5"/>
  <c r="AE587" i="1"/>
  <c r="AE581" i="1"/>
  <c r="AE465" i="1"/>
  <c r="AE199" i="5"/>
  <c r="AE575" i="5"/>
  <c r="AE265" i="5"/>
  <c r="AE606" i="5"/>
  <c r="AE370" i="5"/>
  <c r="AE615" i="5"/>
  <c r="AE183" i="1"/>
  <c r="AE24" i="5"/>
  <c r="AE188" i="5"/>
  <c r="AE507" i="5"/>
  <c r="AE110" i="1"/>
  <c r="AE108" i="5"/>
  <c r="AE251" i="5"/>
  <c r="AE457" i="5"/>
  <c r="AE289" i="1"/>
  <c r="AE73" i="1"/>
  <c r="AE284" i="5"/>
  <c r="AE427" i="5"/>
  <c r="AE616" i="5"/>
  <c r="AE300" i="1"/>
  <c r="AE120" i="1"/>
  <c r="AE67" i="5"/>
  <c r="AE176" i="5"/>
  <c r="AE488" i="5"/>
  <c r="AE191" i="1"/>
  <c r="AE35" i="1"/>
  <c r="AE109" i="5"/>
  <c r="AE210" i="5"/>
  <c r="AE300" i="5"/>
  <c r="AE522" i="5"/>
  <c r="AE382" i="1"/>
  <c r="AE226" i="1"/>
  <c r="AE82" i="1"/>
  <c r="AE122" i="5"/>
  <c r="AE372" i="5"/>
  <c r="AE493" i="5"/>
  <c r="AE617" i="5"/>
  <c r="AE285" i="1"/>
  <c r="AE141" i="1"/>
  <c r="AE21" i="5"/>
  <c r="AE88" i="5"/>
  <c r="AE177" i="5"/>
  <c r="AE417" i="5"/>
  <c r="AE618" i="5"/>
  <c r="AE492" i="5"/>
  <c r="AE278" i="5"/>
  <c r="AE129" i="5"/>
  <c r="AE157" i="5"/>
  <c r="AE105" i="1"/>
  <c r="AE422" i="1"/>
  <c r="AE127" i="1"/>
  <c r="AE50" i="1"/>
  <c r="AE496" i="5"/>
  <c r="AE139" i="5"/>
  <c r="AE211" i="5"/>
  <c r="AE93" i="1"/>
  <c r="AE16" i="1"/>
  <c r="AE164" i="1"/>
  <c r="AE61" i="5"/>
  <c r="AE172" i="1"/>
  <c r="AE627" i="1"/>
  <c r="AE638" i="1"/>
  <c r="AE586" i="5"/>
  <c r="AE580" i="1"/>
  <c r="AE41" i="1"/>
  <c r="AE263" i="1"/>
  <c r="AE308" i="5"/>
  <c r="AE527" i="1"/>
  <c r="AE401" i="1"/>
  <c r="AE441" i="1"/>
  <c r="AE207" i="5"/>
  <c r="AE585" i="5"/>
  <c r="AE312" i="5"/>
  <c r="AE610" i="5"/>
  <c r="AE374" i="5"/>
  <c r="AE619" i="5"/>
  <c r="AE159" i="1"/>
  <c r="AE28" i="5"/>
  <c r="AE291" i="5"/>
  <c r="AE520" i="5"/>
  <c r="AE98" i="1"/>
  <c r="AE116" i="5"/>
  <c r="AE255" i="5"/>
  <c r="AE471" i="5"/>
  <c r="AE277" i="1"/>
  <c r="AE61" i="1"/>
  <c r="AE288" i="5"/>
  <c r="AE431" i="5"/>
  <c r="AE620" i="5"/>
  <c r="AE288" i="1"/>
  <c r="AE108" i="1"/>
  <c r="AE73" i="5"/>
  <c r="AE218" i="5"/>
  <c r="AE504" i="5"/>
  <c r="AE179" i="1"/>
  <c r="AE23" i="1"/>
  <c r="AE117" i="5"/>
  <c r="AE219" i="5"/>
  <c r="AE317" i="5"/>
  <c r="AE526" i="5"/>
  <c r="AE358" i="1"/>
  <c r="AE214" i="1"/>
  <c r="AE70" i="1"/>
  <c r="AE140" i="5"/>
  <c r="AE376" i="5"/>
  <c r="AE501" i="5"/>
  <c r="AE621" i="5"/>
  <c r="AE273" i="1"/>
  <c r="AE129" i="1"/>
  <c r="AE26" i="5"/>
  <c r="AE94" i="5"/>
  <c r="AE212" i="5"/>
  <c r="AE436" i="5"/>
  <c r="AE650" i="5"/>
  <c r="AE64" i="1"/>
  <c r="AE458" i="1"/>
  <c r="AE529" i="1"/>
  <c r="AE625" i="1"/>
  <c r="AE351" i="5"/>
  <c r="AE166" i="5"/>
  <c r="AE331" i="5"/>
  <c r="AE627" i="5"/>
  <c r="AE135" i="1"/>
  <c r="AE62" i="1"/>
  <c r="AE263" i="5"/>
  <c r="AE37" i="1"/>
  <c r="AE81" i="5"/>
  <c r="AE3" i="5"/>
  <c r="AE361" i="5"/>
  <c r="AE46" i="1"/>
  <c r="AE249" i="1"/>
  <c r="AE28" i="1"/>
  <c r="AE565" i="1"/>
  <c r="AE436" i="1"/>
  <c r="AE363" i="5"/>
  <c r="AE334" i="5"/>
  <c r="AE525" i="5"/>
  <c r="AE252" i="1"/>
  <c r="AE7" i="5"/>
  <c r="AE178" i="1"/>
  <c r="AE48" i="5"/>
  <c r="AE471" i="1"/>
  <c r="AE152" i="1"/>
  <c r="AE71" i="5"/>
  <c r="AE160" i="1"/>
  <c r="AE615" i="1"/>
  <c r="AE590" i="1"/>
  <c r="AE592" i="1"/>
  <c r="AE448" i="1"/>
  <c r="AE376" i="1"/>
  <c r="AE246" i="5"/>
  <c r="AE160" i="5"/>
  <c r="AE598" i="1"/>
  <c r="AE357" i="5"/>
  <c r="AE369" i="1"/>
  <c r="AE249" i="5"/>
  <c r="AE163" i="1"/>
  <c r="AE321" i="5"/>
  <c r="AE614" i="5"/>
  <c r="AE380" i="5"/>
  <c r="AE623" i="5"/>
  <c r="AE147" i="1"/>
  <c r="AE58" i="5"/>
  <c r="AE305" i="5"/>
  <c r="AE74" i="1"/>
  <c r="AE120" i="5"/>
  <c r="AE259" i="5"/>
  <c r="AE479" i="5"/>
  <c r="AE265" i="1"/>
  <c r="AE49" i="1"/>
  <c r="AE307" i="5"/>
  <c r="AE438" i="5"/>
  <c r="AE624" i="5"/>
  <c r="AE276" i="1"/>
  <c r="AE96" i="1"/>
  <c r="AE77" i="5"/>
  <c r="AE228" i="5"/>
  <c r="AE508" i="5"/>
  <c r="AE167" i="1"/>
  <c r="AE11" i="1"/>
  <c r="AE121" i="5"/>
  <c r="AE236" i="5"/>
  <c r="AE327" i="5"/>
  <c r="AE558" i="5"/>
  <c r="AE346" i="1"/>
  <c r="AE202" i="1"/>
  <c r="AE58" i="1"/>
  <c r="AE152" i="5"/>
  <c r="AE382" i="5"/>
  <c r="AE513" i="5"/>
  <c r="AE625" i="5"/>
  <c r="AE261" i="1"/>
  <c r="AE117" i="1"/>
  <c r="AE30" i="5"/>
  <c r="AE98" i="5"/>
  <c r="AE230" i="5"/>
  <c r="AE443" i="5"/>
  <c r="AE107" i="5"/>
  <c r="AE519" i="1"/>
  <c r="AE552" i="1"/>
  <c r="AE258" i="5"/>
  <c r="AE520" i="1"/>
  <c r="AE139" i="1"/>
  <c r="AE384" i="5"/>
  <c r="AE64" i="5"/>
  <c r="AE548" i="5"/>
  <c r="AE179" i="5"/>
  <c r="AE217" i="1"/>
  <c r="AE628" i="5"/>
  <c r="AE537" i="5"/>
  <c r="AE240" i="5"/>
  <c r="AE190" i="1"/>
  <c r="AE527" i="5"/>
  <c r="AE462" i="5"/>
  <c r="AE493" i="1"/>
  <c r="AE550" i="1"/>
  <c r="AE622" i="5"/>
  <c r="AE552" i="5"/>
  <c r="AE205" i="1"/>
  <c r="AE326" i="5"/>
  <c r="AE248" i="5"/>
  <c r="AE322" i="1"/>
  <c r="AE237" i="1"/>
  <c r="AE302" i="5"/>
  <c r="AE647" i="1"/>
  <c r="AE126" i="5"/>
  <c r="AE313" i="5"/>
  <c r="AE490" i="5"/>
  <c r="AE421" i="5"/>
  <c r="AE419" i="5"/>
  <c r="AE193" i="1"/>
  <c r="AE24" i="1"/>
  <c r="AE180" i="5"/>
  <c r="AE22" i="1"/>
  <c r="AE81" i="1"/>
  <c r="AE186" i="5"/>
  <c r="AE381" i="5"/>
  <c r="AE401" i="5"/>
  <c r="AE641" i="1"/>
  <c r="AE166" i="1"/>
  <c r="AE573" i="5"/>
  <c r="AE456" i="5"/>
  <c r="AE526" i="1"/>
  <c r="AE14" i="5"/>
  <c r="AE181" i="1"/>
  <c r="AE12" i="1"/>
  <c r="AE184" i="5"/>
  <c r="AE10" i="1"/>
  <c r="AE69" i="1"/>
  <c r="AE63" i="5"/>
  <c r="AE551" i="1"/>
  <c r="AE78" i="1"/>
  <c r="AE454" i="1"/>
  <c r="AE556" i="5"/>
  <c r="AE13" i="1"/>
  <c r="AE93" i="5"/>
  <c r="AE252" i="5"/>
  <c r="AE220" i="5"/>
  <c r="AE52" i="5"/>
  <c r="AE314" i="1"/>
  <c r="AE359" i="5"/>
  <c r="AE432" i="5"/>
  <c r="AE135" i="5"/>
  <c r="AE327" i="1"/>
  <c r="AE395" i="5"/>
  <c r="AE141" i="5"/>
  <c r="AE84" i="5"/>
  <c r="AE314" i="5"/>
  <c r="AE213" i="1"/>
  <c r="AE375" i="1"/>
  <c r="AE602" i="1"/>
  <c r="AE453" i="5"/>
  <c r="AE218" i="1"/>
  <c r="AE2" i="5"/>
  <c r="AE97" i="5"/>
  <c r="AE256" i="5"/>
  <c r="AE285" i="5"/>
  <c r="AE56" i="5"/>
  <c r="AE470" i="5"/>
  <c r="AE38" i="1"/>
  <c r="AE360" i="5"/>
  <c r="AE397" i="5"/>
  <c r="AE481" i="1"/>
  <c r="AE26" i="1"/>
  <c r="AE439" i="5"/>
  <c r="AE91" i="1"/>
  <c r="AE225" i="1"/>
  <c r="AE192" i="1"/>
  <c r="AE385" i="1"/>
  <c r="AE8" i="5"/>
  <c r="AE303" i="1"/>
  <c r="AE193" i="5"/>
  <c r="AE500" i="5"/>
  <c r="AE545" i="5"/>
  <c r="AE570" i="5"/>
  <c r="AE589" i="5"/>
  <c r="AE319" i="5"/>
  <c r="AE131" i="1"/>
  <c r="AE505" i="5"/>
  <c r="AE80" i="5"/>
  <c r="AE295" i="5"/>
  <c r="AE298" i="1"/>
  <c r="AE509" i="5"/>
  <c r="AE240" i="1"/>
  <c r="AE391" i="5"/>
  <c r="AE154" i="1"/>
  <c r="AE282" i="5"/>
  <c r="AE111" i="1"/>
  <c r="AE197" i="5"/>
  <c r="AE516" i="5"/>
  <c r="AE549" i="5"/>
  <c r="AE574" i="5"/>
  <c r="AE593" i="5"/>
  <c r="AE329" i="5"/>
  <c r="AE636" i="5"/>
  <c r="AE637" i="5"/>
  <c r="AE479" i="1"/>
  <c r="AE119" i="1"/>
  <c r="AE649" i="5"/>
  <c r="AE557" i="5"/>
  <c r="AE11" i="5"/>
  <c r="AE343" i="5"/>
  <c r="AE33" i="5"/>
  <c r="AE504" i="1"/>
  <c r="AE339" i="5"/>
  <c r="AE63" i="1"/>
  <c r="AE274" i="5"/>
  <c r="AE310" i="1"/>
  <c r="AE115" i="1"/>
  <c r="AE646" i="5"/>
</calcChain>
</file>

<file path=xl/sharedStrings.xml><?xml version="1.0" encoding="utf-8"?>
<sst xmlns="http://schemas.openxmlformats.org/spreadsheetml/2006/main" count="27933" uniqueCount="595">
  <si>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</si>
  <si>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</si>
  <si>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</si>
  <si>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</si>
  <si>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</si>
  <si>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</si>
  <si>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</si>
  <si>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</si>
  <si>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</si>
  <si>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</si>
  <si>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</si>
  <si>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</si>
  <si>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</si>
  <si>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</si>
  <si>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</si>
  <si>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</si>
  <si>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</si>
  <si>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</si>
  <si>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</si>
  <si>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</si>
  <si>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</si>
  <si>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</si>
  <si>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</si>
  <si>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</si>
  <si>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</si>
  <si>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</si>
  <si>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</si>
  <si>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</si>
  <si>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</si>
  <si>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</si>
  <si>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</si>
  <si>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</si>
  <si>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</si>
  <si>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</si>
  <si>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</si>
  <si>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</si>
  <si>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</si>
  <si>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</si>
  <si>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</si>
  <si>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</si>
  <si>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</si>
  <si>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</si>
  <si>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</si>
  <si>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</si>
  <si>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</si>
  <si>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</si>
  <si>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</si>
  <si>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</si>
  <si>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</si>
  <si>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</si>
  <si>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</si>
  <si>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</si>
  <si>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</si>
  <si>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</si>
  <si>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</si>
  <si>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</si>
  <si>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</si>
  <si>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</si>
  <si>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</si>
  <si>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</si>
  <si>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</si>
  <si>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</si>
  <si>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</si>
  <si>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</si>
  <si>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</si>
  <si>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</si>
  <si>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</si>
  <si>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</si>
  <si>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</si>
  <si>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</si>
  <si>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</si>
  <si>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</si>
  <si>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</si>
  <si>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</si>
  <si>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</si>
  <si>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</si>
  <si>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</si>
  <si>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</si>
  <si>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</si>
  <si>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</si>
  <si>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</si>
  <si>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</si>
  <si>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</si>
  <si>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</si>
  <si>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</si>
  <si>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</si>
  <si>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</si>
  <si>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</si>
  <si>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</si>
  <si>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</si>
  <si>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</si>
  <si>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</si>
  <si>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</si>
  <si>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</si>
  <si>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</si>
  <si>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</si>
  <si>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</si>
  <si>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</si>
  <si>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</si>
  <si>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</si>
  <si>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</si>
  <si>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</si>
  <si>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</si>
  <si>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</si>
  <si>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</si>
  <si>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</si>
  <si>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</si>
  <si>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</si>
  <si>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</si>
  <si>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</si>
  <si>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</si>
  <si>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</si>
  <si>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</si>
  <si>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</si>
  <si>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</si>
  <si>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</si>
  <si>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</si>
  <si>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</si>
  <si>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</si>
  <si>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</si>
  <si>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</si>
  <si>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</si>
  <si>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</si>
  <si>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</si>
  <si>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</si>
  <si>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</si>
  <si>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</si>
  <si>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</si>
  <si>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</si>
  <si>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</si>
  <si>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</si>
  <si>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</si>
  <si>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</si>
  <si>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</si>
  <si>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</si>
  <si>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</si>
  <si>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</si>
  <si>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</si>
  <si>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</si>
  <si>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</si>
  <si>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</si>
  <si>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</si>
  <si>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</si>
  <si>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</si>
  <si>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</si>
  <si>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</si>
  <si>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</si>
  <si>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</si>
  <si>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</si>
  <si>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</si>
  <si>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</si>
  <si>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</si>
  <si>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</si>
  <si>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</si>
  <si>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</si>
  <si>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</si>
  <si>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</si>
  <si>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</si>
  <si>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</si>
  <si>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</si>
  <si>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</si>
  <si>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</si>
  <si>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</si>
  <si>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</si>
  <si>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</si>
  <si>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</si>
  <si>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</si>
  <si>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</si>
  <si>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</si>
  <si>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</si>
  <si>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</si>
  <si>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</si>
  <si>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</si>
  <si>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</si>
  <si>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</si>
  <si>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</si>
  <si>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</si>
  <si>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</si>
  <si>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</si>
  <si>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</si>
  <si>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</si>
  <si>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</si>
  <si>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</si>
  <si>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</si>
  <si>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</si>
  <si>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</si>
  <si>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</si>
  <si>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</si>
  <si>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</si>
  <si>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</si>
  <si>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</si>
  <si>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</si>
  <si>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</si>
  <si>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</si>
  <si>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</si>
  <si>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</si>
  <si>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</si>
  <si>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</si>
  <si>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</si>
  <si>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</si>
  <si>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</si>
  <si>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</si>
  <si>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</si>
  <si>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</si>
  <si>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</si>
  <si>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</si>
  <si>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</si>
  <si>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</si>
  <si>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</si>
  <si>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</si>
  <si>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</si>
  <si>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</si>
  <si>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</si>
  <si>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</si>
  <si>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</si>
  <si>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</si>
  <si>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</si>
  <si>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</si>
  <si>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</si>
  <si>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</si>
  <si>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</si>
  <si>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</si>
  <si>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</si>
  <si>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</si>
  <si>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</si>
  <si>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</si>
  <si>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</si>
  <si>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</si>
  <si>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</si>
  <si>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</si>
  <si>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</si>
  <si>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</si>
  <si>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</si>
  <si>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</si>
  <si>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</si>
  <si>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</si>
  <si>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</si>
  <si>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</si>
  <si>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</si>
  <si>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</si>
  <si>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</si>
  <si>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</si>
  <si>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</si>
  <si>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</si>
  <si>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</si>
  <si>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</si>
  <si>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</si>
  <si>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</si>
  <si>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</si>
  <si>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</si>
  <si>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</si>
  <si>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</si>
  <si>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</si>
  <si>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</si>
  <si>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</si>
  <si>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</si>
  <si>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</si>
  <si>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</si>
  <si>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</si>
  <si>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</si>
  <si>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</si>
  <si>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</si>
  <si>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</si>
  <si>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</si>
  <si>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</si>
  <si>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</si>
  <si>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</si>
  <si>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</si>
  <si>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</si>
  <si>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</si>
  <si>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</si>
  <si>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</si>
  <si>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</si>
  <si>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</si>
  <si>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</si>
  <si>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</si>
  <si>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</si>
  <si>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</si>
  <si>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</si>
  <si>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</si>
  <si>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</si>
  <si>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</si>
  <si>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</si>
  <si>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</si>
  <si>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</si>
  <si>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</si>
  <si>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</si>
  <si>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</si>
  <si>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</si>
  <si>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</si>
  <si>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</si>
  <si>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</si>
  <si>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</si>
  <si>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</si>
  <si>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</si>
  <si>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</si>
  <si>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</si>
  <si>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</si>
  <si>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</si>
  <si>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</si>
  <si>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</si>
  <si>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</si>
  <si>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</si>
  <si>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</si>
  <si>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</si>
  <si>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</si>
  <si>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</si>
  <si>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</si>
  <si>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</si>
  <si>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</si>
  <si>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</si>
  <si>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</si>
  <si>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</si>
  <si>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</si>
  <si>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</si>
  <si>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</si>
  <si>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</si>
  <si>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</si>
  <si>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</si>
  <si>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</si>
  <si>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</si>
  <si>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</si>
  <si>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</si>
  <si>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</si>
  <si>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</si>
  <si>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</si>
  <si>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</si>
  <si>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</si>
  <si>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</si>
  <si>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</si>
  <si>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</si>
  <si>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</si>
  <si>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</si>
  <si>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</si>
  <si>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</si>
  <si>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</si>
  <si>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</si>
  <si>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</si>
  <si>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</si>
  <si>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</si>
  <si>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</si>
  <si>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</si>
  <si>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</si>
  <si>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</si>
  <si>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</si>
  <si>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</si>
  <si>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</si>
  <si>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</si>
  <si>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</si>
  <si>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</si>
  <si>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</si>
  <si>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</si>
  <si>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</si>
  <si>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</si>
  <si>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</si>
  <si>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</si>
  <si>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</si>
  <si>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</si>
  <si>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</si>
  <si>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</si>
  <si>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</si>
  <si>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</si>
  <si>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</si>
  <si>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</si>
  <si>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</si>
  <si>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</si>
  <si>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</si>
  <si>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</si>
  <si>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</si>
  <si>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</si>
  <si>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</si>
  <si>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</si>
  <si>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</si>
  <si>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</si>
  <si>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</si>
  <si>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</si>
  <si>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</si>
  <si>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</si>
  <si>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</si>
  <si>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</si>
  <si>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</si>
  <si>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</si>
  <si>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</si>
  <si>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</si>
  <si>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</si>
  <si>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</si>
  <si>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</si>
  <si>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</si>
  <si>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</si>
  <si>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</si>
  <si>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</si>
  <si>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</si>
  <si>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</si>
  <si>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</si>
  <si>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</si>
  <si>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</si>
  <si>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</si>
  <si>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</si>
  <si>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</si>
  <si>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</si>
  <si>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</si>
  <si>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</si>
  <si>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</si>
  <si>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</si>
  <si>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</si>
  <si>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</si>
  <si>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</si>
  <si>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</si>
  <si>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</si>
  <si>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</si>
  <si>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</si>
  <si>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</si>
  <si>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</si>
  <si>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</si>
  <si>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</si>
  <si>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</si>
  <si>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</si>
  <si>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</si>
  <si>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</si>
  <si>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</si>
  <si>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</si>
  <si>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</si>
  <si>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</si>
  <si>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</si>
  <si>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</si>
  <si>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</si>
  <si>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</si>
  <si>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</si>
  <si>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</si>
  <si>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</si>
  <si>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</si>
  <si>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</si>
  <si>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</si>
  <si>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</si>
  <si>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</si>
  <si>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</si>
  <si>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</si>
  <si>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</si>
  <si>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</si>
  <si>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</si>
  <si>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</si>
  <si>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</si>
  <si>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</si>
  <si>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</si>
  <si>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</si>
  <si>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</si>
  <si>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</si>
  <si>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</si>
  <si>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</si>
  <si>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</si>
  <si>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</si>
  <si>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</si>
  <si>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</si>
  <si>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</si>
  <si>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</si>
  <si>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</si>
  <si>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</si>
  <si>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</si>
  <si>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</si>
  <si>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</si>
  <si>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</si>
  <si>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</si>
  <si>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</si>
  <si>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</si>
  <si>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</si>
  <si>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</si>
  <si>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</si>
  <si>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</si>
  <si>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</si>
  <si>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</si>
  <si>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</si>
  <si>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</si>
  <si>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</si>
  <si>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</si>
  <si>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</si>
  <si>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</si>
  <si>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</si>
  <si>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</si>
  <si>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</si>
  <si>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</si>
  <si>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</si>
  <si>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</si>
  <si>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</si>
  <si>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</si>
  <si>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</si>
  <si>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</si>
  <si>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</si>
  <si>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</si>
  <si>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</si>
  <si>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</si>
  <si>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</si>
  <si>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</si>
  <si>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</si>
  <si>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</si>
  <si>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</si>
  <si>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</si>
  <si>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</si>
  <si>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</si>
  <si>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</si>
  <si>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</si>
  <si>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</si>
  <si>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</si>
  <si>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</si>
  <si>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</si>
  <si>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</si>
  <si>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</si>
  <si>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</si>
  <si>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</si>
  <si>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</si>
  <si>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</si>
  <si>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</si>
  <si>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</si>
  <si>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</si>
  <si>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</si>
  <si>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</si>
  <si>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</si>
  <si>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</si>
  <si>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</si>
  <si>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</si>
  <si>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</si>
  <si>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</si>
  <si>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</si>
  <si>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</si>
  <si>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</si>
  <si>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</si>
  <si>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</si>
  <si>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</si>
  <si>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</si>
  <si>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</si>
  <si>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</si>
  <si>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</si>
  <si>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</si>
  <si>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</si>
  <si>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</si>
  <si>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</si>
  <si>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</si>
  <si>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</si>
  <si>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</si>
  <si>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</si>
  <si>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</si>
  <si>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</si>
  <si>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</si>
  <si>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</si>
  <si>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</si>
  <si>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</si>
  <si>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</si>
  <si>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</si>
  <si>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</si>
  <si>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</si>
  <si>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</si>
  <si>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</si>
  <si>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</si>
  <si>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</si>
  <si>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</si>
  <si>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</si>
  <si>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</si>
  <si>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</si>
  <si>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</si>
  <si>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</si>
  <si>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</si>
  <si>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</si>
  <si>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</si>
  <si>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</si>
  <si>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</si>
  <si>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</si>
  <si>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</si>
  <si>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</si>
  <si>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</si>
  <si>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</si>
  <si>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</si>
  <si>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</si>
  <si>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</si>
  <si>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</si>
  <si>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</si>
  <si>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</si>
  <si>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</si>
  <si>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</si>
  <si>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</si>
  <si>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</si>
  <si>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</si>
  <si>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</si>
  <si>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</si>
  <si>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</si>
  <si>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</si>
  <si>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</si>
  <si>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</si>
  <si>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</si>
  <si>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dd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</si>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</sst>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 vertical="top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cumentos/Poli/Informe%20de%20desempe&#241;o%20Institucional%202025-2/Resultados%20Consolidados.xlsx" TargetMode="External"/><Relationship Id="rId2" Type="http://schemas.openxmlformats.org/officeDocument/2006/relationships/externalLinkPath" Target="https://d.docs.live.net/5f15395a9ed9a48f/Documentos/Poli/Informe%20de%20desempe&#241;o%20Institucional%202025-2/Resultados%20Consolidados.xlsx" TargetMode="External"/><Relationship Id="rId1" Type="http://schemas.openxmlformats.org/officeDocument/2006/relationships/externalLinkPath" Target="/5f15395a9ed9a48f/Documentos/Poli/Informe%20de%20desempe&#241;o%20Institucional%202025-2/Resultados%20Consoli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4"/>
      <sheetName val="Consolidado Historico"/>
      <sheetName val="Consolidado Semestral"/>
      <sheetName val="Consolidado Cierres"/>
      <sheetName val="Indice"/>
      <sheetName val="Gestión_Unidades"/>
      <sheetName val="Consolidado 2022-2023 (3)"/>
      <sheetName val="Base Procesos"/>
    </sheetNames>
    <sheetDataSet>
      <sheetData sheetId="0" refreshError="1"/>
      <sheetData sheetId="1" refreshError="1"/>
      <sheetData sheetId="2" refreshError="1"/>
      <sheetData sheetId="3">
        <row r="2">
          <cell r="Q2" t="str">
            <v>1-2023-12-31</v>
          </cell>
        </row>
        <row r="3">
          <cell r="Q3" t="str">
            <v>2-2022-12-31</v>
          </cell>
        </row>
        <row r="4">
          <cell r="Q4" t="str">
            <v>2-2023-12-31</v>
          </cell>
        </row>
        <row r="5">
          <cell r="Q5" t="str">
            <v>3-2023-12-31</v>
          </cell>
        </row>
        <row r="6">
          <cell r="Q6" t="str">
            <v>4-2022-12-31</v>
          </cell>
        </row>
        <row r="7">
          <cell r="Q7" t="str">
            <v>4-2023-12-31</v>
          </cell>
        </row>
        <row r="8">
          <cell r="Q8" t="str">
            <v>5-2023-12-31</v>
          </cell>
        </row>
        <row r="9">
          <cell r="Q9" t="str">
            <v>5-2024-12-31</v>
          </cell>
        </row>
        <row r="10">
          <cell r="Q10" t="str">
            <v>6-2023-12-31</v>
          </cell>
        </row>
        <row r="11">
          <cell r="Q11" t="str">
            <v>6-2024-12-31</v>
          </cell>
        </row>
        <row r="12">
          <cell r="Q12" t="str">
            <v>7-2023-12-31</v>
          </cell>
        </row>
        <row r="13">
          <cell r="Q13" t="str">
            <v>7-2024-12-31</v>
          </cell>
        </row>
        <row r="14">
          <cell r="Q14" t="str">
            <v>8-2023-12-31</v>
          </cell>
        </row>
        <row r="15">
          <cell r="Q15" t="str">
            <v>9-2023-12-31</v>
          </cell>
        </row>
        <row r="16">
          <cell r="Q16" t="str">
            <v>9-2024-06-30</v>
          </cell>
        </row>
        <row r="17">
          <cell r="Q17" t="str">
            <v>10-2023-12-31</v>
          </cell>
        </row>
        <row r="18">
          <cell r="Q18" t="str">
            <v>10-2024-12-31</v>
          </cell>
        </row>
        <row r="19">
          <cell r="Q19" t="str">
            <v>11-2023-12-31</v>
          </cell>
        </row>
        <row r="20">
          <cell r="Q20" t="str">
            <v>11-2024-12-31</v>
          </cell>
        </row>
        <row r="21">
          <cell r="Q21" t="str">
            <v>12-2023-12-31</v>
          </cell>
        </row>
        <row r="22">
          <cell r="Q22" t="str">
            <v>12-2024-12-31</v>
          </cell>
        </row>
        <row r="23">
          <cell r="Q23" t="str">
            <v>13-2023-12-31</v>
          </cell>
        </row>
        <row r="24">
          <cell r="Q24" t="str">
            <v>13-2024-12-31</v>
          </cell>
        </row>
        <row r="25">
          <cell r="Q25" t="str">
            <v>14-2022-12-31</v>
          </cell>
        </row>
        <row r="26">
          <cell r="Q26" t="str">
            <v>14-2023-12-31</v>
          </cell>
        </row>
        <row r="27">
          <cell r="Q27" t="str">
            <v>14-2024-12-31</v>
          </cell>
        </row>
        <row r="28">
          <cell r="Q28" t="str">
            <v>68-2023-12-31</v>
          </cell>
        </row>
        <row r="29">
          <cell r="Q29" t="str">
            <v>68-2024-12-31</v>
          </cell>
        </row>
        <row r="30">
          <cell r="Q30" t="str">
            <v>69-2023-12-31</v>
          </cell>
        </row>
        <row r="31">
          <cell r="Q31" t="str">
            <v>69-2024-12-31</v>
          </cell>
        </row>
        <row r="32">
          <cell r="Q32" t="str">
            <v>73-2023-12-31</v>
          </cell>
        </row>
        <row r="33">
          <cell r="Q33" t="str">
            <v>73-2024-12-31</v>
          </cell>
        </row>
        <row r="34">
          <cell r="Q34" t="str">
            <v>74-2023-12-31</v>
          </cell>
        </row>
        <row r="35">
          <cell r="Q35" t="str">
            <v>74-2024-12-31</v>
          </cell>
        </row>
        <row r="36">
          <cell r="Q36" t="str">
            <v>77-2022-12-31</v>
          </cell>
        </row>
        <row r="37">
          <cell r="Q37" t="str">
            <v>77-2023-12-31</v>
          </cell>
        </row>
        <row r="38">
          <cell r="Q38" t="str">
            <v>77-2024-12-31</v>
          </cell>
        </row>
        <row r="39">
          <cell r="Q39" t="str">
            <v>78-2023-12-31</v>
          </cell>
        </row>
        <row r="40">
          <cell r="Q40" t="str">
            <v>78-2024-12-31</v>
          </cell>
        </row>
        <row r="41">
          <cell r="Q41" t="str">
            <v>79-2023-12-31</v>
          </cell>
        </row>
        <row r="42">
          <cell r="Q42" t="str">
            <v>84-2023-12-31</v>
          </cell>
        </row>
        <row r="43">
          <cell r="Q43" t="str">
            <v>84-2024-12-31</v>
          </cell>
        </row>
        <row r="44">
          <cell r="Q44" t="str">
            <v>85-2023-12-31</v>
          </cell>
        </row>
        <row r="45">
          <cell r="Q45" t="str">
            <v>85-2024-12-31</v>
          </cell>
        </row>
        <row r="46">
          <cell r="Q46" t="str">
            <v>86-2023-12-31</v>
          </cell>
        </row>
        <row r="47">
          <cell r="Q47" t="str">
            <v>86-2024-12-31</v>
          </cell>
        </row>
        <row r="48">
          <cell r="Q48" t="str">
            <v>87-2023-12-31</v>
          </cell>
        </row>
        <row r="49">
          <cell r="Q49" t="str">
            <v>87-2024-12-31</v>
          </cell>
        </row>
        <row r="50">
          <cell r="Q50" t="str">
            <v>88-2023-12-31</v>
          </cell>
        </row>
        <row r="51">
          <cell r="Q51" t="str">
            <v>88-2024-12-31</v>
          </cell>
        </row>
        <row r="52">
          <cell r="Q52" t="str">
            <v>89-2023-12-31</v>
          </cell>
        </row>
        <row r="53">
          <cell r="Q53" t="str">
            <v>89-2024-12-31</v>
          </cell>
        </row>
        <row r="54">
          <cell r="Q54" t="str">
            <v>90-2023-12-31</v>
          </cell>
        </row>
        <row r="55">
          <cell r="Q55" t="str">
            <v>90-2024-12-31</v>
          </cell>
        </row>
        <row r="56">
          <cell r="Q56" t="str">
            <v>91-2023-12-31</v>
          </cell>
        </row>
        <row r="57">
          <cell r="Q57" t="str">
            <v>91-2024-12-31</v>
          </cell>
        </row>
        <row r="58">
          <cell r="Q58" t="str">
            <v>92-2023-12-31</v>
          </cell>
        </row>
        <row r="59">
          <cell r="Q59" t="str">
            <v>92-2024-12-31</v>
          </cell>
        </row>
        <row r="60">
          <cell r="Q60" t="str">
            <v>94-2023-12-31</v>
          </cell>
        </row>
        <row r="61">
          <cell r="Q61" t="str">
            <v>94-2024-12-31</v>
          </cell>
        </row>
        <row r="62">
          <cell r="Q62" t="str">
            <v>95-2023-12-31</v>
          </cell>
        </row>
        <row r="63">
          <cell r="Q63" t="str">
            <v>95-2024-12-31</v>
          </cell>
        </row>
        <row r="64">
          <cell r="Q64" t="str">
            <v>96-2022-12-31</v>
          </cell>
        </row>
        <row r="65">
          <cell r="Q65" t="str">
            <v>96-2023-12-31</v>
          </cell>
        </row>
        <row r="66">
          <cell r="Q66" t="str">
            <v>96-2024-12-31</v>
          </cell>
        </row>
        <row r="67">
          <cell r="Q67" t="str">
            <v>97-2022-12-31</v>
          </cell>
        </row>
        <row r="68">
          <cell r="Q68" t="str">
            <v>97-2023-12-31</v>
          </cell>
        </row>
        <row r="69">
          <cell r="Q69" t="str">
            <v>97-2024-12-31</v>
          </cell>
        </row>
        <row r="70">
          <cell r="Q70" t="str">
            <v>98-2022-12-31</v>
          </cell>
        </row>
        <row r="71">
          <cell r="Q71" t="str">
            <v>98-2023-12-31</v>
          </cell>
        </row>
        <row r="72">
          <cell r="Q72" t="str">
            <v>98-2024-12-31</v>
          </cell>
        </row>
        <row r="73">
          <cell r="Q73" t="str">
            <v>100-2023-12-31</v>
          </cell>
        </row>
        <row r="74">
          <cell r="Q74" t="str">
            <v>100-2024-12-31</v>
          </cell>
        </row>
        <row r="75">
          <cell r="Q75" t="str">
            <v>104-2023-12-31</v>
          </cell>
        </row>
        <row r="76">
          <cell r="Q76" t="str">
            <v>104-2024-12-31</v>
          </cell>
        </row>
        <row r="77">
          <cell r="Q77" t="str">
            <v>106-2023-12-31</v>
          </cell>
        </row>
        <row r="78">
          <cell r="Q78" t="str">
            <v>106-2024-12-31</v>
          </cell>
        </row>
        <row r="79">
          <cell r="Q79" t="str">
            <v>108-2024-12-31</v>
          </cell>
        </row>
        <row r="80">
          <cell r="Q80" t="str">
            <v>109-2024-12-31</v>
          </cell>
        </row>
        <row r="81">
          <cell r="Q81" t="str">
            <v>110-2022-10-31</v>
          </cell>
        </row>
        <row r="82">
          <cell r="Q82" t="str">
            <v>110-2023-12-31</v>
          </cell>
        </row>
        <row r="83">
          <cell r="Q83" t="str">
            <v>111-2023-12-31</v>
          </cell>
        </row>
        <row r="84">
          <cell r="Q84" t="str">
            <v>111-2024-12-31</v>
          </cell>
        </row>
        <row r="85">
          <cell r="Q85" t="str">
            <v>112-2022-10-31</v>
          </cell>
        </row>
        <row r="86">
          <cell r="Q86" t="str">
            <v>112-2023-10-31</v>
          </cell>
        </row>
        <row r="87">
          <cell r="Q87" t="str">
            <v>112-2024-10-31</v>
          </cell>
        </row>
        <row r="88">
          <cell r="Q88" t="str">
            <v>113-2022-10-31</v>
          </cell>
        </row>
        <row r="89">
          <cell r="Q89" t="str">
            <v>113-2023-10-31</v>
          </cell>
        </row>
        <row r="90">
          <cell r="Q90" t="str">
            <v>113-2024-10-31</v>
          </cell>
        </row>
        <row r="91">
          <cell r="Q91" t="str">
            <v>114-2022-10-31</v>
          </cell>
        </row>
        <row r="92">
          <cell r="Q92" t="str">
            <v>114-2023-10-31</v>
          </cell>
        </row>
        <row r="93">
          <cell r="Q93" t="str">
            <v>114-2024-10-31</v>
          </cell>
        </row>
        <row r="94">
          <cell r="Q94" t="str">
            <v>115-2024-12-31</v>
          </cell>
        </row>
        <row r="95">
          <cell r="Q95" t="str">
            <v>116-2023-12-31</v>
          </cell>
        </row>
        <row r="96">
          <cell r="Q96" t="str">
            <v>116-2024-12-31</v>
          </cell>
        </row>
        <row r="97">
          <cell r="Q97" t="str">
            <v>117-2022-10-31</v>
          </cell>
        </row>
        <row r="98">
          <cell r="Q98" t="str">
            <v>117-2023-10-31</v>
          </cell>
        </row>
        <row r="99">
          <cell r="Q99" t="str">
            <v>117-2024-10-31</v>
          </cell>
        </row>
        <row r="100">
          <cell r="Q100" t="str">
            <v>118-2022-10-31</v>
          </cell>
        </row>
        <row r="101">
          <cell r="Q101" t="str">
            <v>118-2023-12-31</v>
          </cell>
        </row>
        <row r="102">
          <cell r="Q102" t="str">
            <v>118-2024-12-31</v>
          </cell>
        </row>
        <row r="103">
          <cell r="Q103" t="str">
            <v>121-2022-12-31</v>
          </cell>
        </row>
        <row r="104">
          <cell r="Q104" t="str">
            <v>121-2023-12-31</v>
          </cell>
        </row>
        <row r="105">
          <cell r="Q105" t="str">
            <v>121-2024-12-31</v>
          </cell>
        </row>
        <row r="106">
          <cell r="Q106" t="str">
            <v>122-2023-12-31</v>
          </cell>
        </row>
        <row r="107">
          <cell r="Q107" t="str">
            <v>122-2024-12-31</v>
          </cell>
        </row>
        <row r="108">
          <cell r="Q108" t="str">
            <v>124-2022-12-31</v>
          </cell>
        </row>
        <row r="109">
          <cell r="Q109" t="str">
            <v>124-2023-12-31</v>
          </cell>
        </row>
        <row r="110">
          <cell r="Q110" t="str">
            <v>124-2024-12-31</v>
          </cell>
        </row>
        <row r="111">
          <cell r="Q111" t="str">
            <v>125-2022-12-31</v>
          </cell>
        </row>
        <row r="112">
          <cell r="Q112" t="str">
            <v>125-2023-12-31</v>
          </cell>
        </row>
        <row r="113">
          <cell r="Q113" t="str">
            <v>125-2024-12-31</v>
          </cell>
        </row>
        <row r="114">
          <cell r="Q114" t="str">
            <v>126-2022-12-31</v>
          </cell>
        </row>
        <row r="115">
          <cell r="Q115" t="str">
            <v>126-2023-12-31</v>
          </cell>
        </row>
        <row r="116">
          <cell r="Q116" t="str">
            <v>126-2024-12-31</v>
          </cell>
        </row>
        <row r="117">
          <cell r="Q117" t="str">
            <v>127-2022-12-31</v>
          </cell>
        </row>
        <row r="118">
          <cell r="Q118" t="str">
            <v>127-2023-12-31</v>
          </cell>
        </row>
        <row r="119">
          <cell r="Q119" t="str">
            <v>127-2024-12-31</v>
          </cell>
        </row>
        <row r="120">
          <cell r="Q120" t="str">
            <v>128-2022-12-31</v>
          </cell>
        </row>
        <row r="121">
          <cell r="Q121" t="str">
            <v>128-2023-12-31</v>
          </cell>
        </row>
        <row r="122">
          <cell r="Q122" t="str">
            <v>128-2024-12-31</v>
          </cell>
        </row>
        <row r="123">
          <cell r="Q123" t="str">
            <v>133-2022-10-31</v>
          </cell>
        </row>
        <row r="124">
          <cell r="Q124" t="str">
            <v>133-2023-12-31</v>
          </cell>
        </row>
        <row r="125">
          <cell r="Q125" t="str">
            <v>133-2024-12-31</v>
          </cell>
        </row>
        <row r="126">
          <cell r="Q126" t="str">
            <v>136-2023-12-31</v>
          </cell>
        </row>
        <row r="127">
          <cell r="Q127" t="str">
            <v>136-2024-06-30</v>
          </cell>
        </row>
        <row r="128">
          <cell r="Q128" t="str">
            <v>137-2023-12-31</v>
          </cell>
        </row>
        <row r="129">
          <cell r="Q129" t="str">
            <v>137-2024-06-30</v>
          </cell>
        </row>
        <row r="130">
          <cell r="Q130" t="str">
            <v>139-2023-12-31</v>
          </cell>
        </row>
        <row r="131">
          <cell r="Q131" t="str">
            <v>139-2024-07-31</v>
          </cell>
        </row>
        <row r="132">
          <cell r="Q132" t="str">
            <v>143-2023-12-31</v>
          </cell>
        </row>
        <row r="133">
          <cell r="Q133" t="str">
            <v>143-2024-12-31</v>
          </cell>
        </row>
        <row r="134">
          <cell r="Q134" t="str">
            <v>144-2023-12-31</v>
          </cell>
        </row>
        <row r="135">
          <cell r="Q135" t="str">
            <v>144-2024-12-31</v>
          </cell>
        </row>
        <row r="136">
          <cell r="Q136" t="str">
            <v>145-2023-12-31</v>
          </cell>
        </row>
        <row r="137">
          <cell r="Q137" t="str">
            <v>145-2024-06-30</v>
          </cell>
        </row>
        <row r="138">
          <cell r="Q138" t="str">
            <v>145-2024-12-31</v>
          </cell>
        </row>
        <row r="139">
          <cell r="Q139" t="str">
            <v>146-2023-12-31</v>
          </cell>
        </row>
        <row r="140">
          <cell r="Q140" t="str">
            <v>146-2024-06-30</v>
          </cell>
        </row>
        <row r="141">
          <cell r="Q141" t="str">
            <v>146-2024-12-31</v>
          </cell>
        </row>
        <row r="142">
          <cell r="Q142" t="str">
            <v>147-2023-12-31</v>
          </cell>
        </row>
        <row r="143">
          <cell r="Q143" t="str">
            <v>147-2024-12-31</v>
          </cell>
        </row>
        <row r="144">
          <cell r="Q144" t="str">
            <v>148-2022-12-31</v>
          </cell>
        </row>
        <row r="145">
          <cell r="Q145" t="str">
            <v>148-2023-12-31</v>
          </cell>
        </row>
        <row r="146">
          <cell r="Q146" t="str">
            <v>148-2024-12-31</v>
          </cell>
        </row>
        <row r="147">
          <cell r="Q147" t="str">
            <v>150-2022-10-31</v>
          </cell>
        </row>
        <row r="148">
          <cell r="Q148" t="str">
            <v>150-2023-12-31</v>
          </cell>
        </row>
        <row r="149">
          <cell r="Q149" t="str">
            <v>150-2024-12-31</v>
          </cell>
        </row>
        <row r="150">
          <cell r="Q150" t="str">
            <v>151-2023-12-31</v>
          </cell>
        </row>
        <row r="151">
          <cell r="Q151" t="str">
            <v>151-2024-12-31</v>
          </cell>
        </row>
        <row r="152">
          <cell r="Q152" t="str">
            <v>157-2023-12-31</v>
          </cell>
        </row>
        <row r="153">
          <cell r="Q153" t="str">
            <v>157-2024-12-31</v>
          </cell>
        </row>
        <row r="154">
          <cell r="Q154" t="str">
            <v>159-2023-12-31</v>
          </cell>
        </row>
        <row r="155">
          <cell r="Q155" t="str">
            <v>159-2024-12-31</v>
          </cell>
        </row>
        <row r="156">
          <cell r="Q156" t="str">
            <v>167-2023-12-31</v>
          </cell>
        </row>
        <row r="157">
          <cell r="Q157" t="str">
            <v>167-2024-12-31</v>
          </cell>
        </row>
        <row r="158">
          <cell r="Q158" t="str">
            <v>171-2023-06-30</v>
          </cell>
        </row>
        <row r="159">
          <cell r="Q159" t="str">
            <v>172-2022-12-31</v>
          </cell>
        </row>
        <row r="160">
          <cell r="Q160" t="str">
            <v>172-2023-12-31</v>
          </cell>
        </row>
        <row r="161">
          <cell r="Q161" t="str">
            <v>172-2024-12-31</v>
          </cell>
        </row>
        <row r="162">
          <cell r="Q162" t="str">
            <v>174-2023-12-31</v>
          </cell>
        </row>
        <row r="163">
          <cell r="Q163" t="str">
            <v>174-2024-06-30</v>
          </cell>
        </row>
        <row r="164">
          <cell r="Q164" t="str">
            <v>174-2024-12-31</v>
          </cell>
        </row>
        <row r="165">
          <cell r="Q165" t="str">
            <v>176-2023-12-31</v>
          </cell>
        </row>
        <row r="166">
          <cell r="Q166" t="str">
            <v>176-2024-12-31</v>
          </cell>
        </row>
        <row r="167">
          <cell r="Q167" t="str">
            <v>193-2022-12-31</v>
          </cell>
        </row>
        <row r="168">
          <cell r="Q168" t="str">
            <v>193-2023-12-31</v>
          </cell>
        </row>
        <row r="169">
          <cell r="Q169" t="str">
            <v>193-2024-12-31</v>
          </cell>
        </row>
        <row r="170">
          <cell r="Q170" t="str">
            <v>194-2022-12-31</v>
          </cell>
        </row>
        <row r="171">
          <cell r="Q171" t="str">
            <v>194-2023-12-31</v>
          </cell>
        </row>
        <row r="172">
          <cell r="Q172" t="str">
            <v>194-2024-06-30</v>
          </cell>
        </row>
        <row r="173">
          <cell r="Q173" t="str">
            <v>196-2023-12-31</v>
          </cell>
        </row>
        <row r="174">
          <cell r="Q174" t="str">
            <v>197-2023-12-31</v>
          </cell>
        </row>
        <row r="175">
          <cell r="Q175" t="str">
            <v>197-2024-12-31</v>
          </cell>
        </row>
        <row r="176">
          <cell r="Q176" t="str">
            <v>199-2023-12-31</v>
          </cell>
        </row>
        <row r="177">
          <cell r="Q177" t="str">
            <v>199-2024-12-31</v>
          </cell>
        </row>
        <row r="178">
          <cell r="Q178" t="str">
            <v>200-2023-12-31</v>
          </cell>
        </row>
        <row r="179">
          <cell r="Q179" t="str">
            <v>200-2024-12-31</v>
          </cell>
        </row>
        <row r="180">
          <cell r="Q180" t="str">
            <v>202-2023-12-31</v>
          </cell>
        </row>
        <row r="181">
          <cell r="Q181" t="str">
            <v>202-2024-12-31</v>
          </cell>
        </row>
        <row r="182">
          <cell r="Q182" t="str">
            <v>203-2022-12-31</v>
          </cell>
        </row>
        <row r="183">
          <cell r="Q183" t="str">
            <v>203-2023-12-31</v>
          </cell>
        </row>
        <row r="184">
          <cell r="Q184" t="str">
            <v>203-2024-12-31</v>
          </cell>
        </row>
        <row r="185">
          <cell r="Q185" t="str">
            <v>204-2022-12-30</v>
          </cell>
        </row>
        <row r="186">
          <cell r="Q186" t="str">
            <v>204-2023-12-31</v>
          </cell>
        </row>
        <row r="187">
          <cell r="Q187" t="str">
            <v>204-2024-12-31</v>
          </cell>
        </row>
        <row r="188">
          <cell r="Q188" t="str">
            <v>205-2022-12-31</v>
          </cell>
        </row>
        <row r="189">
          <cell r="Q189" t="str">
            <v>205-2023-12-31</v>
          </cell>
        </row>
        <row r="190">
          <cell r="Q190" t="str">
            <v>205-2024-12-31</v>
          </cell>
        </row>
        <row r="191">
          <cell r="Q191" t="str">
            <v>206-2023-12-31</v>
          </cell>
        </row>
        <row r="192">
          <cell r="Q192" t="str">
            <v>206-2024-12-31</v>
          </cell>
        </row>
        <row r="193">
          <cell r="Q193" t="str">
            <v>207-2023-12-31</v>
          </cell>
        </row>
        <row r="194">
          <cell r="Q194" t="str">
            <v>207-2024-12-31</v>
          </cell>
        </row>
        <row r="195">
          <cell r="Q195" t="str">
            <v>208-2022-12-31</v>
          </cell>
        </row>
        <row r="196">
          <cell r="Q196" t="str">
            <v>208-2023-12-31</v>
          </cell>
        </row>
        <row r="197">
          <cell r="Q197" t="str">
            <v>208-2024-12-31</v>
          </cell>
        </row>
        <row r="198">
          <cell r="Q198" t="str">
            <v>210-2023-12-31</v>
          </cell>
        </row>
        <row r="199">
          <cell r="Q199" t="str">
            <v>213-2023-12-31</v>
          </cell>
        </row>
        <row r="200">
          <cell r="Q200" t="str">
            <v>213-2024-12-31</v>
          </cell>
        </row>
        <row r="201">
          <cell r="Q201" t="str">
            <v>214-2023-12-31</v>
          </cell>
        </row>
        <row r="202">
          <cell r="Q202" t="str">
            <v>214-2024-12-31</v>
          </cell>
        </row>
        <row r="203">
          <cell r="Q203" t="str">
            <v>215-2023-12-31</v>
          </cell>
        </row>
        <row r="204">
          <cell r="Q204" t="str">
            <v>215-2024-12-31</v>
          </cell>
        </row>
        <row r="205">
          <cell r="Q205" t="str">
            <v>216-2023-12-31</v>
          </cell>
        </row>
        <row r="206">
          <cell r="Q206" t="str">
            <v>216-2024-12-31</v>
          </cell>
        </row>
        <row r="207">
          <cell r="Q207" t="str">
            <v>217-2023-12-31</v>
          </cell>
        </row>
        <row r="208">
          <cell r="Q208" t="str">
            <v>217-2024-12-31</v>
          </cell>
        </row>
        <row r="209">
          <cell r="Q209" t="str">
            <v>218-2023-12-31</v>
          </cell>
        </row>
        <row r="210">
          <cell r="Q210" t="str">
            <v>218-2024-12-31</v>
          </cell>
        </row>
        <row r="211">
          <cell r="Q211" t="str">
            <v>219-2023-12-31</v>
          </cell>
        </row>
        <row r="212">
          <cell r="Q212" t="str">
            <v>219-2024-12-31</v>
          </cell>
        </row>
        <row r="213">
          <cell r="Q213" t="str">
            <v>220-2023-12-31</v>
          </cell>
        </row>
        <row r="214">
          <cell r="Q214" t="str">
            <v>220-2024-12-31</v>
          </cell>
        </row>
        <row r="215">
          <cell r="Q215" t="str">
            <v>221-2023-12-31</v>
          </cell>
        </row>
        <row r="216">
          <cell r="Q216" t="str">
            <v>221-2024-12-31</v>
          </cell>
        </row>
        <row r="217">
          <cell r="Q217" t="str">
            <v>222-2022-12-31</v>
          </cell>
        </row>
        <row r="218">
          <cell r="Q218" t="str">
            <v>222-2023-12-31</v>
          </cell>
        </row>
        <row r="219">
          <cell r="Q219" t="str">
            <v>222-2024-12-31</v>
          </cell>
        </row>
        <row r="220">
          <cell r="Q220" t="str">
            <v>223-2023-12-31</v>
          </cell>
        </row>
        <row r="221">
          <cell r="Q221" t="str">
            <v>223-2024-12-31</v>
          </cell>
        </row>
        <row r="222">
          <cell r="Q222" t="str">
            <v>224-2022-12-31</v>
          </cell>
        </row>
        <row r="223">
          <cell r="Q223" t="str">
            <v>224-2023-12-31</v>
          </cell>
        </row>
        <row r="224">
          <cell r="Q224" t="str">
            <v>224-2024-12-31</v>
          </cell>
        </row>
        <row r="225">
          <cell r="Q225" t="str">
            <v>225-2023-12-31</v>
          </cell>
        </row>
        <row r="226">
          <cell r="Q226" t="str">
            <v>225-2024-12-31</v>
          </cell>
        </row>
        <row r="227">
          <cell r="Q227" t="str">
            <v>226-2022-12-31</v>
          </cell>
        </row>
        <row r="228">
          <cell r="Q228" t="str">
            <v>226-2023-12-31</v>
          </cell>
        </row>
        <row r="229">
          <cell r="Q229" t="str">
            <v>226-2024-12-31</v>
          </cell>
        </row>
        <row r="230">
          <cell r="Q230" t="str">
            <v>227-2022-12-31</v>
          </cell>
        </row>
        <row r="231">
          <cell r="Q231" t="str">
            <v>227-2023-12-31</v>
          </cell>
        </row>
        <row r="232">
          <cell r="Q232" t="str">
            <v>227-2024-12-31</v>
          </cell>
        </row>
        <row r="233">
          <cell r="Q233" t="str">
            <v>228-2023-12-31</v>
          </cell>
        </row>
        <row r="234">
          <cell r="Q234" t="str">
            <v>228-2024-12-31</v>
          </cell>
        </row>
        <row r="235">
          <cell r="Q235" t="str">
            <v>230-2023-12-31</v>
          </cell>
        </row>
        <row r="236">
          <cell r="Q236" t="str">
            <v>230-2024-12-31</v>
          </cell>
        </row>
        <row r="237">
          <cell r="Q237" t="str">
            <v>231-2023-12-31</v>
          </cell>
        </row>
        <row r="238">
          <cell r="Q238" t="str">
            <v>231-2024-12-31</v>
          </cell>
        </row>
        <row r="239">
          <cell r="Q239" t="str">
            <v>232-2023-12-31</v>
          </cell>
        </row>
        <row r="240">
          <cell r="Q240" t="str">
            <v>232-2024-12-31</v>
          </cell>
        </row>
        <row r="241">
          <cell r="Q241" t="str">
            <v>233-2023-12-31</v>
          </cell>
        </row>
        <row r="242">
          <cell r="Q242" t="str">
            <v>233-2024-12-31</v>
          </cell>
        </row>
        <row r="243">
          <cell r="Q243" t="str">
            <v>234-2023-12-31</v>
          </cell>
        </row>
        <row r="244">
          <cell r="Q244" t="str">
            <v>234-2024-12-31</v>
          </cell>
        </row>
        <row r="245">
          <cell r="Q245" t="str">
            <v>235-2023-12-31</v>
          </cell>
        </row>
        <row r="246">
          <cell r="Q246" t="str">
            <v>235-2024-12-31</v>
          </cell>
        </row>
        <row r="247">
          <cell r="Q247" t="str">
            <v>236-2023-12-31</v>
          </cell>
        </row>
        <row r="248">
          <cell r="Q248" t="str">
            <v>236-2024-12-31</v>
          </cell>
        </row>
        <row r="249">
          <cell r="Q249" t="str">
            <v>238-2023-12-31</v>
          </cell>
        </row>
        <row r="250">
          <cell r="Q250" t="str">
            <v>238-2024-06-30</v>
          </cell>
        </row>
        <row r="251">
          <cell r="Q251" t="str">
            <v>238-2024-12-31</v>
          </cell>
        </row>
        <row r="252">
          <cell r="Q252" t="str">
            <v>239-2023-12-31</v>
          </cell>
        </row>
        <row r="253">
          <cell r="Q253" t="str">
            <v>239-2024-12-31</v>
          </cell>
        </row>
        <row r="254">
          <cell r="Q254" t="str">
            <v>240-2023-12-31</v>
          </cell>
        </row>
        <row r="255">
          <cell r="Q255" t="str">
            <v>240-2024-12-31</v>
          </cell>
        </row>
        <row r="256">
          <cell r="Q256" t="str">
            <v>241-2023-12-31</v>
          </cell>
        </row>
        <row r="257">
          <cell r="Q257" t="str">
            <v>241-2024-12-31</v>
          </cell>
        </row>
        <row r="258">
          <cell r="Q258" t="str">
            <v>242-2023-12-31</v>
          </cell>
        </row>
        <row r="259">
          <cell r="Q259" t="str">
            <v>243-2023-12-31</v>
          </cell>
        </row>
        <row r="260">
          <cell r="Q260" t="str">
            <v>243-2024-07-30</v>
          </cell>
        </row>
        <row r="261">
          <cell r="Q261" t="str">
            <v>244-2023-12-31</v>
          </cell>
        </row>
        <row r="262">
          <cell r="Q262" t="str">
            <v>244-2024-12-31</v>
          </cell>
        </row>
        <row r="263">
          <cell r="Q263" t="str">
            <v>245-2022-12-31</v>
          </cell>
        </row>
        <row r="264">
          <cell r="Q264" t="str">
            <v>245-2023-12-31</v>
          </cell>
        </row>
        <row r="265">
          <cell r="Q265" t="str">
            <v>245-2024-12-31</v>
          </cell>
        </row>
        <row r="266">
          <cell r="Q266" t="str">
            <v>246-2023-12-31</v>
          </cell>
        </row>
        <row r="267">
          <cell r="Q267" t="str">
            <v>246-2024-06-30</v>
          </cell>
        </row>
        <row r="268">
          <cell r="Q268" t="str">
            <v>246-2024-12-31</v>
          </cell>
        </row>
        <row r="269">
          <cell r="Q269" t="str">
            <v>247-2023-12-31</v>
          </cell>
        </row>
        <row r="270">
          <cell r="Q270" t="str">
            <v>248-2023-12-31</v>
          </cell>
        </row>
        <row r="271">
          <cell r="Q271" t="str">
            <v>249-2023-12-31</v>
          </cell>
        </row>
        <row r="272">
          <cell r="Q272" t="str">
            <v>251-2023-12-31</v>
          </cell>
        </row>
        <row r="273">
          <cell r="Q273" t="str">
            <v>251-2024-06-30</v>
          </cell>
        </row>
        <row r="274">
          <cell r="Q274" t="str">
            <v>251-2024-12-31</v>
          </cell>
        </row>
        <row r="275">
          <cell r="Q275" t="str">
            <v>252-2023-12-31</v>
          </cell>
        </row>
        <row r="276">
          <cell r="Q276" t="str">
            <v>252-2024-12-31</v>
          </cell>
        </row>
        <row r="277">
          <cell r="Q277" t="str">
            <v>253-2023-12-31</v>
          </cell>
        </row>
        <row r="278">
          <cell r="Q278" t="str">
            <v>254-2023-12-31</v>
          </cell>
        </row>
        <row r="279">
          <cell r="Q279" t="str">
            <v>254-2024-12-31</v>
          </cell>
        </row>
        <row r="280">
          <cell r="Q280" t="str">
            <v>255-2023-12-31</v>
          </cell>
        </row>
        <row r="281">
          <cell r="Q281" t="str">
            <v>255-2024-12-31</v>
          </cell>
        </row>
        <row r="282">
          <cell r="Q282" t="str">
            <v>256-2023-12-31</v>
          </cell>
        </row>
        <row r="283">
          <cell r="Q283" t="str">
            <v>256-2024-12-31</v>
          </cell>
        </row>
        <row r="284">
          <cell r="Q284" t="str">
            <v>257-2023-12-31</v>
          </cell>
        </row>
        <row r="285">
          <cell r="Q285" t="str">
            <v>259-2023-12-31</v>
          </cell>
        </row>
        <row r="286">
          <cell r="Q286" t="str">
            <v>259-2024-06-30</v>
          </cell>
        </row>
        <row r="287">
          <cell r="Q287" t="str">
            <v>259-2024-12-31</v>
          </cell>
        </row>
        <row r="288">
          <cell r="Q288" t="str">
            <v>260-2023-12-31</v>
          </cell>
        </row>
        <row r="289">
          <cell r="Q289" t="str">
            <v>260-2024-06-30</v>
          </cell>
        </row>
        <row r="290">
          <cell r="Q290" t="str">
            <v>260-2024-12-31</v>
          </cell>
        </row>
        <row r="291">
          <cell r="Q291" t="str">
            <v>261-2023-12-31</v>
          </cell>
        </row>
        <row r="292">
          <cell r="Q292" t="str">
            <v>261-2024-06-30</v>
          </cell>
        </row>
        <row r="293">
          <cell r="Q293" t="str">
            <v>261-2024-12-31</v>
          </cell>
        </row>
        <row r="294">
          <cell r="Q294" t="str">
            <v>262-2023-12-31</v>
          </cell>
        </row>
        <row r="295">
          <cell r="Q295" t="str">
            <v>262-2024-06-30</v>
          </cell>
        </row>
        <row r="296">
          <cell r="Q296" t="str">
            <v>262-2024-12-31</v>
          </cell>
        </row>
        <row r="297">
          <cell r="Q297" t="str">
            <v>263-2023-12-31</v>
          </cell>
        </row>
        <row r="298">
          <cell r="Q298" t="str">
            <v>263-2024-06-30</v>
          </cell>
        </row>
        <row r="299">
          <cell r="Q299" t="str">
            <v>263-2024-12-31</v>
          </cell>
        </row>
        <row r="300">
          <cell r="Q300" t="str">
            <v>264-2023-12-31</v>
          </cell>
        </row>
        <row r="301">
          <cell r="Q301" t="str">
            <v>264-2024-06-30</v>
          </cell>
        </row>
        <row r="302">
          <cell r="Q302" t="str">
            <v>264-2024-12-31</v>
          </cell>
        </row>
        <row r="303">
          <cell r="Q303" t="str">
            <v>265-2023-12-31</v>
          </cell>
        </row>
        <row r="304">
          <cell r="Q304" t="str">
            <v>265-2024-06-30</v>
          </cell>
        </row>
        <row r="305">
          <cell r="Q305" t="str">
            <v>265-2024-12-31</v>
          </cell>
        </row>
        <row r="306">
          <cell r="Q306" t="str">
            <v>266-2023-12-31</v>
          </cell>
        </row>
        <row r="307">
          <cell r="Q307" t="str">
            <v>266-2024-06-30</v>
          </cell>
        </row>
        <row r="308">
          <cell r="Q308" t="str">
            <v>266-2024-12-31</v>
          </cell>
        </row>
        <row r="309">
          <cell r="Q309" t="str">
            <v>267-2023-12-31</v>
          </cell>
        </row>
        <row r="310">
          <cell r="Q310" t="str">
            <v>268-2023-12-31</v>
          </cell>
        </row>
        <row r="311">
          <cell r="Q311" t="str">
            <v>268-2024-06-30</v>
          </cell>
        </row>
        <row r="312">
          <cell r="Q312" t="str">
            <v>268-2024-12-31</v>
          </cell>
        </row>
        <row r="313">
          <cell r="Q313" t="str">
            <v>269-2023-12-31</v>
          </cell>
        </row>
        <row r="314">
          <cell r="Q314" t="str">
            <v>269-2024-06-30</v>
          </cell>
        </row>
        <row r="315">
          <cell r="Q315" t="str">
            <v>269-2024-12-31</v>
          </cell>
        </row>
        <row r="316">
          <cell r="Q316" t="str">
            <v>270-2023-12-31</v>
          </cell>
        </row>
        <row r="317">
          <cell r="Q317" t="str">
            <v>270-2024-06-30</v>
          </cell>
        </row>
        <row r="318">
          <cell r="Q318" t="str">
            <v>270-2024-12-31</v>
          </cell>
        </row>
        <row r="319">
          <cell r="Q319" t="str">
            <v>271-2023-12-31</v>
          </cell>
        </row>
        <row r="320">
          <cell r="Q320" t="str">
            <v>271-2024-06-30</v>
          </cell>
        </row>
        <row r="321">
          <cell r="Q321" t="str">
            <v>271-2024-12-31</v>
          </cell>
        </row>
        <row r="322">
          <cell r="Q322" t="str">
            <v>272-2023-12-31</v>
          </cell>
        </row>
        <row r="323">
          <cell r="Q323" t="str">
            <v>272-2024-12-31</v>
          </cell>
        </row>
        <row r="324">
          <cell r="Q324" t="str">
            <v>273-2023-12-31</v>
          </cell>
        </row>
        <row r="325">
          <cell r="Q325" t="str">
            <v>273-2024-12-31</v>
          </cell>
        </row>
        <row r="326">
          <cell r="Q326" t="str">
            <v>274-2022-12-31</v>
          </cell>
        </row>
        <row r="327">
          <cell r="Q327" t="str">
            <v>274-2023-12-31</v>
          </cell>
        </row>
        <row r="328">
          <cell r="Q328" t="str">
            <v>274-2024-12-31</v>
          </cell>
        </row>
        <row r="329">
          <cell r="Q329" t="str">
            <v>275-2024-06-30</v>
          </cell>
        </row>
        <row r="330">
          <cell r="Q330" t="str">
            <v>275-2024-12-31</v>
          </cell>
        </row>
        <row r="331">
          <cell r="Q331" t="str">
            <v>276-2022-12-31</v>
          </cell>
        </row>
        <row r="332">
          <cell r="Q332" t="str">
            <v>276-2023-12-31</v>
          </cell>
        </row>
        <row r="333">
          <cell r="Q333" t="str">
            <v>276-2024-12-31</v>
          </cell>
        </row>
        <row r="334">
          <cell r="Q334" t="str">
            <v>277-2023-12-31</v>
          </cell>
        </row>
        <row r="335">
          <cell r="Q335" t="str">
            <v>277-2024-12-31</v>
          </cell>
        </row>
        <row r="336">
          <cell r="Q336" t="str">
            <v>278-2023-12-31</v>
          </cell>
        </row>
        <row r="337">
          <cell r="Q337" t="str">
            <v>278-2024-12-31</v>
          </cell>
        </row>
        <row r="338">
          <cell r="Q338" t="str">
            <v>279-2023-12-31</v>
          </cell>
        </row>
        <row r="339">
          <cell r="Q339" t="str">
            <v>280-2023-12-31</v>
          </cell>
        </row>
        <row r="340">
          <cell r="Q340" t="str">
            <v>281-2023-12-31</v>
          </cell>
        </row>
        <row r="341">
          <cell r="Q341" t="str">
            <v>282-2023-12-31</v>
          </cell>
        </row>
        <row r="342">
          <cell r="Q342" t="str">
            <v>282-2024-12-31</v>
          </cell>
        </row>
        <row r="343">
          <cell r="Q343" t="str">
            <v>283-2023-12-31</v>
          </cell>
        </row>
        <row r="344">
          <cell r="Q344" t="str">
            <v>283-2024-12-31</v>
          </cell>
        </row>
        <row r="345">
          <cell r="Q345" t="str">
            <v>284-2023-12-31</v>
          </cell>
        </row>
        <row r="346">
          <cell r="Q346" t="str">
            <v>285-2023-12-31</v>
          </cell>
        </row>
        <row r="347">
          <cell r="Q347" t="str">
            <v>285-2024-12-31</v>
          </cell>
        </row>
        <row r="348">
          <cell r="Q348" t="str">
            <v>286-2023-12-31</v>
          </cell>
        </row>
        <row r="349">
          <cell r="Q349" t="str">
            <v>286-2024-12-31</v>
          </cell>
        </row>
        <row r="350">
          <cell r="Q350" t="str">
            <v>288-2023-12-31</v>
          </cell>
        </row>
        <row r="351">
          <cell r="Q351" t="str">
            <v>288-2024-12-31</v>
          </cell>
        </row>
        <row r="352">
          <cell r="Q352" t="str">
            <v>289-2023-12-31</v>
          </cell>
        </row>
        <row r="353">
          <cell r="Q353" t="str">
            <v>289-2024-06-30</v>
          </cell>
        </row>
        <row r="354">
          <cell r="Q354" t="str">
            <v>289-2024-12-31</v>
          </cell>
        </row>
        <row r="355">
          <cell r="Q355" t="str">
            <v>290-2023-12-31</v>
          </cell>
        </row>
        <row r="356">
          <cell r="Q356" t="str">
            <v>290-2024-08-31</v>
          </cell>
        </row>
        <row r="357">
          <cell r="Q357" t="str">
            <v>290-2024-12-31</v>
          </cell>
        </row>
        <row r="358">
          <cell r="Q358" t="str">
            <v>291-2023-12-31</v>
          </cell>
        </row>
        <row r="359">
          <cell r="Q359" t="str">
            <v>291-2024-12-31</v>
          </cell>
        </row>
        <row r="360">
          <cell r="Q360" t="str">
            <v>292-2023-12-31</v>
          </cell>
        </row>
        <row r="361">
          <cell r="Q361" t="str">
            <v>292-2024-12-31</v>
          </cell>
        </row>
        <row r="362">
          <cell r="Q362" t="str">
            <v>293-2023-12-31</v>
          </cell>
        </row>
        <row r="363">
          <cell r="Q363" t="str">
            <v>293-2024-12-31</v>
          </cell>
        </row>
        <row r="364">
          <cell r="Q364" t="str">
            <v>294-2023-12-31</v>
          </cell>
        </row>
        <row r="365">
          <cell r="Q365" t="str">
            <v>294-2024-12-31</v>
          </cell>
        </row>
        <row r="366">
          <cell r="Q366" t="str">
            <v>295-2023-12-31</v>
          </cell>
        </row>
        <row r="367">
          <cell r="Q367" t="str">
            <v>295-2024-06-30</v>
          </cell>
        </row>
        <row r="368">
          <cell r="Q368" t="str">
            <v>296-2023-12-31</v>
          </cell>
        </row>
        <row r="369">
          <cell r="Q369" t="str">
            <v>297-2023-12-31</v>
          </cell>
        </row>
        <row r="370">
          <cell r="Q370" t="str">
            <v>298-2023-12-31</v>
          </cell>
        </row>
        <row r="371">
          <cell r="Q371" t="str">
            <v>300-2023-12-31</v>
          </cell>
        </row>
        <row r="372">
          <cell r="Q372" t="str">
            <v>300-2024-06-30</v>
          </cell>
        </row>
        <row r="373">
          <cell r="Q373" t="str">
            <v>300-2024-12-31</v>
          </cell>
        </row>
        <row r="374">
          <cell r="Q374" t="str">
            <v>301-2023-12-31</v>
          </cell>
        </row>
        <row r="375">
          <cell r="Q375" t="str">
            <v>301-2024-06-30</v>
          </cell>
        </row>
        <row r="376">
          <cell r="Q376" t="str">
            <v>301-2024-12-31</v>
          </cell>
        </row>
        <row r="377">
          <cell r="Q377" t="str">
            <v>302-2023-12-31</v>
          </cell>
        </row>
        <row r="378">
          <cell r="Q378" t="str">
            <v>302-2024-06-30</v>
          </cell>
        </row>
        <row r="379">
          <cell r="Q379" t="str">
            <v>302-2024-12-31</v>
          </cell>
        </row>
        <row r="380">
          <cell r="Q380" t="str">
            <v>303-2023-12-31</v>
          </cell>
        </row>
        <row r="381">
          <cell r="Q381" t="str">
            <v>303-2024-12-31</v>
          </cell>
        </row>
        <row r="382">
          <cell r="Q382" t="str">
            <v>304-2023-12-31</v>
          </cell>
        </row>
        <row r="383">
          <cell r="Q383" t="str">
            <v>304-2024-12-31</v>
          </cell>
        </row>
        <row r="384">
          <cell r="Q384" t="str">
            <v>305-2023-12-31</v>
          </cell>
        </row>
        <row r="385">
          <cell r="Q385" t="str">
            <v>305-2024-12-31</v>
          </cell>
        </row>
        <row r="386">
          <cell r="Q386" t="str">
            <v>306-2023-12-31</v>
          </cell>
        </row>
        <row r="387">
          <cell r="Q387" t="str">
            <v>306-2024-06-30</v>
          </cell>
        </row>
        <row r="388">
          <cell r="Q388" t="str">
            <v>306-2024-12-31</v>
          </cell>
        </row>
        <row r="389">
          <cell r="Q389" t="str">
            <v>307-2023-12-31</v>
          </cell>
        </row>
        <row r="390">
          <cell r="Q390" t="str">
            <v>307-2024-12-31</v>
          </cell>
        </row>
        <row r="391">
          <cell r="Q391" t="str">
            <v>308-2023-12-31</v>
          </cell>
        </row>
        <row r="392">
          <cell r="Q392" t="str">
            <v>308-2024-12-31</v>
          </cell>
        </row>
        <row r="393">
          <cell r="Q393" t="str">
            <v>309-2023-12-31</v>
          </cell>
        </row>
        <row r="394">
          <cell r="Q394" t="str">
            <v>309-2024-12-31</v>
          </cell>
        </row>
        <row r="395">
          <cell r="Q395" t="str">
            <v>310-2023-12-31</v>
          </cell>
        </row>
        <row r="396">
          <cell r="Q396" t="str">
            <v>310-2024-12-31</v>
          </cell>
        </row>
        <row r="397">
          <cell r="Q397" t="str">
            <v>311-2023-12-31</v>
          </cell>
        </row>
        <row r="398">
          <cell r="Q398" t="str">
            <v>311-2024-12-31</v>
          </cell>
        </row>
        <row r="399">
          <cell r="Q399" t="str">
            <v>312-2023-12-31</v>
          </cell>
        </row>
        <row r="400">
          <cell r="Q400" t="str">
            <v>312-2024-12-31</v>
          </cell>
        </row>
        <row r="401">
          <cell r="Q401" t="str">
            <v>313-2023-12-31</v>
          </cell>
        </row>
        <row r="402">
          <cell r="Q402" t="str">
            <v>313-2024-12-31</v>
          </cell>
        </row>
        <row r="403">
          <cell r="Q403" t="str">
            <v>314-2023-12-31</v>
          </cell>
        </row>
        <row r="404">
          <cell r="Q404" t="str">
            <v>314-2024-12-31</v>
          </cell>
        </row>
        <row r="405">
          <cell r="Q405" t="str">
            <v>315-2023-12-31</v>
          </cell>
        </row>
        <row r="406">
          <cell r="Q406" t="str">
            <v>315-2024-06-30</v>
          </cell>
        </row>
        <row r="407">
          <cell r="Q407" t="str">
            <v>315-2024-12-31</v>
          </cell>
        </row>
        <row r="408">
          <cell r="Q408" t="str">
            <v>316-2023-12-31</v>
          </cell>
        </row>
        <row r="409">
          <cell r="Q409" t="str">
            <v>316-2024-06-30</v>
          </cell>
        </row>
        <row r="410">
          <cell r="Q410" t="str">
            <v>317-2023-12-31</v>
          </cell>
        </row>
        <row r="411">
          <cell r="Q411" t="str">
            <v>317-2024-12-31</v>
          </cell>
        </row>
        <row r="412">
          <cell r="Q412" t="str">
            <v>318-2023-12-31</v>
          </cell>
        </row>
        <row r="413">
          <cell r="Q413" t="str">
            <v>318-2024-12-31</v>
          </cell>
        </row>
        <row r="414">
          <cell r="Q414" t="str">
            <v>319-2023-12-31</v>
          </cell>
        </row>
        <row r="415">
          <cell r="Q415" t="str">
            <v>319-2024-12-31</v>
          </cell>
        </row>
        <row r="416">
          <cell r="Q416" t="str">
            <v>320-2023-12-31</v>
          </cell>
        </row>
        <row r="417">
          <cell r="Q417" t="str">
            <v>320-2024-12-31</v>
          </cell>
        </row>
        <row r="418">
          <cell r="Q418" t="str">
            <v>321-2023-12-31</v>
          </cell>
        </row>
        <row r="419">
          <cell r="Q419" t="str">
            <v>321-2024-12-31</v>
          </cell>
        </row>
        <row r="420">
          <cell r="Q420" t="str">
            <v>323-2022-12-31</v>
          </cell>
        </row>
        <row r="421">
          <cell r="Q421" t="str">
            <v>323-2023-12-31</v>
          </cell>
        </row>
        <row r="422">
          <cell r="Q422" t="str">
            <v>323-2024-12-31</v>
          </cell>
        </row>
        <row r="423">
          <cell r="Q423" t="str">
            <v>324-2023-12-31</v>
          </cell>
        </row>
        <row r="424">
          <cell r="Q424" t="str">
            <v>324-2024-12-31</v>
          </cell>
        </row>
        <row r="425">
          <cell r="Q425" t="str">
            <v>325-2022-12-31</v>
          </cell>
        </row>
        <row r="426">
          <cell r="Q426" t="str">
            <v>325-2023-12-31</v>
          </cell>
        </row>
        <row r="427">
          <cell r="Q427" t="str">
            <v>325-2024-12-31</v>
          </cell>
        </row>
        <row r="428">
          <cell r="Q428" t="str">
            <v>326-2023-12-31</v>
          </cell>
        </row>
        <row r="429">
          <cell r="Q429" t="str">
            <v>326-2024-12-31</v>
          </cell>
        </row>
        <row r="430">
          <cell r="Q430" t="str">
            <v>327-2022-12-31</v>
          </cell>
        </row>
        <row r="431">
          <cell r="Q431" t="str">
            <v>327-2023-12-31</v>
          </cell>
        </row>
        <row r="432">
          <cell r="Q432" t="str">
            <v>327-2024-12-31</v>
          </cell>
        </row>
        <row r="433">
          <cell r="Q433" t="str">
            <v>328-2023-12-31</v>
          </cell>
        </row>
        <row r="434">
          <cell r="Q434" t="str">
            <v>328-2024-12-31</v>
          </cell>
        </row>
        <row r="435">
          <cell r="Q435" t="str">
            <v>329-2023-12-31</v>
          </cell>
        </row>
        <row r="436">
          <cell r="Q436" t="str">
            <v>329-2024-12-31</v>
          </cell>
        </row>
        <row r="437">
          <cell r="Q437" t="str">
            <v>331-2023-12-31</v>
          </cell>
        </row>
        <row r="438">
          <cell r="Q438" t="str">
            <v>331-2024-12-31</v>
          </cell>
        </row>
        <row r="439">
          <cell r="Q439" t="str">
            <v>332-2022-12-31</v>
          </cell>
        </row>
        <row r="440">
          <cell r="Q440" t="str">
            <v>332-2023-12-31</v>
          </cell>
        </row>
        <row r="441">
          <cell r="Q441" t="str">
            <v>332-2024-12-31</v>
          </cell>
        </row>
        <row r="442">
          <cell r="Q442" t="str">
            <v>334-2022-12-31</v>
          </cell>
        </row>
        <row r="443">
          <cell r="Q443" t="str">
            <v>334-2023-12-31</v>
          </cell>
        </row>
        <row r="444">
          <cell r="Q444" t="str">
            <v>334-2024-12-31</v>
          </cell>
        </row>
        <row r="445">
          <cell r="Q445" t="str">
            <v>335-2023-12-31</v>
          </cell>
        </row>
        <row r="446">
          <cell r="Q446" t="str">
            <v>335-2024-12-31</v>
          </cell>
        </row>
        <row r="447">
          <cell r="Q447" t="str">
            <v>336-2023-12-31</v>
          </cell>
        </row>
        <row r="448">
          <cell r="Q448" t="str">
            <v>336-2024-12-31</v>
          </cell>
        </row>
        <row r="449">
          <cell r="Q449" t="str">
            <v>337-2023-12-31</v>
          </cell>
        </row>
        <row r="450">
          <cell r="Q450" t="str">
            <v>337-2024-12-31</v>
          </cell>
        </row>
        <row r="451">
          <cell r="Q451" t="str">
            <v>338-2023-12-31</v>
          </cell>
        </row>
        <row r="452">
          <cell r="Q452" t="str">
            <v>338-2024-12-31</v>
          </cell>
        </row>
        <row r="453">
          <cell r="Q453" t="str">
            <v>339-2023-12-31</v>
          </cell>
        </row>
        <row r="454">
          <cell r="Q454" t="str">
            <v>339-2024-12-31</v>
          </cell>
        </row>
        <row r="455">
          <cell r="Q455" t="str">
            <v>340-2023-12-31</v>
          </cell>
        </row>
        <row r="456">
          <cell r="Q456" t="str">
            <v>340-2024-12-31</v>
          </cell>
        </row>
        <row r="457">
          <cell r="Q457" t="str">
            <v>341-2023-12-31</v>
          </cell>
        </row>
        <row r="458">
          <cell r="Q458" t="str">
            <v>341-2024-12-31</v>
          </cell>
        </row>
        <row r="459">
          <cell r="Q459" t="str">
            <v>344-2023-12-31</v>
          </cell>
        </row>
        <row r="460">
          <cell r="Q460" t="str">
            <v>344-2024-06-30</v>
          </cell>
        </row>
        <row r="461">
          <cell r="Q461" t="str">
            <v>344-2024-12-31</v>
          </cell>
        </row>
        <row r="462">
          <cell r="Q462" t="str">
            <v>345-2023-12-31</v>
          </cell>
        </row>
        <row r="463">
          <cell r="Q463" t="str">
            <v>346-2023-12-31</v>
          </cell>
        </row>
        <row r="464">
          <cell r="Q464" t="str">
            <v>346-2024-12-31</v>
          </cell>
        </row>
        <row r="465">
          <cell r="Q465" t="str">
            <v>347-2023-12-31</v>
          </cell>
        </row>
        <row r="466">
          <cell r="Q466" t="str">
            <v>347-2024-12-31</v>
          </cell>
        </row>
        <row r="467">
          <cell r="Q467" t="str">
            <v>348-2023-12-31</v>
          </cell>
        </row>
        <row r="468">
          <cell r="Q468" t="str">
            <v>348-2024-12-31</v>
          </cell>
        </row>
        <row r="469">
          <cell r="Q469" t="str">
            <v>349-2023-12-31</v>
          </cell>
        </row>
        <row r="470">
          <cell r="Q470" t="str">
            <v>350-2023-12-31</v>
          </cell>
        </row>
        <row r="471">
          <cell r="Q471" t="str">
            <v>351-2023-12-31</v>
          </cell>
        </row>
        <row r="472">
          <cell r="Q472" t="str">
            <v>351-2024-12-31</v>
          </cell>
        </row>
        <row r="473">
          <cell r="Q473" t="str">
            <v>352-2023-12-31</v>
          </cell>
        </row>
        <row r="474">
          <cell r="Q474" t="str">
            <v>352-2024-12-31</v>
          </cell>
        </row>
        <row r="475">
          <cell r="Q475" t="str">
            <v>353-2023-12-31</v>
          </cell>
        </row>
        <row r="476">
          <cell r="Q476" t="str">
            <v>354-2023-12-31</v>
          </cell>
        </row>
        <row r="477">
          <cell r="Q477" t="str">
            <v>355-2023-12-31</v>
          </cell>
        </row>
        <row r="478">
          <cell r="Q478" t="str">
            <v>355-2024-12-31</v>
          </cell>
        </row>
        <row r="479">
          <cell r="Q479" t="str">
            <v>356-2023-12-31</v>
          </cell>
        </row>
        <row r="480">
          <cell r="Q480" t="str">
            <v>356-2024-12-31</v>
          </cell>
        </row>
        <row r="481">
          <cell r="Q481" t="str">
            <v>357-2023-12-31</v>
          </cell>
        </row>
        <row r="482">
          <cell r="Q482" t="str">
            <v>357-2024-12-31</v>
          </cell>
        </row>
        <row r="483">
          <cell r="Q483" t="str">
            <v>358-2023-12-31</v>
          </cell>
        </row>
        <row r="484">
          <cell r="Q484" t="str">
            <v>358-2024-12-31</v>
          </cell>
        </row>
        <row r="485">
          <cell r="Q485" t="str">
            <v>359-2024-06-30</v>
          </cell>
        </row>
        <row r="486">
          <cell r="Q486" t="str">
            <v>359-2024-12-31</v>
          </cell>
        </row>
        <row r="487">
          <cell r="Q487" t="str">
            <v>361-2023-12-31</v>
          </cell>
        </row>
        <row r="488">
          <cell r="Q488" t="str">
            <v>361-2024-12-31</v>
          </cell>
        </row>
        <row r="489">
          <cell r="Q489" t="str">
            <v>362-2023-12-31</v>
          </cell>
        </row>
        <row r="490">
          <cell r="Q490" t="str">
            <v>362-2024-06-30</v>
          </cell>
        </row>
        <row r="491">
          <cell r="Q491" t="str">
            <v>362-2024-12-31</v>
          </cell>
        </row>
        <row r="492">
          <cell r="Q492" t="str">
            <v>363-2023-12-31</v>
          </cell>
        </row>
        <row r="493">
          <cell r="Q493" t="str">
            <v>363-2024-06-30</v>
          </cell>
        </row>
        <row r="494">
          <cell r="Q494" t="str">
            <v>363-2024-12-31</v>
          </cell>
        </row>
        <row r="495">
          <cell r="Q495" t="str">
            <v>364-2023-12-31</v>
          </cell>
        </row>
        <row r="496">
          <cell r="Q496" t="str">
            <v>364-2024-12-31</v>
          </cell>
        </row>
        <row r="497">
          <cell r="Q497" t="str">
            <v>365-2023-12-31</v>
          </cell>
        </row>
        <row r="498">
          <cell r="Q498" t="str">
            <v>366-2023-12-31</v>
          </cell>
        </row>
        <row r="499">
          <cell r="Q499" t="str">
            <v>366-2024-12-31</v>
          </cell>
        </row>
        <row r="500">
          <cell r="Q500" t="str">
            <v>367-2022-12-31</v>
          </cell>
        </row>
        <row r="501">
          <cell r="Q501" t="str">
            <v>367-2023-12-31</v>
          </cell>
        </row>
        <row r="502">
          <cell r="Q502" t="str">
            <v>367-2024-12-31</v>
          </cell>
        </row>
        <row r="503">
          <cell r="Q503" t="str">
            <v>368-2023-12-31</v>
          </cell>
        </row>
        <row r="504">
          <cell r="Q504" t="str">
            <v>368-2024-06-30</v>
          </cell>
        </row>
        <row r="505">
          <cell r="Q505" t="str">
            <v>368-2024-12-31</v>
          </cell>
        </row>
        <row r="506">
          <cell r="Q506" t="str">
            <v>369-2023-12-31</v>
          </cell>
        </row>
        <row r="507">
          <cell r="Q507" t="str">
            <v>369-2024-12-31</v>
          </cell>
        </row>
        <row r="508">
          <cell r="Q508" t="str">
            <v>370-2023-12-31</v>
          </cell>
        </row>
        <row r="509">
          <cell r="Q509" t="str">
            <v>371-2023-12-31</v>
          </cell>
        </row>
        <row r="510">
          <cell r="Q510" t="str">
            <v>371-2024-12-31</v>
          </cell>
        </row>
        <row r="511">
          <cell r="Q511" t="str">
            <v>372-2023-12-31</v>
          </cell>
        </row>
        <row r="512">
          <cell r="Q512" t="str">
            <v>372-2024-06-30</v>
          </cell>
        </row>
        <row r="513">
          <cell r="Q513" t="str">
            <v>372-2024-12-31</v>
          </cell>
        </row>
        <row r="514">
          <cell r="Q514" t="str">
            <v>373-2023-12-31</v>
          </cell>
        </row>
        <row r="515">
          <cell r="Q515" t="str">
            <v>373-2024-12-31</v>
          </cell>
        </row>
        <row r="516">
          <cell r="Q516" t="str">
            <v>374-2023-12-31</v>
          </cell>
        </row>
        <row r="517">
          <cell r="Q517" t="str">
            <v>375-2023-12-31</v>
          </cell>
        </row>
        <row r="518">
          <cell r="Q518" t="str">
            <v>375-2024-12-31</v>
          </cell>
        </row>
        <row r="519">
          <cell r="Q519" t="str">
            <v>376-2022-12-30</v>
          </cell>
        </row>
        <row r="520">
          <cell r="Q520" t="str">
            <v>376-2023-12-31</v>
          </cell>
        </row>
        <row r="521">
          <cell r="Q521" t="str">
            <v>376-2024-12-31</v>
          </cell>
        </row>
        <row r="522">
          <cell r="Q522" t="str">
            <v>377-2023-12-31</v>
          </cell>
        </row>
        <row r="523">
          <cell r="Q523" t="str">
            <v>377-2024-12-31</v>
          </cell>
        </row>
        <row r="524">
          <cell r="Q524" t="str">
            <v>378-2023-12-31</v>
          </cell>
        </row>
        <row r="525">
          <cell r="Q525" t="str">
            <v>378-2024-06-30</v>
          </cell>
        </row>
        <row r="526">
          <cell r="Q526" t="str">
            <v>378-2024-12-31</v>
          </cell>
        </row>
        <row r="527">
          <cell r="Q527" t="str">
            <v>379-2022-12-31</v>
          </cell>
        </row>
        <row r="528">
          <cell r="Q528" t="str">
            <v>379-2023-12-31</v>
          </cell>
        </row>
        <row r="529">
          <cell r="Q529" t="str">
            <v>379-2024-12-31</v>
          </cell>
        </row>
        <row r="530">
          <cell r="Q530" t="str">
            <v>380-2023-12-31</v>
          </cell>
        </row>
        <row r="531">
          <cell r="Q531" t="str">
            <v>380-2024-06-30</v>
          </cell>
        </row>
        <row r="532">
          <cell r="Q532" t="str">
            <v>380-2024-12-31</v>
          </cell>
        </row>
        <row r="533">
          <cell r="Q533" t="str">
            <v>381-2022-12-31</v>
          </cell>
        </row>
        <row r="534">
          <cell r="Q534" t="str">
            <v>381-2023-12-31</v>
          </cell>
        </row>
        <row r="535">
          <cell r="Q535" t="str">
            <v>381-2024-12-31</v>
          </cell>
        </row>
        <row r="536">
          <cell r="Q536" t="str">
            <v>382-2022-12-31</v>
          </cell>
        </row>
        <row r="537">
          <cell r="Q537" t="str">
            <v>382-2023-12-31</v>
          </cell>
        </row>
        <row r="538">
          <cell r="Q538" t="str">
            <v>382-2024-12-31</v>
          </cell>
        </row>
        <row r="539">
          <cell r="Q539" t="str">
            <v>383-2022-12-31</v>
          </cell>
        </row>
        <row r="540">
          <cell r="Q540" t="str">
            <v>383-2023-12-31</v>
          </cell>
        </row>
        <row r="541">
          <cell r="Q541" t="str">
            <v>383-2024-12-31</v>
          </cell>
        </row>
        <row r="542">
          <cell r="Q542" t="str">
            <v>384-2022-12-31</v>
          </cell>
        </row>
        <row r="543">
          <cell r="Q543" t="str">
            <v>384-2023-12-31</v>
          </cell>
        </row>
        <row r="544">
          <cell r="Q544" t="str">
            <v>384-2024-12-31</v>
          </cell>
        </row>
        <row r="545">
          <cell r="Q545" t="str">
            <v>385-2022-12-31</v>
          </cell>
        </row>
        <row r="546">
          <cell r="Q546" t="str">
            <v>385-2023-12-31</v>
          </cell>
        </row>
        <row r="547">
          <cell r="Q547" t="str">
            <v>385-2024-12-31</v>
          </cell>
        </row>
        <row r="548">
          <cell r="Q548" t="str">
            <v>386-2023-12-31</v>
          </cell>
        </row>
        <row r="549">
          <cell r="Q549" t="str">
            <v>386-2024-12-31</v>
          </cell>
        </row>
        <row r="550">
          <cell r="Q550" t="str">
            <v>387-2023-12-31</v>
          </cell>
        </row>
        <row r="551">
          <cell r="Q551" t="str">
            <v>388-2023-12-31</v>
          </cell>
        </row>
        <row r="552">
          <cell r="Q552" t="str">
            <v>389-2023-12-31</v>
          </cell>
        </row>
        <row r="553">
          <cell r="Q553" t="str">
            <v>389-2024-12-31</v>
          </cell>
        </row>
        <row r="554">
          <cell r="Q554" t="str">
            <v>390-2023-12-31</v>
          </cell>
        </row>
        <row r="555">
          <cell r="Q555" t="str">
            <v>390-2024-12-31</v>
          </cell>
        </row>
        <row r="556">
          <cell r="Q556" t="str">
            <v>391-2023-12-31</v>
          </cell>
        </row>
        <row r="557">
          <cell r="Q557" t="str">
            <v>391-2024-06-30</v>
          </cell>
        </row>
        <row r="558">
          <cell r="Q558" t="str">
            <v>391-2024-12-31</v>
          </cell>
        </row>
        <row r="559">
          <cell r="Q559" t="str">
            <v>392-2023-12-31</v>
          </cell>
        </row>
        <row r="560">
          <cell r="Q560" t="str">
            <v>392-2024-06-30</v>
          </cell>
        </row>
        <row r="561">
          <cell r="Q561" t="str">
            <v>392-2024-12-31</v>
          </cell>
        </row>
        <row r="562">
          <cell r="Q562" t="str">
            <v>393-2023-12-31</v>
          </cell>
        </row>
        <row r="563">
          <cell r="Q563" t="str">
            <v>393-2024-12-31</v>
          </cell>
        </row>
        <row r="564">
          <cell r="Q564" t="str">
            <v>394-2023-12-31</v>
          </cell>
        </row>
        <row r="565">
          <cell r="Q565" t="str">
            <v>394-2024-12-31</v>
          </cell>
        </row>
        <row r="566">
          <cell r="Q566" t="str">
            <v>395-2023-12-31</v>
          </cell>
        </row>
        <row r="567">
          <cell r="Q567" t="str">
            <v>395-2024-12-31</v>
          </cell>
        </row>
        <row r="568">
          <cell r="Q568" t="str">
            <v>396-2023-12-31</v>
          </cell>
        </row>
        <row r="569">
          <cell r="Q569" t="str">
            <v>396-2024-06-30</v>
          </cell>
        </row>
        <row r="570">
          <cell r="Q570" t="str">
            <v>397-2023-12-31</v>
          </cell>
        </row>
        <row r="571">
          <cell r="Q571" t="str">
            <v>397-2024-12-31</v>
          </cell>
        </row>
        <row r="572">
          <cell r="Q572" t="str">
            <v>398-2023-12-31</v>
          </cell>
        </row>
        <row r="573">
          <cell r="Q573" t="str">
            <v>398-2024-12-31</v>
          </cell>
        </row>
        <row r="574">
          <cell r="Q574" t="str">
            <v>399-2023-12-31</v>
          </cell>
        </row>
        <row r="575">
          <cell r="Q575" t="str">
            <v>399-2024-12-31</v>
          </cell>
        </row>
        <row r="576">
          <cell r="Q576" t="str">
            <v>400-2023-12-31</v>
          </cell>
        </row>
        <row r="577">
          <cell r="Q577" t="str">
            <v>400-2024-06-30</v>
          </cell>
        </row>
        <row r="578">
          <cell r="Q578" t="str">
            <v>400-2024-12-31</v>
          </cell>
        </row>
        <row r="579">
          <cell r="Q579" t="str">
            <v>401-2023-12-31</v>
          </cell>
        </row>
        <row r="580">
          <cell r="Q580" t="str">
            <v>401-2024-12-31</v>
          </cell>
        </row>
        <row r="581">
          <cell r="Q581" t="str">
            <v>402-2023-12-31</v>
          </cell>
        </row>
        <row r="582">
          <cell r="Q582" t="str">
            <v>402-2024-12-31</v>
          </cell>
        </row>
        <row r="583">
          <cell r="Q583" t="str">
            <v>403-2023-12-31</v>
          </cell>
        </row>
        <row r="584">
          <cell r="Q584" t="str">
            <v>403-2024-12-31</v>
          </cell>
        </row>
        <row r="585">
          <cell r="Q585" t="str">
            <v>404-2023-12-31</v>
          </cell>
        </row>
        <row r="586">
          <cell r="Q586" t="str">
            <v>404-2024-06-30</v>
          </cell>
        </row>
        <row r="587">
          <cell r="Q587" t="str">
            <v>404-2024-12-31</v>
          </cell>
        </row>
        <row r="588">
          <cell r="Q588" t="str">
            <v>405-2023-12-31</v>
          </cell>
        </row>
        <row r="589">
          <cell r="Q589" t="str">
            <v>405-2024-06-30</v>
          </cell>
        </row>
        <row r="590">
          <cell r="Q590" t="str">
            <v>405-2024-12-31</v>
          </cell>
        </row>
        <row r="591">
          <cell r="Q591" t="str">
            <v>406-2023-12-31</v>
          </cell>
        </row>
        <row r="592">
          <cell r="Q592" t="str">
            <v>406-2024-12-31</v>
          </cell>
        </row>
        <row r="593">
          <cell r="Q593" t="str">
            <v>407-2023-12-31</v>
          </cell>
        </row>
        <row r="594">
          <cell r="Q594" t="str">
            <v>407-2024-12-31</v>
          </cell>
        </row>
        <row r="595">
          <cell r="Q595" t="str">
            <v>408-2023-12-31</v>
          </cell>
        </row>
        <row r="596">
          <cell r="Q596" t="str">
            <v>408-2024-12-31</v>
          </cell>
        </row>
        <row r="597">
          <cell r="Q597" t="str">
            <v>409-2023-12-31</v>
          </cell>
        </row>
        <row r="598">
          <cell r="Q598" t="str">
            <v>409-2024-06-30</v>
          </cell>
        </row>
        <row r="599">
          <cell r="Q599" t="str">
            <v>409-2024-12-31</v>
          </cell>
        </row>
        <row r="600">
          <cell r="Q600" t="str">
            <v>410-2023-12-31</v>
          </cell>
        </row>
        <row r="601">
          <cell r="Q601" t="str">
            <v>411-2023-12-31</v>
          </cell>
        </row>
        <row r="602">
          <cell r="Q602" t="str">
            <v>412-2023-12-31</v>
          </cell>
        </row>
        <row r="603">
          <cell r="Q603" t="str">
            <v>412-2024-12-31</v>
          </cell>
        </row>
        <row r="604">
          <cell r="Q604" t="str">
            <v>413-2023-12-31</v>
          </cell>
        </row>
        <row r="605">
          <cell r="Q605" t="str">
            <v>413-2024-12-31</v>
          </cell>
        </row>
        <row r="606">
          <cell r="Q606" t="str">
            <v>414-2023-12-31</v>
          </cell>
        </row>
        <row r="607">
          <cell r="Q607" t="str">
            <v>414-2024-12-31</v>
          </cell>
        </row>
        <row r="608">
          <cell r="Q608" t="str">
            <v>415-2023-12-31</v>
          </cell>
        </row>
        <row r="609">
          <cell r="Q609" t="str">
            <v>415-2024-12-31</v>
          </cell>
        </row>
        <row r="610">
          <cell r="Q610" t="str">
            <v>416-2023-12-31</v>
          </cell>
        </row>
        <row r="611">
          <cell r="Q611" t="str">
            <v>416-2024-12-31</v>
          </cell>
        </row>
        <row r="612">
          <cell r="Q612" t="str">
            <v>417-2023-12-31</v>
          </cell>
        </row>
        <row r="613">
          <cell r="Q613" t="str">
            <v>417-2024-12-31</v>
          </cell>
        </row>
        <row r="614">
          <cell r="Q614" t="str">
            <v>418-2023-12-31</v>
          </cell>
        </row>
        <row r="615">
          <cell r="Q615" t="str">
            <v>418-2024-12-31</v>
          </cell>
        </row>
        <row r="616">
          <cell r="Q616" t="str">
            <v>419-2023-12-31</v>
          </cell>
        </row>
        <row r="617">
          <cell r="Q617" t="str">
            <v>420-2023-12-31</v>
          </cell>
        </row>
        <row r="618">
          <cell r="Q618" t="str">
            <v>420-2024-12-31</v>
          </cell>
        </row>
        <row r="619">
          <cell r="Q619" t="str">
            <v>421-2023-12-31</v>
          </cell>
        </row>
        <row r="620">
          <cell r="Q620" t="str">
            <v>421-2024-06-30</v>
          </cell>
        </row>
        <row r="621">
          <cell r="Q621" t="str">
            <v>421-2024-12-31</v>
          </cell>
        </row>
        <row r="622">
          <cell r="Q622" t="str">
            <v>422-2023-12-31</v>
          </cell>
        </row>
        <row r="623">
          <cell r="Q623" t="str">
            <v>422-2024-12-31</v>
          </cell>
        </row>
        <row r="624">
          <cell r="Q624" t="str">
            <v>423-2022-12-31</v>
          </cell>
        </row>
        <row r="625">
          <cell r="Q625" t="str">
            <v>423-2023-12-31</v>
          </cell>
        </row>
        <row r="626">
          <cell r="Q626" t="str">
            <v>423-2024-12-31</v>
          </cell>
        </row>
        <row r="627">
          <cell r="Q627" t="str">
            <v>424-2022-12-31</v>
          </cell>
        </row>
        <row r="628">
          <cell r="Q628" t="str">
            <v>424-2023-12-31</v>
          </cell>
        </row>
        <row r="629">
          <cell r="Q629" t="str">
            <v>424-2024-12-31</v>
          </cell>
        </row>
        <row r="630">
          <cell r="Q630" t="str">
            <v>425-2023-12-31</v>
          </cell>
        </row>
        <row r="631">
          <cell r="Q631" t="str">
            <v>425-2024-06-30</v>
          </cell>
        </row>
        <row r="632">
          <cell r="Q632" t="str">
            <v>425-2024-12-31</v>
          </cell>
        </row>
        <row r="633">
          <cell r="Q633" t="str">
            <v>426-2023-12-31</v>
          </cell>
        </row>
        <row r="634">
          <cell r="Q634" t="str">
            <v>426-2024-12-31</v>
          </cell>
        </row>
        <row r="635">
          <cell r="Q635" t="str">
            <v>427-2023-12-31</v>
          </cell>
        </row>
        <row r="636">
          <cell r="Q636" t="str">
            <v>427-2024-12-31</v>
          </cell>
        </row>
        <row r="637">
          <cell r="Q637" t="str">
            <v>428-2023-12-31</v>
          </cell>
        </row>
        <row r="638">
          <cell r="Q638" t="str">
            <v>428-2024-12-31</v>
          </cell>
        </row>
        <row r="639">
          <cell r="Q639" t="str">
            <v>429-2023-12-31</v>
          </cell>
        </row>
        <row r="640">
          <cell r="Q640" t="str">
            <v>429-2024-12-31</v>
          </cell>
        </row>
        <row r="641">
          <cell r="Q641" t="str">
            <v>430-2023-12-31</v>
          </cell>
        </row>
        <row r="642">
          <cell r="Q642" t="str">
            <v>430-2024-12-31</v>
          </cell>
        </row>
        <row r="643">
          <cell r="Q643" t="str">
            <v>431-2023-12-31</v>
          </cell>
        </row>
        <row r="644">
          <cell r="Q644" t="str">
            <v>431-2024-12-31</v>
          </cell>
        </row>
        <row r="645">
          <cell r="Q645" t="str">
            <v>432-2023-12-31</v>
          </cell>
        </row>
        <row r="646">
          <cell r="Q646" t="str">
            <v>432-2024-12-31</v>
          </cell>
        </row>
        <row r="647">
          <cell r="Q647" t="str">
            <v>433-2023-12-31</v>
          </cell>
        </row>
        <row r="648">
          <cell r="Q648" t="str">
            <v>433-2024-12-31</v>
          </cell>
        </row>
        <row r="649">
          <cell r="Q649" t="str">
            <v>434-2023-12-31</v>
          </cell>
        </row>
        <row r="650">
          <cell r="Q650" t="str">
            <v>434-2024-12-31</v>
          </cell>
        </row>
        <row r="651">
          <cell r="Q651" t="str">
            <v>435-2023-12-31</v>
          </cell>
        </row>
        <row r="652">
          <cell r="Q652" t="str">
            <v>435-2024-12-31</v>
          </cell>
        </row>
        <row r="653">
          <cell r="Q653" t="str">
            <v>435-2025-06-30</v>
          </cell>
        </row>
        <row r="654">
          <cell r="Q654" t="str">
            <v>436-2023-12-31</v>
          </cell>
        </row>
        <row r="655">
          <cell r="Q655" t="str">
            <v>436-2024-12-31</v>
          </cell>
        </row>
        <row r="656">
          <cell r="Q656" t="str">
            <v>437-2023-12-31</v>
          </cell>
        </row>
        <row r="657">
          <cell r="Q657" t="str">
            <v>437-2024-12-31</v>
          </cell>
        </row>
        <row r="658">
          <cell r="Q658" t="str">
            <v>438-2023-12-31</v>
          </cell>
        </row>
        <row r="659">
          <cell r="Q659" t="str">
            <v>439-2023-12-31</v>
          </cell>
        </row>
        <row r="660">
          <cell r="Q660" t="str">
            <v>439-2024-06-30</v>
          </cell>
        </row>
        <row r="661">
          <cell r="Q661" t="str">
            <v>439-2024-12-31</v>
          </cell>
        </row>
        <row r="662">
          <cell r="Q662" t="str">
            <v>440-2023-12-31</v>
          </cell>
        </row>
        <row r="663">
          <cell r="Q663" t="str">
            <v>440-2024-12-31</v>
          </cell>
        </row>
        <row r="664">
          <cell r="Q664" t="str">
            <v>441-2024-07-31</v>
          </cell>
        </row>
        <row r="665">
          <cell r="Q665" t="str">
            <v>441-2024-12-31</v>
          </cell>
        </row>
        <row r="666">
          <cell r="Q666" t="str">
            <v>442-2024-12-31</v>
          </cell>
        </row>
        <row r="667">
          <cell r="Q667" t="str">
            <v>443-2024-12-31</v>
          </cell>
        </row>
        <row r="668">
          <cell r="Q668" t="str">
            <v>444-2024-12-31</v>
          </cell>
        </row>
        <row r="669">
          <cell r="Q669" t="str">
            <v>445-2024-12-31</v>
          </cell>
        </row>
        <row r="670">
          <cell r="Q670" t="str">
            <v>447-2024-12-31</v>
          </cell>
        </row>
        <row r="671">
          <cell r="Q671" t="str">
            <v>448-2024-12-31</v>
          </cell>
        </row>
        <row r="672">
          <cell r="Q672" t="str">
            <v>449-2024-06-30</v>
          </cell>
        </row>
        <row r="673">
          <cell r="Q673" t="str">
            <v>449-2024-12-31</v>
          </cell>
        </row>
        <row r="674">
          <cell r="Q674" t="str">
            <v>451-2024-12-31</v>
          </cell>
        </row>
        <row r="675">
          <cell r="Q675" t="str">
            <v>452-2024-06-30</v>
          </cell>
        </row>
        <row r="676">
          <cell r="Q676" t="str">
            <v>452-2024-12-31</v>
          </cell>
        </row>
        <row r="677">
          <cell r="Q677" t="str">
            <v>453-2024-12-31</v>
          </cell>
        </row>
        <row r="678">
          <cell r="Q678" t="str">
            <v>454-2024-06-30</v>
          </cell>
        </row>
        <row r="679">
          <cell r="Q679" t="str">
            <v>454-2024-12-31</v>
          </cell>
        </row>
        <row r="680">
          <cell r="Q680" t="str">
            <v>455-2024-12-31</v>
          </cell>
        </row>
        <row r="681">
          <cell r="Q681" t="str">
            <v>456-2024-12-31</v>
          </cell>
        </row>
        <row r="682">
          <cell r="Q682" t="str">
            <v>457-2024-12-31</v>
          </cell>
        </row>
        <row r="683">
          <cell r="Q683" t="str">
            <v>458-2024-06-30</v>
          </cell>
        </row>
        <row r="684">
          <cell r="Q684" t="str">
            <v>459-2024-06-30</v>
          </cell>
        </row>
        <row r="685">
          <cell r="Q685" t="str">
            <v>459-2024-12-31</v>
          </cell>
        </row>
        <row r="686">
          <cell r="Q686" t="str">
            <v>460-2024-12-31</v>
          </cell>
        </row>
        <row r="687">
          <cell r="Q687" t="str">
            <v>462-2024-06-30</v>
          </cell>
        </row>
        <row r="688">
          <cell r="Q688" t="str">
            <v>462-2024-12-31</v>
          </cell>
        </row>
        <row r="689">
          <cell r="Q689" t="str">
            <v>463-2024-12-31</v>
          </cell>
        </row>
        <row r="690">
          <cell r="Q690" t="str">
            <v>465-2024-12-31</v>
          </cell>
        </row>
        <row r="691">
          <cell r="Q691" t="str">
            <v>466-2022-12-31</v>
          </cell>
        </row>
        <row r="692">
          <cell r="Q692" t="str">
            <v>466-2023-12-31</v>
          </cell>
        </row>
        <row r="693">
          <cell r="Q693" t="str">
            <v>466-2024-12-31</v>
          </cell>
        </row>
        <row r="694">
          <cell r="Q694" t="str">
            <v>467-2024-12-31</v>
          </cell>
        </row>
        <row r="695">
          <cell r="Q695" t="str">
            <v>468-2024-06-30</v>
          </cell>
        </row>
        <row r="696">
          <cell r="Q696" t="str">
            <v>468-2024-12-31</v>
          </cell>
        </row>
        <row r="697">
          <cell r="Q697" t="str">
            <v>469-2024-12-31</v>
          </cell>
        </row>
        <row r="698">
          <cell r="Q698" t="str">
            <v>470-2024-12-31</v>
          </cell>
        </row>
        <row r="699">
          <cell r="Q699" t="str">
            <v>471-2024-12-31</v>
          </cell>
        </row>
        <row r="700">
          <cell r="Q700" t="str">
            <v>472-2024-12-31</v>
          </cell>
        </row>
        <row r="701">
          <cell r="Q701" t="str">
            <v>473-2024-12-31</v>
          </cell>
        </row>
        <row r="702">
          <cell r="Q702" t="str">
            <v>474-2024-06-30</v>
          </cell>
        </row>
        <row r="703">
          <cell r="Q703" t="str">
            <v>474-2024-12-31</v>
          </cell>
        </row>
        <row r="704">
          <cell r="Q704" t="str">
            <v>475-2024-12-31</v>
          </cell>
        </row>
        <row r="705">
          <cell r="Q705" t="str">
            <v>476-2024-12-31</v>
          </cell>
        </row>
        <row r="706">
          <cell r="Q706" t="str">
            <v>477-2024-12-31</v>
          </cell>
        </row>
        <row r="707">
          <cell r="Q707" t="str">
            <v>478-2024-12-31</v>
          </cell>
        </row>
        <row r="708">
          <cell r="Q708" t="str">
            <v>479-2024-12-31</v>
          </cell>
        </row>
        <row r="709">
          <cell r="Q709" t="str">
            <v>480-2024-12-31</v>
          </cell>
        </row>
        <row r="710">
          <cell r="Q710" t="str">
            <v>481-2024-12-31</v>
          </cell>
        </row>
        <row r="711">
          <cell r="Q711" t="str">
            <v>483-2024-12-31</v>
          </cell>
        </row>
        <row r="712">
          <cell r="Q712" t="str">
            <v>484-2024-12-31</v>
          </cell>
        </row>
        <row r="713">
          <cell r="Q713" t="str">
            <v>485-2024-12-31</v>
          </cell>
        </row>
        <row r="714">
          <cell r="Q714" t="str">
            <v>486-2024-12-31</v>
          </cell>
        </row>
        <row r="715">
          <cell r="Q715" t="str">
            <v>487-2024-12-31</v>
          </cell>
        </row>
        <row r="716">
          <cell r="Q716" t="str">
            <v>488-2024-12-31</v>
          </cell>
        </row>
        <row r="717">
          <cell r="Q717" t="str">
            <v>489-2024-12-31</v>
          </cell>
        </row>
        <row r="718">
          <cell r="Q718" t="str">
            <v>490-2024-12-31</v>
          </cell>
        </row>
        <row r="719">
          <cell r="Q719" t="str">
            <v>491-2024-12-31</v>
          </cell>
        </row>
        <row r="720">
          <cell r="Q720" t="str">
            <v>492-2024-12-31</v>
          </cell>
        </row>
        <row r="721">
          <cell r="Q721" t="str">
            <v>493-2024-12-31</v>
          </cell>
        </row>
        <row r="722">
          <cell r="Q722" t="str">
            <v>494-2024-12-31</v>
          </cell>
        </row>
        <row r="723">
          <cell r="Q723" t="str">
            <v>495-2024-12-31</v>
          </cell>
        </row>
        <row r="724">
          <cell r="Q724" t="str">
            <v>496-2024-12-31</v>
          </cell>
        </row>
        <row r="725">
          <cell r="Q725" t="str">
            <v>497-2024-12-31</v>
          </cell>
        </row>
        <row r="726">
          <cell r="Q726" t="str">
            <v>498-2024-12-31</v>
          </cell>
        </row>
        <row r="727">
          <cell r="Q727" t="str">
            <v>499-2024-12-31</v>
          </cell>
        </row>
        <row r="728">
          <cell r="Q728" t="str">
            <v>500-2024-12-31</v>
          </cell>
        </row>
        <row r="729">
          <cell r="Q729" t="str">
            <v>501-2024-12-31</v>
          </cell>
        </row>
        <row r="730">
          <cell r="Q730" t="str">
            <v>502-2024-12-31</v>
          </cell>
        </row>
        <row r="731">
          <cell r="Q731" t="str">
            <v>503-2024-12-31</v>
          </cell>
        </row>
        <row r="732">
          <cell r="Q732" t="str">
            <v>504-2024-12-31</v>
          </cell>
        </row>
        <row r="733">
          <cell r="Q733" t="str">
            <v>505-2024-12-31</v>
          </cell>
        </row>
        <row r="734">
          <cell r="Q734" t="str">
            <v>506-2024-12-31</v>
          </cell>
        </row>
        <row r="735">
          <cell r="Q735" t="str">
            <v>507-2024-12-31</v>
          </cell>
        </row>
        <row r="736">
          <cell r="Q736" t="str">
            <v>508-2024-12-31</v>
          </cell>
        </row>
        <row r="737">
          <cell r="Q737" t="str">
            <v>900-2024-12-31</v>
          </cell>
        </row>
        <row r="738">
          <cell r="Q738" t="str">
            <v>901-2024-12-31</v>
          </cell>
        </row>
        <row r="739">
          <cell r="Q739" t="str">
            <v>902-2024-12-31</v>
          </cell>
        </row>
        <row r="740">
          <cell r="Q740" t="str">
            <v>903-2024-12-31</v>
          </cell>
        </row>
        <row r="741">
          <cell r="Q741" t="str">
            <v>904-2024-12-31</v>
          </cell>
        </row>
        <row r="742">
          <cell r="Q742" t="str">
            <v>905-2024-12-31</v>
          </cell>
        </row>
        <row r="743">
          <cell r="Q743" t="str">
            <v>906-2024-12-31</v>
          </cell>
        </row>
        <row r="744">
          <cell r="Q744" t="str">
            <v>907-2024-12-31</v>
          </cell>
        </row>
        <row r="745">
          <cell r="Q745" t="str">
            <v>908-2024-12-31</v>
          </cell>
        </row>
        <row r="746">
          <cell r="Q746" t="str">
            <v>10.1-2022-12-30</v>
          </cell>
        </row>
        <row r="747">
          <cell r="Q747" t="str">
            <v>10.1-2023-12-31</v>
          </cell>
        </row>
        <row r="748">
          <cell r="Q748" t="str">
            <v>108.1-2022-12-31</v>
          </cell>
        </row>
        <row r="749">
          <cell r="Q749" t="str">
            <v>108.1-2023-12-31</v>
          </cell>
        </row>
        <row r="750">
          <cell r="Q750" t="str">
            <v>108.10-2023-12-31</v>
          </cell>
        </row>
        <row r="751">
          <cell r="Q751" t="str">
            <v>108.11-2023-12-31</v>
          </cell>
        </row>
        <row r="752">
          <cell r="Q752" t="str">
            <v>108.12-2023-12-31</v>
          </cell>
        </row>
        <row r="753">
          <cell r="Q753" t="str">
            <v>108.13-2023-12-31</v>
          </cell>
        </row>
        <row r="754">
          <cell r="Q754" t="str">
            <v>108.14-2023-12-31</v>
          </cell>
        </row>
        <row r="755">
          <cell r="Q755" t="str">
            <v>108.15-2023-12-31</v>
          </cell>
        </row>
        <row r="756">
          <cell r="Q756" t="str">
            <v>108.2-2023-12-31</v>
          </cell>
        </row>
        <row r="757">
          <cell r="Q757" t="str">
            <v>108.2-2024-12-31</v>
          </cell>
        </row>
        <row r="758">
          <cell r="Q758" t="str">
            <v>108.3-2023-12-31</v>
          </cell>
        </row>
        <row r="759">
          <cell r="Q759" t="str">
            <v>108.4-2023-12-31</v>
          </cell>
        </row>
        <row r="760">
          <cell r="Q760" t="str">
            <v>108.5-2022-12-31</v>
          </cell>
        </row>
        <row r="761">
          <cell r="Q761" t="str">
            <v>108.5-2023-12-31</v>
          </cell>
        </row>
        <row r="762">
          <cell r="Q762" t="str">
            <v>108.6-2023-12-31</v>
          </cell>
        </row>
        <row r="763">
          <cell r="Q763" t="str">
            <v>108.7-2023-12-31</v>
          </cell>
        </row>
        <row r="764">
          <cell r="Q764" t="str">
            <v>108.8-2023-12-31</v>
          </cell>
        </row>
        <row r="765">
          <cell r="Q765" t="str">
            <v>108.9-2023-12-31</v>
          </cell>
        </row>
        <row r="766">
          <cell r="Q766" t="str">
            <v>11.1-2024-12-31</v>
          </cell>
        </row>
        <row r="767">
          <cell r="Q767" t="str">
            <v>13.1-2022-12-31</v>
          </cell>
        </row>
        <row r="768">
          <cell r="Q768" t="str">
            <v>13.1-2023-06-30</v>
          </cell>
        </row>
        <row r="769">
          <cell r="Q769" t="str">
            <v>14.1-2022-12-31</v>
          </cell>
        </row>
        <row r="770">
          <cell r="Q770" t="str">
            <v>14.1-2023-12-31</v>
          </cell>
        </row>
        <row r="771">
          <cell r="Q771" t="str">
            <v>14.1-2024-12-31</v>
          </cell>
        </row>
        <row r="772">
          <cell r="Q772" t="str">
            <v>14.2-2022-12-31</v>
          </cell>
        </row>
        <row r="773">
          <cell r="Q773" t="str">
            <v>14.2-2023-12-31</v>
          </cell>
        </row>
        <row r="774">
          <cell r="Q774" t="str">
            <v>14.2-2024-12-31</v>
          </cell>
        </row>
        <row r="775">
          <cell r="Q775" t="str">
            <v>14.3-2022-12-31</v>
          </cell>
        </row>
        <row r="776">
          <cell r="Q776" t="str">
            <v>14.3-2023-12-31</v>
          </cell>
        </row>
        <row r="777">
          <cell r="Q777" t="str">
            <v>14.3-2024-12-31</v>
          </cell>
        </row>
        <row r="778">
          <cell r="Q778" t="str">
            <v>14.4-2022-12-30</v>
          </cell>
        </row>
        <row r="779">
          <cell r="Q779" t="str">
            <v>14.4-2023-12-31</v>
          </cell>
        </row>
        <row r="780">
          <cell r="Q780" t="str">
            <v>14.4-2024-12-31</v>
          </cell>
        </row>
        <row r="781">
          <cell r="Q781" t="str">
            <v>325.1-2022-12-31</v>
          </cell>
        </row>
        <row r="782">
          <cell r="Q782" t="str">
            <v>325.1-2023-12-31</v>
          </cell>
        </row>
        <row r="783">
          <cell r="Q783" t="str">
            <v>325.1-2024-12-31</v>
          </cell>
        </row>
        <row r="784">
          <cell r="Q784" t="str">
            <v>325.2-2022-12-31</v>
          </cell>
        </row>
        <row r="785">
          <cell r="Q785" t="str">
            <v>325.2-2023-12-31</v>
          </cell>
        </row>
        <row r="786">
          <cell r="Q786" t="str">
            <v>325.2-2024-12-31</v>
          </cell>
        </row>
        <row r="787">
          <cell r="Q787" t="str">
            <v>386.1-2023-12-31</v>
          </cell>
        </row>
        <row r="788">
          <cell r="Q788" t="str">
            <v>386.1-2024-12-31</v>
          </cell>
        </row>
        <row r="789">
          <cell r="Q789" t="str">
            <v>386.2-2023-12-31</v>
          </cell>
        </row>
        <row r="790">
          <cell r="Q790" t="str">
            <v>386.2-2024-12-31</v>
          </cell>
        </row>
        <row r="791">
          <cell r="Q791" t="str">
            <v>386.3-2023-12-31</v>
          </cell>
        </row>
        <row r="792">
          <cell r="Q792" t="str">
            <v>386.3-2024-12-31</v>
          </cell>
        </row>
        <row r="793">
          <cell r="Q793" t="str">
            <v>390.1-2023-12-31</v>
          </cell>
        </row>
        <row r="794">
          <cell r="Q794" t="str">
            <v>390.1-2024-12-31</v>
          </cell>
        </row>
        <row r="795">
          <cell r="Q795" t="str">
            <v>390.10-2023-12-31</v>
          </cell>
        </row>
        <row r="796">
          <cell r="Q796" t="str">
            <v>390.10-2024-12-31</v>
          </cell>
        </row>
        <row r="797">
          <cell r="Q797" t="str">
            <v>390.11-2023-12-31</v>
          </cell>
        </row>
        <row r="798">
          <cell r="Q798" t="str">
            <v>390.11-2024-12-31</v>
          </cell>
        </row>
        <row r="799">
          <cell r="Q799" t="str">
            <v>390.12-2023-12-31</v>
          </cell>
        </row>
        <row r="800">
          <cell r="Q800" t="str">
            <v>390.12-2024-12-31</v>
          </cell>
        </row>
        <row r="801">
          <cell r="Q801" t="str">
            <v>390.2-2023-12-31</v>
          </cell>
        </row>
        <row r="802">
          <cell r="Q802" t="str">
            <v>390.2-2024-12-31</v>
          </cell>
        </row>
        <row r="803">
          <cell r="Q803" t="str">
            <v>390.3-2023-12-31</v>
          </cell>
        </row>
        <row r="804">
          <cell r="Q804" t="str">
            <v>390.3-2024-12-31</v>
          </cell>
        </row>
        <row r="805">
          <cell r="Q805" t="str">
            <v>390.4-2023-12-31</v>
          </cell>
        </row>
        <row r="806">
          <cell r="Q806" t="str">
            <v>390.4-2024-12-31</v>
          </cell>
        </row>
        <row r="807">
          <cell r="Q807" t="str">
            <v>390.5-2023-12-31</v>
          </cell>
        </row>
        <row r="808">
          <cell r="Q808" t="str">
            <v>390.5-2024-12-31</v>
          </cell>
        </row>
        <row r="809">
          <cell r="Q809" t="str">
            <v>390.6-2023-12-31</v>
          </cell>
        </row>
        <row r="810">
          <cell r="Q810" t="str">
            <v>390.6-2024-12-31</v>
          </cell>
        </row>
        <row r="811">
          <cell r="Q811" t="str">
            <v>390.7-2023-12-31</v>
          </cell>
        </row>
        <row r="812">
          <cell r="Q812" t="str">
            <v>390.7-2024-12-31</v>
          </cell>
        </row>
        <row r="813">
          <cell r="Q813" t="str">
            <v>390.8-2023-12-31</v>
          </cell>
        </row>
        <row r="814">
          <cell r="Q814" t="str">
            <v>390.8-2024-12-31</v>
          </cell>
        </row>
        <row r="815">
          <cell r="Q815" t="str">
            <v>390.9-2023-12-31</v>
          </cell>
        </row>
        <row r="816">
          <cell r="Q816" t="str">
            <v>390.9-2024-12-31</v>
          </cell>
        </row>
        <row r="817">
          <cell r="Q817" t="str">
            <v>414.1-2023-12-31</v>
          </cell>
        </row>
        <row r="818">
          <cell r="Q818" t="str">
            <v>414.1-2024-12-31</v>
          </cell>
        </row>
        <row r="819">
          <cell r="Q819" t="str">
            <v>414.2-2023-12-31</v>
          </cell>
        </row>
        <row r="820">
          <cell r="Q820" t="str">
            <v>414.2-2024-12-31</v>
          </cell>
        </row>
        <row r="821">
          <cell r="Q821" t="str">
            <v>414.3-2023-12-31</v>
          </cell>
        </row>
        <row r="822">
          <cell r="Q822" t="str">
            <v>414.3-2024-12-31</v>
          </cell>
        </row>
        <row r="823">
          <cell r="Q823" t="str">
            <v>414.4-2023-12-31</v>
          </cell>
        </row>
        <row r="824">
          <cell r="Q824" t="str">
            <v>414.4-2024-12-31</v>
          </cell>
        </row>
        <row r="825">
          <cell r="Q825" t="str">
            <v>414.5-2023-12-31</v>
          </cell>
        </row>
        <row r="826">
          <cell r="Q826" t="str">
            <v>414.5-2024-12-31</v>
          </cell>
        </row>
        <row r="827">
          <cell r="Q827" t="str">
            <v>414.6-2023-12-31</v>
          </cell>
        </row>
        <row r="828">
          <cell r="Q828" t="str">
            <v>414.6-2024-12-31</v>
          </cell>
        </row>
        <row r="829">
          <cell r="Q829" t="str">
            <v>414.7-2023-12-31</v>
          </cell>
        </row>
        <row r="830">
          <cell r="Q830" t="str">
            <v>414.7-2024-12-31</v>
          </cell>
        </row>
        <row r="831">
          <cell r="Q831" t="str">
            <v>414.8-2023-12-31</v>
          </cell>
        </row>
        <row r="832">
          <cell r="Q832" t="str">
            <v>414.8-2024-12-31</v>
          </cell>
        </row>
        <row r="833">
          <cell r="Q833" t="str">
            <v>414.9-2024-12-31</v>
          </cell>
        </row>
        <row r="834">
          <cell r="Q834" t="str">
            <v>415.1-2023-12-31</v>
          </cell>
        </row>
        <row r="835">
          <cell r="Q835" t="str">
            <v>415.1-2024-12-31</v>
          </cell>
        </row>
        <row r="836">
          <cell r="Q836" t="str">
            <v>415.10-2023-12-31</v>
          </cell>
        </row>
        <row r="837">
          <cell r="Q837" t="str">
            <v>415.10-2024-12-31</v>
          </cell>
        </row>
        <row r="838">
          <cell r="Q838" t="str">
            <v>415.11-2024-12-31</v>
          </cell>
        </row>
        <row r="839">
          <cell r="Q839" t="str">
            <v>415.12-2024-12-31</v>
          </cell>
        </row>
        <row r="840">
          <cell r="Q840" t="str">
            <v>415.13-2024-12-31</v>
          </cell>
        </row>
        <row r="841">
          <cell r="Q841" t="str">
            <v>415.14-2024-12-31</v>
          </cell>
        </row>
        <row r="842">
          <cell r="Q842" t="str">
            <v>415.2-2023-12-31</v>
          </cell>
        </row>
        <row r="843">
          <cell r="Q843" t="str">
            <v>415.2-2024-12-31</v>
          </cell>
        </row>
        <row r="844">
          <cell r="Q844" t="str">
            <v>415.3-2023-12-31</v>
          </cell>
        </row>
        <row r="845">
          <cell r="Q845" t="str">
            <v>415.3-2024-12-31</v>
          </cell>
        </row>
        <row r="846">
          <cell r="Q846" t="str">
            <v>415.4-2023-12-31</v>
          </cell>
        </row>
        <row r="847">
          <cell r="Q847" t="str">
            <v>415.4-2024-12-31</v>
          </cell>
        </row>
        <row r="848">
          <cell r="Q848" t="str">
            <v>415.5-2023-12-31</v>
          </cell>
        </row>
        <row r="849">
          <cell r="Q849" t="str">
            <v>415.5-2024-12-31</v>
          </cell>
        </row>
        <row r="850">
          <cell r="Q850" t="str">
            <v>415.6-2023-12-31</v>
          </cell>
        </row>
        <row r="851">
          <cell r="Q851" t="str">
            <v>415.6-2024-12-31</v>
          </cell>
        </row>
        <row r="852">
          <cell r="Q852" t="str">
            <v>415.7-2024-12-31</v>
          </cell>
        </row>
        <row r="853">
          <cell r="Q853" t="str">
            <v>415.8-2024-12-31</v>
          </cell>
        </row>
        <row r="854">
          <cell r="Q854" t="str">
            <v>415.9-2024-12-31</v>
          </cell>
        </row>
        <row r="855">
          <cell r="Q855" t="str">
            <v>416.1-2023-12-31</v>
          </cell>
        </row>
        <row r="856">
          <cell r="Q856" t="str">
            <v>416.1-2024-12-31</v>
          </cell>
        </row>
        <row r="857">
          <cell r="Q857" t="str">
            <v>416.2-2023-12-31</v>
          </cell>
        </row>
        <row r="858">
          <cell r="Q858" t="str">
            <v>416.2-2024-12-31</v>
          </cell>
        </row>
        <row r="859">
          <cell r="Q859" t="str">
            <v>416.3-2024-12-31</v>
          </cell>
        </row>
        <row r="860">
          <cell r="Q860" t="str">
            <v>416.4-2024-12-31</v>
          </cell>
        </row>
        <row r="861">
          <cell r="Q861" t="str">
            <v>416.5-2024-12-31</v>
          </cell>
        </row>
        <row r="862">
          <cell r="Q862" t="str">
            <v>416.6-2024-12-31</v>
          </cell>
        </row>
        <row r="863">
          <cell r="Q863" t="str">
            <v>416.7-2023-12-31</v>
          </cell>
        </row>
        <row r="864">
          <cell r="Q864" t="str">
            <v>416.8-2023-12-31</v>
          </cell>
        </row>
        <row r="865">
          <cell r="Q865" t="str">
            <v>417.1-2023-12-31</v>
          </cell>
        </row>
        <row r="866">
          <cell r="Q866" t="str">
            <v>417.1-2024-12-31</v>
          </cell>
        </row>
        <row r="867">
          <cell r="Q867" t="str">
            <v>417.2-2023-12-31</v>
          </cell>
        </row>
        <row r="868">
          <cell r="Q868" t="str">
            <v>417.2-2024-12-31</v>
          </cell>
        </row>
        <row r="869">
          <cell r="Q869" t="str">
            <v>417.3-2023-12-31</v>
          </cell>
        </row>
        <row r="870">
          <cell r="Q870" t="str">
            <v>417.3-2024-12-31</v>
          </cell>
        </row>
        <row r="871">
          <cell r="Q871" t="str">
            <v>417.4-2023-12-31</v>
          </cell>
        </row>
        <row r="872">
          <cell r="Q872" t="str">
            <v>417.4-2024-12-31</v>
          </cell>
        </row>
        <row r="873">
          <cell r="Q873" t="str">
            <v>417.5-2023-12-31</v>
          </cell>
        </row>
        <row r="874">
          <cell r="Q874" t="str">
            <v>417.5-2024-12-31</v>
          </cell>
        </row>
        <row r="875">
          <cell r="Q875" t="str">
            <v>417.6-2023-12-31</v>
          </cell>
        </row>
        <row r="876">
          <cell r="Q876" t="str">
            <v>417.6-2024-12-31</v>
          </cell>
        </row>
        <row r="877">
          <cell r="Q877" t="str">
            <v>418.1-2023-12-31</v>
          </cell>
        </row>
        <row r="878">
          <cell r="Q878" t="str">
            <v>418.1-2024-12-31</v>
          </cell>
        </row>
        <row r="879">
          <cell r="Q879" t="str">
            <v>418.2-2023-12-31</v>
          </cell>
        </row>
        <row r="880">
          <cell r="Q880" t="str">
            <v>418.2-2024-12-31</v>
          </cell>
        </row>
        <row r="881">
          <cell r="Q881" t="str">
            <v>418.3-2023-12-31</v>
          </cell>
        </row>
        <row r="882">
          <cell r="Q882" t="str">
            <v>418.3-2024-12-31</v>
          </cell>
        </row>
        <row r="883">
          <cell r="Q883" t="str">
            <v>418.4-2023-12-31</v>
          </cell>
        </row>
        <row r="884">
          <cell r="Q884" t="str">
            <v>418.4-2024-12-31</v>
          </cell>
        </row>
        <row r="885">
          <cell r="Q885" t="str">
            <v>418.5-2023-12-31</v>
          </cell>
        </row>
        <row r="886">
          <cell r="Q886" t="str">
            <v>418.5-2024-12-31</v>
          </cell>
        </row>
        <row r="887">
          <cell r="Q887" t="str">
            <v>418.6-2023-12-31</v>
          </cell>
        </row>
        <row r="888">
          <cell r="Q888" t="str">
            <v>418.6-2024-12-31</v>
          </cell>
        </row>
        <row r="889">
          <cell r="Q889" t="str">
            <v>418.7-2023-12-31</v>
          </cell>
        </row>
        <row r="890">
          <cell r="Q890" t="str">
            <v>418.7-2024-12-31</v>
          </cell>
        </row>
        <row r="891">
          <cell r="Q891" t="str">
            <v>418.8-2023-12-31</v>
          </cell>
        </row>
        <row r="892">
          <cell r="Q892" t="str">
            <v>418.8-2024-12-31</v>
          </cell>
        </row>
        <row r="893">
          <cell r="Q893" t="str">
            <v>418.9-2023-12-31</v>
          </cell>
        </row>
        <row r="894">
          <cell r="Q894" t="str">
            <v>418.9-2024-12-31</v>
          </cell>
        </row>
        <row r="895">
          <cell r="Q895" t="str">
            <v>420.1-2023-12-31</v>
          </cell>
        </row>
        <row r="896">
          <cell r="Q896" t="str">
            <v>420.1-2024-12-31</v>
          </cell>
        </row>
        <row r="897">
          <cell r="Q897" t="str">
            <v>420.2-2023-12-31</v>
          </cell>
        </row>
        <row r="898">
          <cell r="Q898" t="str">
            <v>420.2-2024-12-31</v>
          </cell>
        </row>
        <row r="899">
          <cell r="Q899" t="str">
            <v>420.3-2023-12-31</v>
          </cell>
        </row>
        <row r="900">
          <cell r="Q900" t="str">
            <v>420.3-2024-12-31</v>
          </cell>
        </row>
        <row r="901">
          <cell r="Q901" t="str">
            <v>420.4-2023-12-31</v>
          </cell>
        </row>
        <row r="902">
          <cell r="Q902" t="str">
            <v>420.4-2024-12-31</v>
          </cell>
        </row>
        <row r="903">
          <cell r="Q903" t="str">
            <v>420.5-2023-12-31</v>
          </cell>
        </row>
        <row r="904">
          <cell r="Q904" t="str">
            <v>420.5-2024-12-31</v>
          </cell>
        </row>
        <row r="905">
          <cell r="Q905" t="str">
            <v>420.6-2024-12-31</v>
          </cell>
        </row>
        <row r="906">
          <cell r="Q906" t="str">
            <v>469.0-2023-12-31</v>
          </cell>
        </row>
        <row r="907">
          <cell r="Q907" t="str">
            <v>469.1-2023-12-31</v>
          </cell>
        </row>
        <row r="908">
          <cell r="Q908" t="str">
            <v>469.1-2024-12-31</v>
          </cell>
        </row>
        <row r="909">
          <cell r="Q909" t="str">
            <v>469.10-2024-12-31</v>
          </cell>
        </row>
        <row r="910">
          <cell r="Q910" t="str">
            <v>469.2-2023-12-31</v>
          </cell>
        </row>
        <row r="911">
          <cell r="Q911" t="str">
            <v>469.2-2024-12-31</v>
          </cell>
        </row>
        <row r="912">
          <cell r="Q912" t="str">
            <v>469.3-2023-12-31</v>
          </cell>
        </row>
        <row r="913">
          <cell r="Q913" t="str">
            <v>469.3-2024-12-31</v>
          </cell>
        </row>
        <row r="914">
          <cell r="Q914" t="str">
            <v>469.4-2023-12-31</v>
          </cell>
        </row>
        <row r="915">
          <cell r="Q915" t="str">
            <v>469.4-2024-12-31</v>
          </cell>
        </row>
        <row r="916">
          <cell r="Q916" t="str">
            <v>469.5-2023-12-31</v>
          </cell>
        </row>
        <row r="917">
          <cell r="Q917" t="str">
            <v>469.5-2024-12-31</v>
          </cell>
        </row>
        <row r="918">
          <cell r="Q918" t="str">
            <v>469.6-2023-12-31</v>
          </cell>
        </row>
        <row r="919">
          <cell r="Q919" t="str">
            <v>469.6-2024-12-31</v>
          </cell>
        </row>
        <row r="920">
          <cell r="Q920" t="str">
            <v>469.7-2023-12-31</v>
          </cell>
        </row>
        <row r="921">
          <cell r="Q921" t="str">
            <v>469.7-2024-12-31</v>
          </cell>
        </row>
        <row r="922">
          <cell r="Q922" t="str">
            <v>469.8-2024-12-31</v>
          </cell>
        </row>
        <row r="923">
          <cell r="Q923" t="str">
            <v>469.9-2023-12-31</v>
          </cell>
        </row>
        <row r="924">
          <cell r="Q924" t="str">
            <v>469.9-2024-12-31</v>
          </cell>
        </row>
        <row r="925">
          <cell r="Q925" t="str">
            <v>470.1-2024-12-31</v>
          </cell>
        </row>
        <row r="926">
          <cell r="Q926" t="str">
            <v>470.2-2024-12-31</v>
          </cell>
        </row>
        <row r="927">
          <cell r="Q927" t="str">
            <v>470.3-2024-12-31</v>
          </cell>
        </row>
        <row r="928">
          <cell r="Q928" t="str">
            <v>470.4-2024-12-31</v>
          </cell>
        </row>
        <row r="929">
          <cell r="Q929" t="str">
            <v>470.5-2024-12-31</v>
          </cell>
        </row>
        <row r="930">
          <cell r="Q930" t="str">
            <v>Med 1-2023-12-31</v>
          </cell>
        </row>
        <row r="931">
          <cell r="Q931" t="str">
            <v>Med 1-2024-12-31</v>
          </cell>
        </row>
        <row r="932">
          <cell r="Q932" t="str">
            <v>Med 1.1-2023-12-31</v>
          </cell>
        </row>
        <row r="933">
          <cell r="Q933" t="str">
            <v>Med 1.1-2024-12-31</v>
          </cell>
        </row>
        <row r="934">
          <cell r="Q934" t="str">
            <v>Med 1.2-2023-12-31</v>
          </cell>
        </row>
        <row r="935">
          <cell r="Q935" t="str">
            <v>Med 1.3-2023-12-31</v>
          </cell>
        </row>
        <row r="936">
          <cell r="Q936" t="str">
            <v>Med 1.3-2024-12-31</v>
          </cell>
        </row>
        <row r="937">
          <cell r="Q937" t="str">
            <v>Med 1.4-2023-12-31</v>
          </cell>
        </row>
        <row r="938">
          <cell r="Q938" t="str">
            <v>Med 1.4-2024-12-31</v>
          </cell>
        </row>
        <row r="939">
          <cell r="Q939" t="str">
            <v>Med 10-2023-12-31</v>
          </cell>
        </row>
        <row r="940">
          <cell r="Q940" t="str">
            <v>Med 10-2024-12-31</v>
          </cell>
        </row>
        <row r="941">
          <cell r="Q941" t="str">
            <v>Med 11-2023-12-31</v>
          </cell>
        </row>
        <row r="942">
          <cell r="Q942" t="str">
            <v>Med 11-2024-12-31</v>
          </cell>
        </row>
        <row r="943">
          <cell r="Q943" t="str">
            <v>Med 14-2023-12-31</v>
          </cell>
        </row>
        <row r="944">
          <cell r="Q944" t="str">
            <v>Med 15-2023-12-31</v>
          </cell>
        </row>
        <row r="945">
          <cell r="Q945" t="str">
            <v>Med 15-2024-12-31</v>
          </cell>
        </row>
        <row r="946">
          <cell r="Q946" t="str">
            <v>Med 16-2023-12-31</v>
          </cell>
        </row>
        <row r="947">
          <cell r="Q947" t="str">
            <v>Med 17-2023-12-31</v>
          </cell>
        </row>
        <row r="948">
          <cell r="Q948" t="str">
            <v>Med 2-2023-12-31</v>
          </cell>
        </row>
        <row r="949">
          <cell r="Q949" t="str">
            <v>Med 2.1-2023-12-31</v>
          </cell>
        </row>
        <row r="950">
          <cell r="Q950" t="str">
            <v>Med 2.2-2023-12-31</v>
          </cell>
        </row>
        <row r="951">
          <cell r="Q951" t="str">
            <v>Med 3-2023-12-31</v>
          </cell>
        </row>
        <row r="952">
          <cell r="Q952" t="str">
            <v>Med 4-2023-12-31</v>
          </cell>
        </row>
        <row r="953">
          <cell r="Q953" t="str">
            <v>Med 4.1-2023-12-31</v>
          </cell>
        </row>
        <row r="954">
          <cell r="Q954" t="str">
            <v>Med 4.2-2023-12-31</v>
          </cell>
        </row>
        <row r="955">
          <cell r="Q955" t="str">
            <v>Med 5-2023-12-31</v>
          </cell>
        </row>
        <row r="956">
          <cell r="Q956" t="str">
            <v>Med 6-2023-12-31</v>
          </cell>
        </row>
        <row r="957">
          <cell r="Q957" t="str">
            <v>Med 7-2023-12-31</v>
          </cell>
        </row>
        <row r="958">
          <cell r="Q958" t="str">
            <v>Med 7-2024-12-31</v>
          </cell>
        </row>
        <row r="959">
          <cell r="Q959" t="str">
            <v>Med 8-2023-12-31</v>
          </cell>
        </row>
        <row r="960">
          <cell r="Q960" t="str">
            <v>Med 8-2024-12-31</v>
          </cell>
        </row>
        <row r="961">
          <cell r="Q961" t="str">
            <v>Med 9-2023-12-31</v>
          </cell>
        </row>
        <row r="962">
          <cell r="Q962" t="str">
            <v>Med 9-2024-12-31</v>
          </cell>
        </row>
        <row r="963">
          <cell r="Q963" t="str">
            <v>194-2024-12-31</v>
          </cell>
        </row>
        <row r="964">
          <cell r="Q964" t="str">
            <v>228-2022-12-31</v>
          </cell>
        </row>
        <row r="965">
          <cell r="Q965" t="str">
            <v>244-2022-12-31</v>
          </cell>
        </row>
        <row r="966">
          <cell r="Q966" t="str">
            <v>476-2023-12-31</v>
          </cell>
        </row>
        <row r="967">
          <cell r="Q967" t="str">
            <v>460-2023-12-31</v>
          </cell>
        </row>
        <row r="968">
          <cell r="Q968" t="str">
            <v>109-2023-12-31</v>
          </cell>
        </row>
        <row r="969">
          <cell r="Q969" t="str">
            <v>Med 1-2025-06-30</v>
          </cell>
        </row>
        <row r="970">
          <cell r="Q970" t="str">
            <v>Med 1.1-2024-06-30</v>
          </cell>
        </row>
        <row r="971">
          <cell r="Q971" t="str">
            <v>Med 1.3-2025-06-30</v>
          </cell>
        </row>
        <row r="972">
          <cell r="Q972" t="str">
            <v>Med 1.4-2025-06-30</v>
          </cell>
        </row>
        <row r="973">
          <cell r="Q973" t="str">
            <v>Med 10-2025-06-30</v>
          </cell>
        </row>
        <row r="974">
          <cell r="Q974" t="str">
            <v>Med 11-2025-06-30</v>
          </cell>
        </row>
        <row r="975">
          <cell r="Q975" t="str">
            <v>Med 6-2024-06-30</v>
          </cell>
        </row>
        <row r="976">
          <cell r="Q976" t="str">
            <v>Med 7-2024-06-30</v>
          </cell>
        </row>
        <row r="977">
          <cell r="Q977" t="str">
            <v>Med 8-2024-06-30</v>
          </cell>
        </row>
        <row r="978">
          <cell r="Q978" t="str">
            <v>Med 9-2024-06-30</v>
          </cell>
        </row>
        <row r="979">
          <cell r="Q979" t="str">
            <v>Prov-8-2024-12-31</v>
          </cell>
        </row>
        <row r="980">
          <cell r="Q980" t="str">
            <v>Prov-9-2024-12-31</v>
          </cell>
        </row>
        <row r="981">
          <cell r="Q981" t="str">
            <v>Prov-10-2024-12-31</v>
          </cell>
        </row>
        <row r="982">
          <cell r="Q982" t="str">
            <v>Prov-11-2024-12-31</v>
          </cell>
        </row>
        <row r="983">
          <cell r="Q983" t="str">
            <v>Prov-12-2024-12-31</v>
          </cell>
        </row>
        <row r="984">
          <cell r="Q984" t="str">
            <v>Prov-13-2024-12-31</v>
          </cell>
        </row>
        <row r="985">
          <cell r="Q985" t="str">
            <v>Prov-14-2024-12-31</v>
          </cell>
        </row>
        <row r="986">
          <cell r="Q986" t="str">
            <v>Prov-15-2024-12-31</v>
          </cell>
        </row>
        <row r="987">
          <cell r="Q987" t="str">
            <v>Prov-16-2024-12-31</v>
          </cell>
        </row>
        <row r="988">
          <cell r="Q988" t="str">
            <v>77-2026-01-01</v>
          </cell>
        </row>
        <row r="989">
          <cell r="Q989" t="str">
            <v>148-2026-01-01</v>
          </cell>
        </row>
        <row r="990">
          <cell r="Q990" t="str">
            <v>193-2026-01-01</v>
          </cell>
        </row>
        <row r="991">
          <cell r="Q991" t="str">
            <v>194-2026-01-01</v>
          </cell>
        </row>
        <row r="992">
          <cell r="Q992" t="str">
            <v>200-2026-01-01</v>
          </cell>
        </row>
        <row r="993">
          <cell r="Q993" t="str">
            <v>202-2026-01-01</v>
          </cell>
        </row>
        <row r="994">
          <cell r="Q994" t="str">
            <v>206-2026-01-01</v>
          </cell>
        </row>
        <row r="995">
          <cell r="Q995" t="str">
            <v>244-2026-01-01</v>
          </cell>
        </row>
        <row r="996">
          <cell r="Q996" t="str">
            <v>245-2026-01-01</v>
          </cell>
        </row>
        <row r="997">
          <cell r="Q997" t="str">
            <v>248-2026-01-01</v>
          </cell>
        </row>
        <row r="998">
          <cell r="Q998" t="str">
            <v>249-2026-01-01</v>
          </cell>
        </row>
        <row r="999">
          <cell r="Q999" t="str">
            <v>274-2026-01-01</v>
          </cell>
        </row>
        <row r="1000">
          <cell r="Q1000" t="str">
            <v>276-2026-01-01</v>
          </cell>
        </row>
        <row r="1001">
          <cell r="Q1001" t="str">
            <v>323-2026-01-01</v>
          </cell>
        </row>
        <row r="1002">
          <cell r="Q1002" t="str">
            <v>325-2026-01-01</v>
          </cell>
        </row>
        <row r="1003">
          <cell r="Q1003" t="str">
            <v>331-2026-01-01</v>
          </cell>
        </row>
        <row r="1004">
          <cell r="Q1004" t="str">
            <v>332-2026-01-01</v>
          </cell>
        </row>
        <row r="1005">
          <cell r="Q1005" t="str">
            <v>334-2026-01-01</v>
          </cell>
        </row>
        <row r="1006">
          <cell r="Q1006" t="str">
            <v>335-2026-01-01</v>
          </cell>
        </row>
        <row r="1007">
          <cell r="Q1007" t="str">
            <v>339-2026-01-01</v>
          </cell>
        </row>
        <row r="1008">
          <cell r="Q1008" t="str">
            <v>361-2026-01-01</v>
          </cell>
        </row>
        <row r="1009">
          <cell r="Q1009" t="str">
            <v>364-2026-01-01</v>
          </cell>
        </row>
        <row r="1010">
          <cell r="Q1010" t="str">
            <v>367-2026-01-01</v>
          </cell>
        </row>
        <row r="1011">
          <cell r="Q1011" t="str">
            <v>369-2026-01-01</v>
          </cell>
        </row>
        <row r="1012">
          <cell r="Q1012" t="str">
            <v>379-2026-01-01</v>
          </cell>
        </row>
        <row r="1013">
          <cell r="Q1013" t="str">
            <v>423-2026-01-01</v>
          </cell>
        </row>
        <row r="1014">
          <cell r="Q1014" t="str">
            <v>424-2026-01-01</v>
          </cell>
        </row>
        <row r="1015">
          <cell r="Q1015" t="str">
            <v>1-2026-01-01</v>
          </cell>
        </row>
        <row r="1016">
          <cell r="Q1016" t="str">
            <v>2-2026-01-01</v>
          </cell>
        </row>
        <row r="1017">
          <cell r="Q1017" t="str">
            <v>3-2026-01-01</v>
          </cell>
        </row>
        <row r="1018">
          <cell r="Q1018" t="str">
            <v>4-2026-01-01</v>
          </cell>
        </row>
        <row r="1019">
          <cell r="Q1019" t="str">
            <v>6-2026-01-01</v>
          </cell>
        </row>
        <row r="1020">
          <cell r="Q1020" t="str">
            <v>7-2026-01-01</v>
          </cell>
        </row>
        <row r="1021">
          <cell r="Q1021" t="str">
            <v>9-2026-01-01</v>
          </cell>
        </row>
        <row r="1022">
          <cell r="Q1022" t="str">
            <v>10-2026-01-01</v>
          </cell>
        </row>
        <row r="1023">
          <cell r="Q1023" t="str">
            <v>11-2026-01-01</v>
          </cell>
        </row>
        <row r="1024">
          <cell r="Q1024" t="str">
            <v>12-2026-01-01</v>
          </cell>
        </row>
        <row r="1025">
          <cell r="Q1025" t="str">
            <v>13-2026-01-01</v>
          </cell>
        </row>
        <row r="1026">
          <cell r="Q1026" t="str">
            <v>14-2026-01-01</v>
          </cell>
        </row>
        <row r="1027">
          <cell r="Q1027" t="str">
            <v>96-2026-01-01</v>
          </cell>
        </row>
        <row r="1028">
          <cell r="Q1028" t="str">
            <v>14.1-2026-01-01</v>
          </cell>
        </row>
        <row r="1029">
          <cell r="Q1029" t="str">
            <v>14.2-2026-01-01</v>
          </cell>
        </row>
        <row r="1030">
          <cell r="Q1030" t="str">
            <v>14.3-2026-01-01</v>
          </cell>
        </row>
        <row r="1031">
          <cell r="Q1031" t="str">
            <v>14.4-2026-01-01</v>
          </cell>
        </row>
        <row r="1032">
          <cell r="Q1032" t="str">
            <v>10.1-2026-01-01</v>
          </cell>
        </row>
        <row r="1033">
          <cell r="Q1033" t="str">
            <v>13.1-2026-01-01</v>
          </cell>
        </row>
        <row r="1034">
          <cell r="Q1034" t="str">
            <v>97-2026-01-01</v>
          </cell>
        </row>
        <row r="1035">
          <cell r="Q1035" t="str">
            <v>98-2026-01-01</v>
          </cell>
        </row>
        <row r="1036">
          <cell r="Q1036" t="str">
            <v>109-2026-01-01</v>
          </cell>
        </row>
        <row r="1037">
          <cell r="Q1037" t="str">
            <v>463-2026-01-01</v>
          </cell>
        </row>
        <row r="1038">
          <cell r="Q1038" t="str">
            <v>465-2026-01-01</v>
          </cell>
        </row>
        <row r="1039">
          <cell r="Q1039" t="str">
            <v>466-2026-01-01</v>
          </cell>
        </row>
        <row r="1040">
          <cell r="Q1040" t="str">
            <v>472-2026-01-01</v>
          </cell>
        </row>
        <row r="1041">
          <cell r="Q1041" t="str">
            <v>900-2026-01-01</v>
          </cell>
        </row>
        <row r="1042">
          <cell r="Q1042" t="str">
            <v>901-2026-01-01</v>
          </cell>
        </row>
        <row r="1043">
          <cell r="Q1043" t="str">
            <v>902-2026-01-01</v>
          </cell>
        </row>
        <row r="1044">
          <cell r="Q1044" t="str">
            <v>903-2026-01-01</v>
          </cell>
        </row>
        <row r="1045">
          <cell r="Q1045" t="str">
            <v>904-2026-01-01</v>
          </cell>
        </row>
        <row r="1046">
          <cell r="Q1046" t="str">
            <v>905-2026-01-01</v>
          </cell>
        </row>
        <row r="1047">
          <cell r="Q1047" t="str">
            <v>906-2026-01-01</v>
          </cell>
        </row>
        <row r="1048">
          <cell r="Q1048" t="str">
            <v>907-2026-01-01</v>
          </cell>
        </row>
        <row r="1049">
          <cell r="Q1049" t="str">
            <v>908-2026-01-01</v>
          </cell>
        </row>
        <row r="1050">
          <cell r="Q1050" t="str">
            <v>473-2026-01-01</v>
          </cell>
        </row>
        <row r="1051">
          <cell r="Q1051" t="str">
            <v>11.1-2026-01-01</v>
          </cell>
        </row>
        <row r="1052">
          <cell r="Q1052" t="str">
            <v>476-2025-06-30</v>
          </cell>
        </row>
        <row r="1053">
          <cell r="Q1053" t="str">
            <v>460-2025-06-30</v>
          </cell>
        </row>
        <row r="1054">
          <cell r="Q1054" t="str">
            <v>Prov-1-2026-01-01</v>
          </cell>
        </row>
        <row r="1055">
          <cell r="Q1055" t="str">
            <v>Prov-2-2026-01-01</v>
          </cell>
        </row>
        <row r="1056">
          <cell r="Q1056" t="str">
            <v>Prov-3-2024-12-31</v>
          </cell>
        </row>
        <row r="1057">
          <cell r="Q1057" t="str">
            <v>Prov-5-2024-12-31</v>
          </cell>
        </row>
        <row r="1058">
          <cell r="Q1058" t="str">
            <v>Prov-7-2024-12-31</v>
          </cell>
        </row>
        <row r="1059">
          <cell r="Q1059" t="str">
            <v>148-2025-06-30</v>
          </cell>
        </row>
        <row r="1060">
          <cell r="Q1060" t="str">
            <v>339-2025-06-30</v>
          </cell>
        </row>
        <row r="1061">
          <cell r="Q1061" t="str">
            <v>325-2025-06-30</v>
          </cell>
        </row>
        <row r="1062">
          <cell r="Q1062" t="str">
            <v>323-2025-06-30</v>
          </cell>
        </row>
        <row r="1063">
          <cell r="Q1063" t="str">
            <v>276-2025-06-30</v>
          </cell>
        </row>
        <row r="1064">
          <cell r="Q1064" t="str">
            <v>96-2025-06-30</v>
          </cell>
        </row>
        <row r="1065">
          <cell r="Q1065" t="str">
            <v>14-2025-06-30</v>
          </cell>
        </row>
        <row r="1066">
          <cell r="Q1066" t="str">
            <v>379-2025-06-30</v>
          </cell>
        </row>
        <row r="1067">
          <cell r="Q1067" t="str">
            <v>274-2025-06-30</v>
          </cell>
        </row>
        <row r="1068">
          <cell r="Q1068" t="str">
            <v>14.1-2025-06-30</v>
          </cell>
        </row>
        <row r="1069">
          <cell r="Q1069" t="str">
            <v>14.2-2025-06-30</v>
          </cell>
        </row>
        <row r="1070">
          <cell r="Q1070" t="str">
            <v>14.3-2025-06-30</v>
          </cell>
        </row>
        <row r="1071">
          <cell r="Q1071" t="str">
            <v>14.4-2025-06-30</v>
          </cell>
        </row>
        <row r="1072">
          <cell r="Q1072" t="str">
            <v>423-2025-06-30</v>
          </cell>
        </row>
        <row r="1073">
          <cell r="Q1073" t="str">
            <v>97-2025-06-30</v>
          </cell>
        </row>
        <row r="1074">
          <cell r="Q1074" t="str">
            <v>98-2025-06-30</v>
          </cell>
        </row>
        <row r="1075">
          <cell r="Q1075" t="str">
            <v>194-2025-06-30</v>
          </cell>
        </row>
        <row r="1076">
          <cell r="Q1076" t="str">
            <v>193-2025-06-30</v>
          </cell>
        </row>
        <row r="1077">
          <cell r="Q1077" t="str">
            <v>466-2025-06-30</v>
          </cell>
        </row>
        <row r="1078">
          <cell r="Q1078" t="str">
            <v>245-2025-06-30</v>
          </cell>
        </row>
        <row r="1079">
          <cell r="Q1079" t="str">
            <v>205-2025-06-30</v>
          </cell>
        </row>
        <row r="1080">
          <cell r="Q1080" t="str">
            <v>204-2025-06-30</v>
          </cell>
        </row>
        <row r="1081">
          <cell r="Q1081" t="str">
            <v>367-2025-06-30</v>
          </cell>
        </row>
        <row r="1082">
          <cell r="Q1082" t="str">
            <v>364-2025-06-30</v>
          </cell>
        </row>
        <row r="1083">
          <cell r="Q1083" t="str">
            <v>376-2025-06-30</v>
          </cell>
        </row>
        <row r="1084">
          <cell r="Q1084" t="str">
            <v>203-2025-06-30</v>
          </cell>
        </row>
        <row r="1085">
          <cell r="Q1085" t="str">
            <v>207-2025-06-30</v>
          </cell>
        </row>
        <row r="1086">
          <cell r="Q1086" t="str">
            <v>361-2025-06-30</v>
          </cell>
        </row>
        <row r="1087">
          <cell r="Q1087" t="str">
            <v>244-2025-06-30</v>
          </cell>
        </row>
        <row r="1088">
          <cell r="Q1088" t="str">
            <v>369-2025-06-30</v>
          </cell>
        </row>
        <row r="1089">
          <cell r="Q1089" t="str">
            <v>331-2025-06-30</v>
          </cell>
        </row>
        <row r="1090">
          <cell r="Q1090" t="str">
            <v>332-2025-06-30</v>
          </cell>
        </row>
        <row r="1091">
          <cell r="Q1091" t="str">
            <v>202-2025-06-30</v>
          </cell>
        </row>
        <row r="1092">
          <cell r="Q1092" t="str">
            <v>465-2025-06-30</v>
          </cell>
        </row>
        <row r="1093">
          <cell r="Q1093" t="str">
            <v>472-2025-06-30</v>
          </cell>
        </row>
        <row r="1094">
          <cell r="Q1094" t="str">
            <v>200-2025-06-30</v>
          </cell>
        </row>
        <row r="1095">
          <cell r="Q1095" t="str">
            <v>109-2025-06-30</v>
          </cell>
        </row>
        <row r="1096">
          <cell r="Q1096" t="str">
            <v>335-2025-12-31</v>
          </cell>
        </row>
        <row r="1097">
          <cell r="Q1097" t="str">
            <v>334-2025-06-30</v>
          </cell>
        </row>
        <row r="1098">
          <cell r="Q1098" t="str">
            <v>77-2025-06-30</v>
          </cell>
        </row>
        <row r="1099">
          <cell r="Q1099" t="str">
            <v>424-2025-06-30</v>
          </cell>
        </row>
        <row r="1100">
          <cell r="Q1100" t="str">
            <v>277-2025-06-30</v>
          </cell>
        </row>
        <row r="1101">
          <cell r="Q1101" t="str">
            <v>386.1-2025-06-30</v>
          </cell>
        </row>
        <row r="1102">
          <cell r="Q1102" t="str">
            <v>525.2-2025-06-30</v>
          </cell>
        </row>
        <row r="1103">
          <cell r="Q1103" t="str">
            <v>386.3-2025-06-30</v>
          </cell>
        </row>
        <row r="1104">
          <cell r="Q1104" t="str">
            <v>518-2023-12-31</v>
          </cell>
        </row>
        <row r="1105">
          <cell r="Q1105" t="str">
            <v>518-2024-12-31</v>
          </cell>
        </row>
        <row r="1106">
          <cell r="Q1106" t="str">
            <v>115-2023-10-31</v>
          </cell>
        </row>
        <row r="1107">
          <cell r="Q1107" t="str">
            <v>200-2026-01-01</v>
          </cell>
        </row>
        <row r="1108">
          <cell r="Q1108" t="str">
            <v>202-2026-01-01</v>
          </cell>
        </row>
        <row r="1109">
          <cell r="Q1109" t="str">
            <v>244-2026-01-01</v>
          </cell>
        </row>
        <row r="1110">
          <cell r="Q1110" t="str">
            <v>249-2026-01-01</v>
          </cell>
        </row>
        <row r="1111">
          <cell r="Q1111" t="str">
            <v>331-2026-01-01</v>
          </cell>
        </row>
        <row r="1112">
          <cell r="Q1112" t="str">
            <v>335-2026-01-01</v>
          </cell>
        </row>
        <row r="1113">
          <cell r="Q1113" t="str">
            <v>339-2026-01-01</v>
          </cell>
        </row>
        <row r="1114">
          <cell r="Q1114" t="str">
            <v>361-2026-01-01</v>
          </cell>
        </row>
        <row r="1115">
          <cell r="Q1115" t="str">
            <v>364-2026-01-01</v>
          </cell>
        </row>
        <row r="1116">
          <cell r="Q1116" t="str">
            <v>367-2026-01-01</v>
          </cell>
        </row>
        <row r="1117">
          <cell r="Q1117" t="str">
            <v>423-2026-01-01</v>
          </cell>
        </row>
        <row r="1118">
          <cell r="Q1118" t="str">
            <v>424-2026-01-01</v>
          </cell>
        </row>
        <row r="1119">
          <cell r="Q1119" t="str">
            <v>14-2026-01-01</v>
          </cell>
        </row>
        <row r="1120">
          <cell r="Q1120" t="str">
            <v>14.1-2026-01-01</v>
          </cell>
        </row>
        <row r="1121">
          <cell r="Q1121" t="str">
            <v>14.3-2026-01-01</v>
          </cell>
        </row>
        <row r="1122">
          <cell r="Q1122" t="str">
            <v>14.4-2026-01-01</v>
          </cell>
        </row>
        <row r="1123">
          <cell r="Q1123" t="str">
            <v>97-2026-01-01</v>
          </cell>
        </row>
        <row r="1124">
          <cell r="Q1124" t="str">
            <v>98-2026-01-01</v>
          </cell>
        </row>
        <row r="1125">
          <cell r="Q1125" t="str">
            <v>109-2026-01-01</v>
          </cell>
        </row>
        <row r="1126">
          <cell r="Q1126" t="str">
            <v>465-2026-01-01</v>
          </cell>
        </row>
        <row r="1127">
          <cell r="Q1127" t="str">
            <v>472-2026-01-01</v>
          </cell>
        </row>
        <row r="1128">
          <cell r="Q1128" t="str">
            <v>460-2026-01-01</v>
          </cell>
        </row>
        <row r="1129">
          <cell r="Q1129" t="str">
            <v>115-2024-10-31</v>
          </cell>
        </row>
        <row r="1130">
          <cell r="Q1130" t="str">
            <v>124-2025-07-31</v>
          </cell>
        </row>
        <row r="1131">
          <cell r="Q1131" t="str">
            <v>172-2025-07-31</v>
          </cell>
        </row>
        <row r="1132">
          <cell r="Q1132" t="str">
            <v>208-2025-06-30</v>
          </cell>
        </row>
        <row r="1133">
          <cell r="Q1133" t="str">
            <v>214-2025-06-30</v>
          </cell>
        </row>
        <row r="1134">
          <cell r="Q1134" t="str">
            <v>218-2025-06-30</v>
          </cell>
        </row>
        <row r="1135">
          <cell r="Q1135" t="str">
            <v>431-2025-06-30</v>
          </cell>
        </row>
        <row r="1136">
          <cell r="Q1136" t="str">
            <v>518-2025-06-30</v>
          </cell>
        </row>
        <row r="1137">
          <cell r="Q1137" t="str">
            <v>273-2025-06-30</v>
          </cell>
        </row>
        <row r="1138">
          <cell r="Q1138" t="str">
            <v>283-2025-06-30</v>
          </cell>
        </row>
        <row r="1139">
          <cell r="Q1139" t="str">
            <v>324-2025-06-30</v>
          </cell>
        </row>
        <row r="1140">
          <cell r="Q1140" t="str">
            <v>473-2025-06-30</v>
          </cell>
        </row>
        <row r="1141">
          <cell r="Q1141" t="str">
            <v>290-2025-06-30</v>
          </cell>
        </row>
        <row r="1142">
          <cell r="Q1142" t="str">
            <v>432-2025-06-30</v>
          </cell>
        </row>
        <row r="1143">
          <cell r="Q1143" t="str">
            <v>484-2025-06-30</v>
          </cell>
        </row>
        <row r="1144">
          <cell r="Q1144" t="str">
            <v>262-2025-06-30</v>
          </cell>
        </row>
        <row r="1145">
          <cell r="Q1145" t="str">
            <v>139-2025-06-30</v>
          </cell>
        </row>
        <row r="1146">
          <cell r="Q1146" t="str">
            <v>217-2025-06-30</v>
          </cell>
        </row>
        <row r="1147">
          <cell r="Q1147" t="str">
            <v>225-2025-08-31</v>
          </cell>
        </row>
        <row r="1148">
          <cell r="Q1148" t="str">
            <v>239-2025-06-30</v>
          </cell>
        </row>
        <row r="1149">
          <cell r="Q1149" t="str">
            <v>434-2025-06-30</v>
          </cell>
        </row>
        <row r="1150">
          <cell r="Q1150" t="str">
            <v>485-2025-06-30</v>
          </cell>
        </row>
        <row r="1151">
          <cell r="Q1151" t="str">
            <v>488-2025-06-30</v>
          </cell>
        </row>
        <row r="1152">
          <cell r="Q1152" t="str">
            <v>509-2025-06-30</v>
          </cell>
        </row>
        <row r="1153">
          <cell r="Q1153" t="str">
            <v>68-2025-06-30</v>
          </cell>
        </row>
        <row r="1154">
          <cell r="Q1154" t="str">
            <v>73-2025-06-30</v>
          </cell>
        </row>
        <row r="1155">
          <cell r="Q1155" t="str">
            <v>74-2025-06-30</v>
          </cell>
        </row>
        <row r="1156">
          <cell r="Q1156" t="str">
            <v>86-2025-06-30</v>
          </cell>
        </row>
        <row r="1157">
          <cell r="Q1157" t="str">
            <v>95-2025-06-30</v>
          </cell>
        </row>
        <row r="1158">
          <cell r="Q1158" t="str">
            <v>143-2025-06-30</v>
          </cell>
        </row>
        <row r="1159">
          <cell r="Q1159" t="str">
            <v>145-2025-06-30</v>
          </cell>
        </row>
        <row r="1160">
          <cell r="Q1160" t="str">
            <v>146-2025-06-30</v>
          </cell>
        </row>
        <row r="1161">
          <cell r="Q1161" t="str">
            <v>159-2025-06-30</v>
          </cell>
        </row>
        <row r="1162">
          <cell r="Q1162" t="str">
            <v>167-2025-06-30</v>
          </cell>
        </row>
        <row r="1163">
          <cell r="Q1163" t="str">
            <v>246-2025-06-30</v>
          </cell>
        </row>
        <row r="1164">
          <cell r="Q1164" t="str">
            <v>252-2025-06-30</v>
          </cell>
        </row>
        <row r="1165">
          <cell r="Q1165" t="str">
            <v>256-2025-06-30</v>
          </cell>
        </row>
        <row r="1166">
          <cell r="Q1166" t="str">
            <v>260-2025-06-30</v>
          </cell>
        </row>
        <row r="1167">
          <cell r="Q1167" t="str">
            <v>261-2025-06-30</v>
          </cell>
        </row>
        <row r="1168">
          <cell r="Q1168" t="str">
            <v>268-2025-06-30</v>
          </cell>
        </row>
        <row r="1169">
          <cell r="Q1169" t="str">
            <v>269-2025-06-30</v>
          </cell>
        </row>
        <row r="1170">
          <cell r="Q1170" t="str">
            <v>269-2025-06-30</v>
          </cell>
        </row>
        <row r="1171">
          <cell r="Q1171" t="str">
            <v>269-2025-06-30</v>
          </cell>
        </row>
        <row r="1172">
          <cell r="Q1172" t="str">
            <v>269-2025-06-30</v>
          </cell>
        </row>
        <row r="1173">
          <cell r="Q1173" t="str">
            <v>270-2025-06-30</v>
          </cell>
        </row>
        <row r="1174">
          <cell r="Q1174" t="str">
            <v>271-2025-06-30</v>
          </cell>
        </row>
        <row r="1175">
          <cell r="Q1175" t="str">
            <v>275-2025-06-30</v>
          </cell>
        </row>
        <row r="1176">
          <cell r="Q1176" t="str">
            <v>278-2025-06-30</v>
          </cell>
        </row>
        <row r="1177">
          <cell r="Q1177" t="str">
            <v>282-2025-06-30</v>
          </cell>
        </row>
        <row r="1178">
          <cell r="Q1178" t="str">
            <v>285-2025-06-30</v>
          </cell>
        </row>
        <row r="1179">
          <cell r="Q1179" t="str">
            <v>286-2025-06-30</v>
          </cell>
        </row>
        <row r="1180">
          <cell r="Q1180" t="str">
            <v>292-2025-06-30</v>
          </cell>
        </row>
        <row r="1181">
          <cell r="Q1181" t="str">
            <v>294-2025-06-30</v>
          </cell>
        </row>
        <row r="1182">
          <cell r="Q1182" t="str">
            <v>302-2025-06-30</v>
          </cell>
        </row>
        <row r="1183">
          <cell r="Q1183" t="str">
            <v>303-2025-06-30</v>
          </cell>
        </row>
        <row r="1184">
          <cell r="Q1184" t="str">
            <v>304-2025-06-30</v>
          </cell>
        </row>
        <row r="1185">
          <cell r="Q1185" t="str">
            <v>327-2025-06-30</v>
          </cell>
        </row>
        <row r="1186">
          <cell r="Q1186" t="str">
            <v>337-2025-06-30</v>
          </cell>
        </row>
        <row r="1187">
          <cell r="Q1187" t="str">
            <v>338-2025-06-30</v>
          </cell>
        </row>
        <row r="1188">
          <cell r="Q1188" t="str">
            <v>341-2025-06-30</v>
          </cell>
        </row>
        <row r="1189">
          <cell r="Q1189" t="str">
            <v>344-2025-06-30</v>
          </cell>
        </row>
        <row r="1190">
          <cell r="Q1190" t="str">
            <v>356-2025-06-30</v>
          </cell>
        </row>
        <row r="1191">
          <cell r="Q1191" t="str">
            <v>357-2025-06-30</v>
          </cell>
        </row>
        <row r="1192">
          <cell r="Q1192" t="str">
            <v>358-2025-06-30</v>
          </cell>
        </row>
        <row r="1193">
          <cell r="Q1193" t="str">
            <v>359-2025-06-30</v>
          </cell>
        </row>
        <row r="1194">
          <cell r="Q1194" t="str">
            <v>362-2025-06-30</v>
          </cell>
        </row>
        <row r="1195">
          <cell r="Q1195" t="str">
            <v>363-2025-06-30</v>
          </cell>
        </row>
        <row r="1196">
          <cell r="Q1196" t="str">
            <v>371-2025-06-30</v>
          </cell>
        </row>
        <row r="1197">
          <cell r="Q1197" t="str">
            <v>375-2025-06-30</v>
          </cell>
        </row>
        <row r="1198">
          <cell r="Q1198" t="str">
            <v>381-2025-06-30</v>
          </cell>
        </row>
        <row r="1199">
          <cell r="Q1199" t="str">
            <v>382-2025-06-30</v>
          </cell>
        </row>
        <row r="1200">
          <cell r="Q1200" t="str">
            <v>383-2025-06-30</v>
          </cell>
        </row>
        <row r="1201">
          <cell r="Q1201" t="str">
            <v>384-2025-06-30</v>
          </cell>
        </row>
        <row r="1202">
          <cell r="Q1202" t="str">
            <v>386-2025-06-30</v>
          </cell>
        </row>
        <row r="1203">
          <cell r="Q1203" t="str">
            <v>397-2025-06-30</v>
          </cell>
        </row>
        <row r="1204">
          <cell r="Q1204" t="str">
            <v>398-2025-06-30</v>
          </cell>
        </row>
        <row r="1205">
          <cell r="Q1205" t="str">
            <v>399-2025-06-30</v>
          </cell>
        </row>
        <row r="1206">
          <cell r="Q1206" t="str">
            <v>401-2025-06-30</v>
          </cell>
        </row>
        <row r="1207">
          <cell r="Q1207" t="str">
            <v>403-2025-06-30</v>
          </cell>
        </row>
        <row r="1208">
          <cell r="Q1208" t="str">
            <v>408-2025-06-30</v>
          </cell>
        </row>
        <row r="1209">
          <cell r="Q1209" t="str">
            <v>422-2025-06-30</v>
          </cell>
        </row>
        <row r="1210">
          <cell r="Q1210" t="str">
            <v>430-2025-06-30</v>
          </cell>
        </row>
        <row r="1211">
          <cell r="Q1211" t="str">
            <v>439-2025-06-30</v>
          </cell>
        </row>
        <row r="1212">
          <cell r="Q1212" t="str">
            <v>440-2025-06-30</v>
          </cell>
        </row>
        <row r="1213">
          <cell r="Q1213" t="str">
            <v>444-2025-06-30</v>
          </cell>
        </row>
        <row r="1214">
          <cell r="Q1214" t="str">
            <v>445-2025-06-30</v>
          </cell>
        </row>
        <row r="1215">
          <cell r="Q1215" t="str">
            <v>447-2025-06-30</v>
          </cell>
        </row>
        <row r="1216">
          <cell r="Q1216" t="str">
            <v>448-2025-06-30</v>
          </cell>
        </row>
        <row r="1217">
          <cell r="Q1217" t="str">
            <v>451-2025-06-30</v>
          </cell>
        </row>
        <row r="1218">
          <cell r="Q1218" t="str">
            <v>467-2025-06-30</v>
          </cell>
        </row>
        <row r="1219">
          <cell r="Q1219" t="str">
            <v>468-2025-06-30</v>
          </cell>
        </row>
        <row r="1220">
          <cell r="Q1220" t="str">
            <v>475-2025-06-30</v>
          </cell>
        </row>
        <row r="1221">
          <cell r="Q1221" t="str">
            <v>478-2025-06-30</v>
          </cell>
        </row>
        <row r="1222">
          <cell r="Q1222" t="str">
            <v>481-2025-06-30</v>
          </cell>
        </row>
        <row r="1223">
          <cell r="Q1223" t="str">
            <v>506-2025-06-30</v>
          </cell>
        </row>
        <row r="1224">
          <cell r="Q1224" t="str">
            <v>507-2025-06-30</v>
          </cell>
        </row>
        <row r="1225">
          <cell r="Q1225" t="str">
            <v>514-2025-06-30</v>
          </cell>
        </row>
        <row r="1226">
          <cell r="Q1226" t="str">
            <v>519-2025-06-30</v>
          </cell>
        </row>
        <row r="1227">
          <cell r="Q1227" t="str">
            <v>385-2025-06-30</v>
          </cell>
        </row>
        <row r="1228">
          <cell r="Q1228" t="str">
            <v>524-2025-06-30</v>
          </cell>
        </row>
        <row r="1229">
          <cell r="Q1229" t="str">
            <v>532-2025-06-30</v>
          </cell>
        </row>
        <row r="1230">
          <cell r="Q1230" t="str">
            <v>533-2025-06-30</v>
          </cell>
        </row>
        <row r="1231">
          <cell r="Q1231" t="str">
            <v>534-2025-06-30</v>
          </cell>
        </row>
        <row r="1232">
          <cell r="Q1232" t="str">
            <v>535-2025-06-30</v>
          </cell>
        </row>
        <row r="1233">
          <cell r="Q1233" t="str">
            <v>536-2025-06-30</v>
          </cell>
        </row>
        <row r="1234">
          <cell r="Q1234" t="str">
            <v>537-2025-06-30</v>
          </cell>
        </row>
        <row r="1235">
          <cell r="Q1235" t="str">
            <v>543-2025-06-30</v>
          </cell>
        </row>
        <row r="1236">
          <cell r="Q1236" t="str">
            <v>544-2025-06-30</v>
          </cell>
        </row>
        <row r="1237">
          <cell r="Q1237" t="str">
            <v>69-2025-06-30</v>
          </cell>
        </row>
        <row r="1238">
          <cell r="Q1238" t="str">
            <v>111-2025-06-30</v>
          </cell>
        </row>
        <row r="1239">
          <cell r="Q1239" t="str">
            <v>197-2025-06-30</v>
          </cell>
        </row>
        <row r="1240">
          <cell r="Q1240" t="str">
            <v>213-2025-06-30</v>
          </cell>
        </row>
        <row r="1241">
          <cell r="Q1241" t="str">
            <v>251-2025-06-30</v>
          </cell>
        </row>
        <row r="1242">
          <cell r="Q1242" t="str">
            <v>263-2025-06-30</v>
          </cell>
        </row>
        <row r="1243">
          <cell r="Q1243" t="str">
            <v>265-2025-06-30</v>
          </cell>
        </row>
        <row r="1244">
          <cell r="Q1244" t="str">
            <v>266-2025-06-30</v>
          </cell>
        </row>
        <row r="1245">
          <cell r="Q1245" t="str">
            <v>300-2025-06-30</v>
          </cell>
        </row>
        <row r="1246">
          <cell r="Q1246" t="str">
            <v>301-2025-06-30</v>
          </cell>
        </row>
        <row r="1247">
          <cell r="Q1247" t="str">
            <v>306-2025-06-30</v>
          </cell>
        </row>
        <row r="1248">
          <cell r="Q1248" t="str">
            <v>340-2025-06-30</v>
          </cell>
        </row>
        <row r="1249">
          <cell r="Q1249" t="str">
            <v>347-2025-06-30</v>
          </cell>
        </row>
        <row r="1250">
          <cell r="Q1250" t="str">
            <v>348-2025-06-30</v>
          </cell>
        </row>
        <row r="1251">
          <cell r="Q1251" t="str">
            <v>351-2025-06-30</v>
          </cell>
        </row>
        <row r="1252">
          <cell r="Q1252" t="str">
            <v>352-2025-06-30</v>
          </cell>
        </row>
        <row r="1253">
          <cell r="Q1253" t="str">
            <v>368-2025-06-30</v>
          </cell>
        </row>
        <row r="1254">
          <cell r="Q1254" t="str">
            <v>372-2025-06-30</v>
          </cell>
        </row>
        <row r="1255">
          <cell r="Q1255" t="str">
            <v>390-2025-06-30</v>
          </cell>
        </row>
        <row r="1256">
          <cell r="Q1256" t="str">
            <v>394-2025-06-30</v>
          </cell>
        </row>
        <row r="1257">
          <cell r="Q1257" t="str">
            <v>395-2025-06-30</v>
          </cell>
        </row>
        <row r="1258">
          <cell r="Q1258" t="str">
            <v>453-2025-06-30</v>
          </cell>
        </row>
        <row r="1259">
          <cell r="Q1259" t="str">
            <v>455-2025-06-30</v>
          </cell>
        </row>
        <row r="1260">
          <cell r="Q1260" t="str">
            <v>456-2025-06-30</v>
          </cell>
        </row>
        <row r="1261">
          <cell r="Q1261" t="str">
            <v>457-2025-06-30</v>
          </cell>
        </row>
        <row r="1262">
          <cell r="Q1262" t="str">
            <v>510-2025-06-30</v>
          </cell>
        </row>
        <row r="1263">
          <cell r="Q1263" t="str">
            <v>511-2025-06-30</v>
          </cell>
        </row>
        <row r="1264">
          <cell r="Q1264" t="str">
            <v>513-2025-06-30</v>
          </cell>
        </row>
        <row r="1265">
          <cell r="Q1265" t="str">
            <v>288-2025-06-30</v>
          </cell>
        </row>
        <row r="1266">
          <cell r="Q1266" t="str">
            <v>528-2025-06-30</v>
          </cell>
        </row>
        <row r="1267">
          <cell r="Q1267" t="str">
            <v>121-2025-07-31</v>
          </cell>
        </row>
        <row r="1268">
          <cell r="Q1268" t="str">
            <v>125-2025-07-31</v>
          </cell>
        </row>
        <row r="1269">
          <cell r="Q1269" t="str">
            <v>128-2025-07-31</v>
          </cell>
        </row>
        <row r="1270">
          <cell r="Q1270" t="str">
            <v>485-2025-07-31</v>
          </cell>
        </row>
        <row r="1271">
          <cell r="Q1271" t="str">
            <v>488-2025-07-31</v>
          </cell>
        </row>
        <row r="1272">
          <cell r="Q1272" t="str">
            <v>122-2025-08-31</v>
          </cell>
        </row>
        <row r="1273">
          <cell r="Q1273" t="str">
            <v>436-2025-08-31</v>
          </cell>
        </row>
        <row r="1274">
          <cell r="Q1274" t="str">
            <v>202-2025-12-31</v>
          </cell>
        </row>
        <row r="1275">
          <cell r="Q1275" t="str">
            <v>361-2025-12-31</v>
          </cell>
        </row>
        <row r="1276">
          <cell r="Q1276" t="str">
            <v>487-2025-12-31</v>
          </cell>
        </row>
        <row r="1277">
          <cell r="Q1277" t="str">
            <v>240-2025-06-30</v>
          </cell>
        </row>
        <row r="1278">
          <cell r="Q1278" t="str">
            <v>254-2025-06-30</v>
          </cell>
        </row>
        <row r="1279">
          <cell r="Q1279" t="str">
            <v>373-2025-06-30</v>
          </cell>
        </row>
        <row r="1280">
          <cell r="Q1280" t="str">
            <v>433-2025-06-30</v>
          </cell>
        </row>
        <row r="1281">
          <cell r="Q1281" t="str">
            <v>429-2025-06-30</v>
          </cell>
        </row>
        <row r="1282">
          <cell r="Q1282" t="str">
            <v>428-2025-06-30</v>
          </cell>
        </row>
        <row r="1283">
          <cell r="Q1283" t="str">
            <v>427-2025-06-30</v>
          </cell>
        </row>
        <row r="1284">
          <cell r="Q1284" t="str">
            <v>415.3-2025-06-30</v>
          </cell>
        </row>
        <row r="1285">
          <cell r="Q1285" t="str">
            <v>418.1-2025-06-30</v>
          </cell>
        </row>
        <row r="1286">
          <cell r="Q1286" t="str">
            <v>418.2-2025-06-30</v>
          </cell>
        </row>
        <row r="1287">
          <cell r="Q1287" t="str">
            <v>415.12-2025-06-30</v>
          </cell>
        </row>
        <row r="1288">
          <cell r="Q1288" t="str">
            <v>215-2025-06-30</v>
          </cell>
        </row>
        <row r="1289">
          <cell r="Q1289" t="str">
            <v>219-2025-06-30</v>
          </cell>
        </row>
        <row r="1290">
          <cell r="Q1290" t="str">
            <v>220-2025-06-30</v>
          </cell>
        </row>
        <row r="1291">
          <cell r="Q1291" t="str">
            <v>230-2025-06-30</v>
          </cell>
        </row>
        <row r="1292">
          <cell r="Q1292" t="str">
            <v>15-2025-06-30</v>
          </cell>
        </row>
        <row r="1293">
          <cell r="Q1293" t="str">
            <v>16-2025-06-30</v>
          </cell>
        </row>
        <row r="1294">
          <cell r="Q1294" t="str">
            <v>17-2025-06-30</v>
          </cell>
        </row>
        <row r="1295">
          <cell r="Q1295" t="str">
            <v>18-2025-06-30</v>
          </cell>
        </row>
        <row r="1296">
          <cell r="Q1296" t="str">
            <v>19-2025-06-30</v>
          </cell>
        </row>
        <row r="1297">
          <cell r="Q1297" t="str">
            <v>20-2025-06-30</v>
          </cell>
        </row>
        <row r="1298">
          <cell r="Q1298" t="str">
            <v>21-2025-06-30</v>
          </cell>
        </row>
        <row r="1299">
          <cell r="Q1299" t="str">
            <v>22-2025-06-30</v>
          </cell>
        </row>
        <row r="1300">
          <cell r="Q1300" t="str">
            <v>23-2025-06-30</v>
          </cell>
        </row>
        <row r="1301">
          <cell r="Q1301" t="str">
            <v>24-2025-06-30</v>
          </cell>
        </row>
        <row r="1302">
          <cell r="Q1302" t="str">
            <v>25-2025-06-30</v>
          </cell>
        </row>
        <row r="1303">
          <cell r="Q1303" t="str">
            <v>26-2025-06-30</v>
          </cell>
        </row>
        <row r="1304">
          <cell r="Q1304" t="str">
            <v>27-2025-06-30</v>
          </cell>
        </row>
        <row r="1305">
          <cell r="Q1305" t="str">
            <v>28-2025-06-30</v>
          </cell>
        </row>
        <row r="1306">
          <cell r="Q1306" t="str">
            <v>29-2025-06-30</v>
          </cell>
        </row>
        <row r="1307">
          <cell r="Q1307" t="str">
            <v>30-2025-06-30</v>
          </cell>
        </row>
        <row r="1308">
          <cell r="Q1308" t="str">
            <v>31-2025-06-30</v>
          </cell>
        </row>
        <row r="1309">
          <cell r="Q1309" t="str">
            <v>32-2025-06-30</v>
          </cell>
        </row>
        <row r="1310">
          <cell r="Q1310" t="str">
            <v>33-2025-06-30</v>
          </cell>
        </row>
        <row r="1311">
          <cell r="Q1311" t="str">
            <v>34-2025-06-30</v>
          </cell>
        </row>
        <row r="1312">
          <cell r="Q1312" t="str">
            <v>415.1-2025-06-30</v>
          </cell>
        </row>
        <row r="1313">
          <cell r="Q1313" t="str">
            <v>415.2-2025-06-30</v>
          </cell>
        </row>
        <row r="1314">
          <cell r="Q1314" t="str">
            <v>415.10-2025-06-30</v>
          </cell>
        </row>
        <row r="1315">
          <cell r="Q1315" t="str">
            <v>415.3-2025-06-30</v>
          </cell>
        </row>
        <row r="1316">
          <cell r="Q1316" t="str">
            <v>415.4-2025-06-30</v>
          </cell>
        </row>
        <row r="1317">
          <cell r="Q1317" t="str">
            <v>415.5-2025-06-30</v>
          </cell>
        </row>
        <row r="1318">
          <cell r="Q1318" t="str">
            <v>415.6-2025-06-30</v>
          </cell>
        </row>
        <row r="1319">
          <cell r="Q1319" t="str">
            <v>415.7-2025-06-30</v>
          </cell>
        </row>
        <row r="1320">
          <cell r="Q1320" t="str">
            <v>415.9-2025-06-30</v>
          </cell>
        </row>
        <row r="1321">
          <cell r="Q1321" t="str">
            <v>415.14-2025-06-30</v>
          </cell>
        </row>
        <row r="1322">
          <cell r="Q1322" t="str">
            <v>415.11-2025-06-30</v>
          </cell>
        </row>
        <row r="1323">
          <cell r="Q1323" t="str">
            <v>415.12-2025-06-30</v>
          </cell>
        </row>
        <row r="1324">
          <cell r="Q1324" t="str">
            <v>415.13-2025-06-30</v>
          </cell>
        </row>
        <row r="1325">
          <cell r="Q1325" t="str">
            <v>44-2025-06-30</v>
          </cell>
        </row>
        <row r="1326">
          <cell r="Q1326" t="str">
            <v>45-2025-06-30</v>
          </cell>
        </row>
        <row r="1327">
          <cell r="Q1327" t="str">
            <v>46-2025-06-30</v>
          </cell>
        </row>
        <row r="1328">
          <cell r="Q1328" t="str">
            <v>47-2025-06-30</v>
          </cell>
        </row>
        <row r="1329">
          <cell r="Q1329" t="str">
            <v>48-2025-06-30</v>
          </cell>
        </row>
        <row r="1330">
          <cell r="Q1330" t="str">
            <v>49-2025-06-30</v>
          </cell>
        </row>
        <row r="1331">
          <cell r="Q1331" t="str">
            <v>418.3-2025-06-30</v>
          </cell>
        </row>
        <row r="1332">
          <cell r="Q1332" t="str">
            <v>418.4-2025-06-30</v>
          </cell>
        </row>
        <row r="1333">
          <cell r="Q1333" t="str">
            <v>418.6-2025-06-30</v>
          </cell>
        </row>
        <row r="1334">
          <cell r="Q1334" t="str">
            <v>418.7-2025-06-30</v>
          </cell>
        </row>
        <row r="1335">
          <cell r="Q1335" t="str">
            <v>418.8-2025-06-30</v>
          </cell>
        </row>
        <row r="1336">
          <cell r="Q1336" t="str">
            <v>418.9-2025-06-30</v>
          </cell>
        </row>
        <row r="1337">
          <cell r="Q1337" t="str">
            <v>59-2025-06-30</v>
          </cell>
        </row>
        <row r="1338">
          <cell r="Q1338" t="str">
            <v>60-2025-06-30</v>
          </cell>
        </row>
        <row r="1339">
          <cell r="Q1339" t="str">
            <v>61-2025-06-30</v>
          </cell>
        </row>
        <row r="1340">
          <cell r="Q1340" t="str">
            <v>62-2025-06-30</v>
          </cell>
        </row>
        <row r="1341">
          <cell r="Q1341" t="str">
            <v>63-2025-06-30</v>
          </cell>
        </row>
        <row r="1342">
          <cell r="Q1342" t="str">
            <v>64-2025-06-30</v>
          </cell>
        </row>
        <row r="1343">
          <cell r="Q1343" t="str">
            <v>65-2025-06-30</v>
          </cell>
        </row>
        <row r="1344">
          <cell r="Q1344" t="str">
            <v>66-2025-06-30</v>
          </cell>
        </row>
        <row r="1345">
          <cell r="Q1345" t="str">
            <v>67-2025-06-30</v>
          </cell>
        </row>
        <row r="1346">
          <cell r="Q1346" t="str">
            <v>75-2025-06-30</v>
          </cell>
        </row>
        <row r="1347">
          <cell r="Q1347" t="str">
            <v>76-2025-06-30</v>
          </cell>
        </row>
        <row r="1348">
          <cell r="Q1348" t="str">
            <v>Med 15-2025-06-30</v>
          </cell>
        </row>
        <row r="1349">
          <cell r="Q1349" t="str">
            <v>416.1-2025-06-30</v>
          </cell>
        </row>
        <row r="1350">
          <cell r="Q1350" t="str">
            <v>416.2-2025-06-30</v>
          </cell>
        </row>
        <row r="1351">
          <cell r="Q1351" t="str">
            <v>416.3-2025-06-30</v>
          </cell>
        </row>
        <row r="1352">
          <cell r="Q1352" t="str">
            <v>416.4-2025-06-30</v>
          </cell>
        </row>
        <row r="1353">
          <cell r="Q1353" t="str">
            <v>416.5-2025-06-30</v>
          </cell>
        </row>
        <row r="1354">
          <cell r="Q1354" t="str">
            <v>416.6-2025-06-30</v>
          </cell>
        </row>
        <row r="1355">
          <cell r="Q1355" t="str">
            <v>417.1-2025-06-30</v>
          </cell>
        </row>
        <row r="1356">
          <cell r="Q1356" t="str">
            <v>417.2-2025-06-30</v>
          </cell>
        </row>
        <row r="1357">
          <cell r="Q1357" t="str">
            <v>417.3-2025-06-30</v>
          </cell>
        </row>
        <row r="1358">
          <cell r="Q1358" t="str">
            <v>417.4-2025-06-30</v>
          </cell>
        </row>
        <row r="1359">
          <cell r="Q1359" t="str">
            <v>417.5-2025-06-30</v>
          </cell>
        </row>
        <row r="1360">
          <cell r="Q1360" t="str">
            <v>417.6-2025-06-30</v>
          </cell>
        </row>
        <row r="1361">
          <cell r="Q1361" t="str">
            <v>420-2025-06-30</v>
          </cell>
        </row>
        <row r="1362">
          <cell r="Q1362" t="str">
            <v>420.1-2025-06-30</v>
          </cell>
        </row>
        <row r="1363">
          <cell r="Q1363" t="str">
            <v>420.2-2025-06-30</v>
          </cell>
        </row>
        <row r="1364">
          <cell r="Q1364" t="str">
            <v>420.3-2025-06-30</v>
          </cell>
        </row>
        <row r="1365">
          <cell r="Q1365" t="str">
            <v>420.4-2025-06-30</v>
          </cell>
        </row>
        <row r="1366">
          <cell r="Q1366" t="str">
            <v>420.5-2025-06-30</v>
          </cell>
        </row>
        <row r="1367">
          <cell r="Q1367" t="str">
            <v>420.6-2025-06-30</v>
          </cell>
        </row>
        <row r="1368">
          <cell r="Q1368" t="str">
            <v>469-2025-06-30</v>
          </cell>
        </row>
        <row r="1369">
          <cell r="Q1369" t="str">
            <v>469.10-2025-06-30</v>
          </cell>
        </row>
        <row r="1370">
          <cell r="Q1370" t="str">
            <v>469.2-2025-06-30</v>
          </cell>
        </row>
        <row r="1371">
          <cell r="Q1371" t="str">
            <v>469.3-2025-06-30</v>
          </cell>
        </row>
        <row r="1372">
          <cell r="Q1372" t="str">
            <v>469.4-2025-06-30</v>
          </cell>
        </row>
        <row r="1373">
          <cell r="Q1373" t="str">
            <v>469.5-2025-06-30</v>
          </cell>
        </row>
        <row r="1374">
          <cell r="Q1374" t="str">
            <v>469.6-2025-06-30</v>
          </cell>
        </row>
        <row r="1375">
          <cell r="Q1375" t="str">
            <v>469.7-2025-06-30</v>
          </cell>
        </row>
        <row r="1376">
          <cell r="Q1376" t="str">
            <v>469.8-2025-06-30</v>
          </cell>
        </row>
        <row r="1377">
          <cell r="Q1377" t="str">
            <v>469.9-2025-06-30</v>
          </cell>
        </row>
        <row r="1378">
          <cell r="Q1378" t="str">
            <v>470-2025-06-30</v>
          </cell>
        </row>
        <row r="1379">
          <cell r="Q1379" t="str">
            <v>470.1-2025-06-30</v>
          </cell>
        </row>
        <row r="1380">
          <cell r="Q1380" t="str">
            <v>470.2-2025-06-30</v>
          </cell>
        </row>
        <row r="1381">
          <cell r="Q1381" t="str">
            <v>470.3-2025-06-30</v>
          </cell>
        </row>
        <row r="1382">
          <cell r="Q1382" t="str">
            <v>470.4-2025-06-30</v>
          </cell>
        </row>
        <row r="1383">
          <cell r="Q1383" t="str">
            <v>470.5-2025-06-30</v>
          </cell>
        </row>
        <row r="1384">
          <cell r="Q1384" t="str">
            <v>471.1-2024-12-31</v>
          </cell>
        </row>
        <row r="1385">
          <cell r="Q1385" t="str">
            <v>471.2-2024-12-31</v>
          </cell>
        </row>
        <row r="1386">
          <cell r="Q1386" t="str">
            <v>471.3-2024-12-31</v>
          </cell>
        </row>
        <row r="1387">
          <cell r="Q1387" t="str">
            <v>471.7-2024-12-31</v>
          </cell>
        </row>
        <row r="1388">
          <cell r="Q1388" t="str">
            <v>471.4-2024-12-31</v>
          </cell>
        </row>
        <row r="1389">
          <cell r="Q1389" t="str">
            <v>471.5-2024-12-31</v>
          </cell>
        </row>
        <row r="1390">
          <cell r="Q1390" t="str">
            <v>471.6-2024-12-31</v>
          </cell>
        </row>
        <row r="1391">
          <cell r="Q1391" t="str">
            <v>471-2025-06-30</v>
          </cell>
        </row>
        <row r="1392">
          <cell r="Q1392" t="str">
            <v>471.1-2025-06-30</v>
          </cell>
        </row>
        <row r="1393">
          <cell r="Q1393" t="str">
            <v>471.2-2025-06-30</v>
          </cell>
        </row>
        <row r="1394">
          <cell r="Q1394" t="str">
            <v>471.3-2025-06-30</v>
          </cell>
        </row>
        <row r="1395">
          <cell r="Q1395" t="str">
            <v>471.7-2025-06-30</v>
          </cell>
        </row>
        <row r="1396">
          <cell r="Q1396" t="str">
            <v>471.4-2025-06-30</v>
          </cell>
        </row>
        <row r="1397">
          <cell r="Q1397" t="str">
            <v>471.5-2025-06-30</v>
          </cell>
        </row>
        <row r="1398">
          <cell r="Q1398" t="str">
            <v>471.6-2025-06-30</v>
          </cell>
        </row>
        <row r="1399">
          <cell r="Q1399" t="str">
            <v>199-2025-06-30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58"/>
  <sheetViews>
    <sheetView workbookViewId="0">
      <pane ySplit="1" topLeftCell="A25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  <c r="AE1" s="17" t="s">
        <v>587</v>
      </c>
    </row>
    <row r="2" spans="1:31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  <c r="AE2" t="e">
        <f>VLOOKUP(Q2,'[1]Consolidado Cierres'!$Q$2:$Q$1399,1,0)</f>
        <v>#N/A</v>
      </c>
    </row>
    <row r="3" spans="1:31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  <c r="AE3" t="e">
        <f>VLOOKUP(Q3,'[1]Consolidado Cierres'!$Q$2:$Q$1399,1,0)</f>
        <v>#N/A</v>
      </c>
    </row>
    <row r="4" spans="1:31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  <c r="AE4" t="e">
        <f>VLOOKUP(Q4,'[1]Consolidado Cierres'!$Q$2:$Q$1399,1,0)</f>
        <v>#N/A</v>
      </c>
    </row>
    <row r="5" spans="1:31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  <c r="AE5" t="e">
        <f>VLOOKUP(Q5,'[1]Consolidado Cierres'!$Q$2:$Q$1399,1,0)</f>
        <v>#N/A</v>
      </c>
    </row>
    <row r="6" spans="1:31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  <c r="AE6" t="e">
        <f>VLOOKUP(Q6,'[1]Consolidado Cierres'!$Q$2:$Q$1399,1,0)</f>
        <v>#N/A</v>
      </c>
    </row>
    <row r="7" spans="1:31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  <c r="AE7" t="e">
        <f>VLOOKUP(Q7,'[1]Consolidado Cierres'!$Q$2:$Q$1399,1,0)</f>
        <v>#N/A</v>
      </c>
    </row>
    <row r="8" spans="1:31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  <c r="AE8" t="e">
        <f>VLOOKUP(Q8,'[1]Consolidado Cierres'!$Q$2:$Q$1399,1,0)</f>
        <v>#N/A</v>
      </c>
    </row>
    <row r="9" spans="1:31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  <c r="AE9" t="e">
        <f>VLOOKUP(Q9,'[1]Consolidado Cierres'!$Q$2:$Q$1399,1,0)</f>
        <v>#N/A</v>
      </c>
    </row>
    <row r="10" spans="1:31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  <c r="AE10" t="e">
        <f>VLOOKUP(Q10,'[1]Consolidado Cierres'!$Q$2:$Q$1399,1,0)</f>
        <v>#N/A</v>
      </c>
    </row>
    <row r="11" spans="1:31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  <c r="AE11" t="e">
        <f>VLOOKUP(Q11,'[1]Consolidado Cierres'!$Q$2:$Q$1399,1,0)</f>
        <v>#N/A</v>
      </c>
    </row>
    <row r="12" spans="1:31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  <c r="AE12" t="e">
        <f>VLOOKUP(Q12,'[1]Consolidado Cierres'!$Q$2:$Q$1399,1,0)</f>
        <v>#N/A</v>
      </c>
    </row>
    <row r="13" spans="1:31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  <c r="AE13" t="e">
        <f>VLOOKUP(Q13,'[1]Consolidado Cierres'!$Q$2:$Q$1399,1,0)</f>
        <v>#N/A</v>
      </c>
    </row>
    <row r="14" spans="1:31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  <c r="AE14" t="e">
        <f>VLOOKUP(Q14,'[1]Consolidado Cierres'!$Q$2:$Q$1399,1,0)</f>
        <v>#N/A</v>
      </c>
    </row>
    <row r="15" spans="1:31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  <c r="AE15" t="str">
        <f>VLOOKUP(Q15,'[1]Consolidado Cierres'!$Q$2:$Q$1399,1,0)</f>
        <v>14-2022-12-31</v>
      </c>
    </row>
    <row r="16" spans="1:31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  <c r="AE16" t="str">
        <f>VLOOKUP(Q16,'[1]Consolidado Cierres'!$Q$2:$Q$1399,1,0)</f>
        <v>14-2022-12-31</v>
      </c>
    </row>
    <row r="17" spans="1:31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  <c r="AE17" t="e">
        <f>VLOOKUP(Q17,'[1]Consolidado Cierres'!$Q$2:$Q$1399,1,0)</f>
        <v>#N/A</v>
      </c>
    </row>
    <row r="18" spans="1:31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  <c r="AE18" t="str">
        <f>VLOOKUP(Q18,'[1]Consolidado Cierres'!$Q$2:$Q$1399,1,0)</f>
        <v>14-2023-12-31</v>
      </c>
    </row>
    <row r="19" spans="1:31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  <c r="AE19" t="str">
        <f>VLOOKUP(Q19,'[1]Consolidado Cierres'!$Q$2:$Q$1399,1,0)</f>
        <v>14-2023-12-31</v>
      </c>
    </row>
    <row r="20" spans="1:31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  <c r="AE20" t="e">
        <f>VLOOKUP(Q20,'[1]Consolidado Cierres'!$Q$2:$Q$1399,1,0)</f>
        <v>#N/A</v>
      </c>
    </row>
    <row r="21" spans="1:31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  <c r="AE21" t="str">
        <f>VLOOKUP(Q21,'[1]Consolidado Cierres'!$Q$2:$Q$1399,1,0)</f>
        <v>14-2024-12-31</v>
      </c>
    </row>
    <row r="22" spans="1:31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  <c r="AE22" t="str">
        <f>VLOOKUP(Q22,'[1]Consolidado Cierres'!$Q$2:$Q$1399,1,0)</f>
        <v>14-2024-12-31</v>
      </c>
    </row>
    <row r="23" spans="1:31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  <c r="AE23" t="str">
        <f>VLOOKUP(Q23,'[1]Consolidado Cierres'!$Q$2:$Q$1399,1,0)</f>
        <v>14-2025-06-30</v>
      </c>
    </row>
    <row r="24" spans="1:31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  <c r="AE24" t="e">
        <f>VLOOKUP(Q24,'[1]Consolidado Cierres'!$Q$2:$Q$1399,1,0)</f>
        <v>#N/A</v>
      </c>
    </row>
    <row r="25" spans="1:31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  <c r="AE25" t="e">
        <f>VLOOKUP(Q25,'[1]Consolidado Cierres'!$Q$2:$Q$1399,1,0)</f>
        <v>#N/A</v>
      </c>
    </row>
    <row r="26" spans="1:31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  <c r="AE26" t="e">
        <f>VLOOKUP(Q26,'[1]Consolidado Cierres'!$Q$2:$Q$1399,1,0)</f>
        <v>#N/A</v>
      </c>
    </row>
    <row r="27" spans="1:31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  <c r="AE27" t="e">
        <f>VLOOKUP(Q27,'[1]Consolidado Cierres'!$Q$2:$Q$1399,1,0)</f>
        <v>#N/A</v>
      </c>
    </row>
    <row r="28" spans="1:31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  <c r="AE28" t="e">
        <f>VLOOKUP(Q28,'[1]Consolidado Cierres'!$Q$2:$Q$1399,1,0)</f>
        <v>#N/A</v>
      </c>
    </row>
    <row r="29" spans="1:31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  <c r="AE29" t="e">
        <f>VLOOKUP(Q29,'[1]Consolidado Cierres'!$Q$2:$Q$1399,1,0)</f>
        <v>#N/A</v>
      </c>
    </row>
    <row r="30" spans="1:31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  <c r="AE30" t="e">
        <f>VLOOKUP(Q30,'[1]Consolidado Cierres'!$Q$2:$Q$1399,1,0)</f>
        <v>#N/A</v>
      </c>
    </row>
    <row r="31" spans="1:31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  <c r="AE31" t="e">
        <f>VLOOKUP(Q31,'[1]Consolidado Cierres'!$Q$2:$Q$1399,1,0)</f>
        <v>#N/A</v>
      </c>
    </row>
    <row r="32" spans="1:31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  <c r="AE32" t="e">
        <f>VLOOKUP(Q32,'[1]Consolidado Cierres'!$Q$2:$Q$1399,1,0)</f>
        <v>#N/A</v>
      </c>
    </row>
    <row r="33" spans="1:31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  <c r="AE33" t="e">
        <f>VLOOKUP(Q33,'[1]Consolidado Cierres'!$Q$2:$Q$1399,1,0)</f>
        <v>#N/A</v>
      </c>
    </row>
    <row r="34" spans="1:31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  <c r="AE34" t="e">
        <f>VLOOKUP(Q34,'[1]Consolidado Cierres'!$Q$2:$Q$1399,1,0)</f>
        <v>#N/A</v>
      </c>
    </row>
    <row r="35" spans="1:31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  <c r="AE35" t="e">
        <f>VLOOKUP(Q35,'[1]Consolidado Cierres'!$Q$2:$Q$1399,1,0)</f>
        <v>#N/A</v>
      </c>
    </row>
    <row r="36" spans="1:31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  <c r="AE36" t="e">
        <f>VLOOKUP(Q36,'[1]Consolidado Cierres'!$Q$2:$Q$1399,1,0)</f>
        <v>#N/A</v>
      </c>
    </row>
    <row r="37" spans="1:31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  <c r="AE37" t="e">
        <f>VLOOKUP(Q37,'[1]Consolidado Cierres'!$Q$2:$Q$1399,1,0)</f>
        <v>#N/A</v>
      </c>
    </row>
    <row r="38" spans="1:31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  <c r="AE38" t="e">
        <f>VLOOKUP(Q38,'[1]Consolidado Cierres'!$Q$2:$Q$1399,1,0)</f>
        <v>#N/A</v>
      </c>
    </row>
    <row r="39" spans="1:31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  <c r="AE39" t="e">
        <f>VLOOKUP(Q39,'[1]Consolidado Cierres'!$Q$2:$Q$1399,1,0)</f>
        <v>#N/A</v>
      </c>
    </row>
    <row r="40" spans="1:31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  <c r="AE40" t="e">
        <f>VLOOKUP(Q40,'[1]Consolidado Cierres'!$Q$2:$Q$1399,1,0)</f>
        <v>#N/A</v>
      </c>
    </row>
    <row r="41" spans="1:31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  <c r="AE41" t="e">
        <f>VLOOKUP(Q41,'[1]Consolidado Cierres'!$Q$2:$Q$1399,1,0)</f>
        <v>#N/A</v>
      </c>
    </row>
    <row r="42" spans="1:31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  <c r="AE42" t="e">
        <f>VLOOKUP(Q42,'[1]Consolidado Cierres'!$Q$2:$Q$1399,1,0)</f>
        <v>#N/A</v>
      </c>
    </row>
    <row r="43" spans="1:31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  <c r="AE43" t="e">
        <f>VLOOKUP(Q43,'[1]Consolidado Cierres'!$Q$2:$Q$1399,1,0)</f>
        <v>#N/A</v>
      </c>
    </row>
    <row r="44" spans="1:31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  <c r="AE44" t="e">
        <f>VLOOKUP(Q44,'[1]Consolidado Cierres'!$Q$2:$Q$1399,1,0)</f>
        <v>#N/A</v>
      </c>
    </row>
    <row r="45" spans="1:31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  <c r="AE45" t="e">
        <f>VLOOKUP(Q45,'[1]Consolidado Cierres'!$Q$2:$Q$1399,1,0)</f>
        <v>#N/A</v>
      </c>
    </row>
    <row r="46" spans="1:31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  <c r="AE46" t="e">
        <f>VLOOKUP(Q46,'[1]Consolidado Cierres'!$Q$2:$Q$1399,1,0)</f>
        <v>#N/A</v>
      </c>
    </row>
    <row r="47" spans="1:31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  <c r="AE47" t="e">
        <f>VLOOKUP(Q47,'[1]Consolidado Cierres'!$Q$2:$Q$1399,1,0)</f>
        <v>#N/A</v>
      </c>
    </row>
    <row r="48" spans="1:31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  <c r="AE48" t="e">
        <f>VLOOKUP(Q48,'[1]Consolidado Cierres'!$Q$2:$Q$1399,1,0)</f>
        <v>#N/A</v>
      </c>
    </row>
    <row r="49" spans="1:31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  <c r="AE49" t="e">
        <f>VLOOKUP(Q49,'[1]Consolidado Cierres'!$Q$2:$Q$1399,1,0)</f>
        <v>#N/A</v>
      </c>
    </row>
    <row r="50" spans="1:31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  <c r="AE50" t="e">
        <f>VLOOKUP(Q50,'[1]Consolidado Cierres'!$Q$2:$Q$1399,1,0)</f>
        <v>#N/A</v>
      </c>
    </row>
    <row r="51" spans="1:31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  <c r="AE51" t="e">
        <f>VLOOKUP(Q51,'[1]Consolidado Cierres'!$Q$2:$Q$1399,1,0)</f>
        <v>#N/A</v>
      </c>
    </row>
    <row r="52" spans="1:31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  <c r="AE52" t="e">
        <f>VLOOKUP(Q52,'[1]Consolidado Cierres'!$Q$2:$Q$1399,1,0)</f>
        <v>#N/A</v>
      </c>
    </row>
    <row r="53" spans="1:31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  <c r="AE53" t="e">
        <f>VLOOKUP(Q53,'[1]Consolidado Cierres'!$Q$2:$Q$1399,1,0)</f>
        <v>#N/A</v>
      </c>
    </row>
    <row r="54" spans="1:31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  <c r="AE54" t="e">
        <f>VLOOKUP(Q54,'[1]Consolidado Cierres'!$Q$2:$Q$1399,1,0)</f>
        <v>#N/A</v>
      </c>
    </row>
    <row r="55" spans="1:31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  <c r="AE55" t="e">
        <f>VLOOKUP(Q55,'[1]Consolidado Cierres'!$Q$2:$Q$1399,1,0)</f>
        <v>#N/A</v>
      </c>
    </row>
    <row r="56" spans="1:31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  <c r="AE56" t="e">
        <f>VLOOKUP(Q56,'[1]Consolidado Cierres'!$Q$2:$Q$1399,1,0)</f>
        <v>#N/A</v>
      </c>
    </row>
    <row r="57" spans="1:31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  <c r="AE57" t="e">
        <f>VLOOKUP(Q57,'[1]Consolidado Cierres'!$Q$2:$Q$1399,1,0)</f>
        <v>#N/A</v>
      </c>
    </row>
    <row r="58" spans="1:31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  <c r="AE58" t="e">
        <f>VLOOKUP(Q58,'[1]Consolidado Cierres'!$Q$2:$Q$1399,1,0)</f>
        <v>#N/A</v>
      </c>
    </row>
    <row r="59" spans="1:31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  <c r="AE59" t="e">
        <f>VLOOKUP(Q59,'[1]Consolidado Cierres'!$Q$2:$Q$1399,1,0)</f>
        <v>#N/A</v>
      </c>
    </row>
    <row r="60" spans="1:31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  <c r="AE60" t="e">
        <f>VLOOKUP(Q60,'[1]Consolidado Cierres'!$Q$2:$Q$1399,1,0)</f>
        <v>#N/A</v>
      </c>
    </row>
    <row r="61" spans="1:31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  <c r="AE61" t="e">
        <f>VLOOKUP(Q61,'[1]Consolidado Cierres'!$Q$2:$Q$1399,1,0)</f>
        <v>#N/A</v>
      </c>
    </row>
    <row r="62" spans="1:31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  <c r="AE62" t="e">
        <f>VLOOKUP(Q62,'[1]Consolidado Cierres'!$Q$2:$Q$1399,1,0)</f>
        <v>#N/A</v>
      </c>
    </row>
    <row r="63" spans="1:31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  <c r="AE63" t="e">
        <f>VLOOKUP(Q63,'[1]Consolidado Cierres'!$Q$2:$Q$1399,1,0)</f>
        <v>#N/A</v>
      </c>
    </row>
    <row r="64" spans="1:31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  <c r="AE64" t="e">
        <f>VLOOKUP(Q64,'[1]Consolidado Cierres'!$Q$2:$Q$1399,1,0)</f>
        <v>#N/A</v>
      </c>
    </row>
    <row r="65" spans="1:31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  <c r="AE65" t="e">
        <f>VLOOKUP(Q65,'[1]Consolidado Cierres'!$Q$2:$Q$1399,1,0)</f>
        <v>#N/A</v>
      </c>
    </row>
    <row r="66" spans="1:31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  <c r="AE66" t="e">
        <f>VLOOKUP(Q66,'[1]Consolidado Cierres'!$Q$2:$Q$1399,1,0)</f>
        <v>#N/A</v>
      </c>
    </row>
    <row r="67" spans="1:31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  <c r="AE67" t="e">
        <f>VLOOKUP(Q67,'[1]Consolidado Cierres'!$Q$2:$Q$1399,1,0)</f>
        <v>#N/A</v>
      </c>
    </row>
    <row r="68" spans="1:31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  <c r="AE68" t="e">
        <f>VLOOKUP(Q68,'[1]Consolidado Cierres'!$Q$2:$Q$1399,1,0)</f>
        <v>#N/A</v>
      </c>
    </row>
    <row r="69" spans="1:31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  <c r="AE69" t="e">
        <f>VLOOKUP(Q69,'[1]Consolidado Cierres'!$Q$2:$Q$1399,1,0)</f>
        <v>#N/A</v>
      </c>
    </row>
    <row r="70" spans="1:31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  <c r="AE70" t="e">
        <f>VLOOKUP(Q70,'[1]Consolidado Cierres'!$Q$2:$Q$1399,1,0)</f>
        <v>#N/A</v>
      </c>
    </row>
    <row r="71" spans="1:31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  <c r="AE71" t="e">
        <f>VLOOKUP(Q71,'[1]Consolidado Cierres'!$Q$2:$Q$1399,1,0)</f>
        <v>#N/A</v>
      </c>
    </row>
    <row r="72" spans="1:31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  <c r="AE72" t="e">
        <f>VLOOKUP(Q72,'[1]Consolidado Cierres'!$Q$2:$Q$1399,1,0)</f>
        <v>#N/A</v>
      </c>
    </row>
    <row r="73" spans="1:31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  <c r="AE73" t="e">
        <f>VLOOKUP(Q73,'[1]Consolidado Cierres'!$Q$2:$Q$1399,1,0)</f>
        <v>#N/A</v>
      </c>
    </row>
    <row r="74" spans="1:31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  <c r="AE74" t="e">
        <f>VLOOKUP(Q74,'[1]Consolidado Cierres'!$Q$2:$Q$1399,1,0)</f>
        <v>#N/A</v>
      </c>
    </row>
    <row r="75" spans="1:31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  <c r="AE75" t="e">
        <f>VLOOKUP(Q75,'[1]Consolidado Cierres'!$Q$2:$Q$1399,1,0)</f>
        <v>#N/A</v>
      </c>
    </row>
    <row r="76" spans="1:31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  <c r="AE76" t="e">
        <f>VLOOKUP(Q76,'[1]Consolidado Cierres'!$Q$2:$Q$1399,1,0)</f>
        <v>#N/A</v>
      </c>
    </row>
    <row r="77" spans="1:31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  <c r="AE77" t="e">
        <f>VLOOKUP(Q77,'[1]Consolidado Cierres'!$Q$2:$Q$1399,1,0)</f>
        <v>#N/A</v>
      </c>
    </row>
    <row r="78" spans="1:31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  <c r="AE78" t="e">
        <f>VLOOKUP(Q78,'[1]Consolidado Cierres'!$Q$2:$Q$1399,1,0)</f>
        <v>#N/A</v>
      </c>
    </row>
    <row r="79" spans="1:31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  <c r="AE79" t="e">
        <f>VLOOKUP(Q79,'[1]Consolidado Cierres'!$Q$2:$Q$1399,1,0)</f>
        <v>#N/A</v>
      </c>
    </row>
    <row r="80" spans="1:31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  <c r="AE80" t="e">
        <f>VLOOKUP(Q80,'[1]Consolidado Cierres'!$Q$2:$Q$1399,1,0)</f>
        <v>#N/A</v>
      </c>
    </row>
    <row r="81" spans="1:31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  <c r="AE81" t="e">
        <f>VLOOKUP(Q81,'[1]Consolidado Cierres'!$Q$2:$Q$1399,1,0)</f>
        <v>#N/A</v>
      </c>
    </row>
    <row r="82" spans="1:31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  <c r="AE82" t="e">
        <f>VLOOKUP(Q82,'[1]Consolidado Cierres'!$Q$2:$Q$1399,1,0)</f>
        <v>#N/A</v>
      </c>
    </row>
    <row r="83" spans="1:31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  <c r="AE83" t="e">
        <f>VLOOKUP(Q83,'[1]Consolidado Cierres'!$Q$2:$Q$1399,1,0)</f>
        <v>#N/A</v>
      </c>
    </row>
    <row r="84" spans="1:31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  <c r="AE84" t="e">
        <f>VLOOKUP(Q84,'[1]Consolidado Cierres'!$Q$2:$Q$1399,1,0)</f>
        <v>#N/A</v>
      </c>
    </row>
    <row r="85" spans="1:31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  <c r="AE85" t="e">
        <f>VLOOKUP(Q85,'[1]Consolidado Cierres'!$Q$2:$Q$1399,1,0)</f>
        <v>#N/A</v>
      </c>
    </row>
    <row r="86" spans="1:31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  <c r="AE86" t="e">
        <f>VLOOKUP(Q86,'[1]Consolidado Cierres'!$Q$2:$Q$1399,1,0)</f>
        <v>#N/A</v>
      </c>
    </row>
    <row r="87" spans="1:31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  <c r="AE87" t="e">
        <f>VLOOKUP(Q87,'[1]Consolidado Cierres'!$Q$2:$Q$1399,1,0)</f>
        <v>#N/A</v>
      </c>
    </row>
    <row r="88" spans="1:31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  <c r="AE88" t="e">
        <f>VLOOKUP(Q88,'[1]Consolidado Cierres'!$Q$2:$Q$1399,1,0)</f>
        <v>#N/A</v>
      </c>
    </row>
    <row r="89" spans="1:31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  <c r="AE89" t="e">
        <f>VLOOKUP(Q89,'[1]Consolidado Cierres'!$Q$2:$Q$1399,1,0)</f>
        <v>#N/A</v>
      </c>
    </row>
    <row r="90" spans="1:31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  <c r="AE90" t="e">
        <f>VLOOKUP(Q90,'[1]Consolidado Cierres'!$Q$2:$Q$1399,1,0)</f>
        <v>#N/A</v>
      </c>
    </row>
    <row r="91" spans="1:31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  <c r="AE91" t="e">
        <f>VLOOKUP(Q91,'[1]Consolidado Cierres'!$Q$2:$Q$1399,1,0)</f>
        <v>#N/A</v>
      </c>
    </row>
    <row r="92" spans="1:31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  <c r="AE92" t="e">
        <f>VLOOKUP(Q92,'[1]Consolidado Cierres'!$Q$2:$Q$1399,1,0)</f>
        <v>#N/A</v>
      </c>
    </row>
    <row r="93" spans="1:31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  <c r="AE93" t="e">
        <f>VLOOKUP(Q93,'[1]Consolidado Cierres'!$Q$2:$Q$1399,1,0)</f>
        <v>#N/A</v>
      </c>
    </row>
    <row r="94" spans="1:31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  <c r="AE94" t="e">
        <f>VLOOKUP(Q94,'[1]Consolidado Cierres'!$Q$2:$Q$1399,1,0)</f>
        <v>#N/A</v>
      </c>
    </row>
    <row r="95" spans="1:31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  <c r="AE95" t="e">
        <f>VLOOKUP(Q95,'[1]Consolidado Cierres'!$Q$2:$Q$1399,1,0)</f>
        <v>#N/A</v>
      </c>
    </row>
    <row r="96" spans="1:31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  <c r="AE96" t="e">
        <f>VLOOKUP(Q96,'[1]Consolidado Cierres'!$Q$2:$Q$1399,1,0)</f>
        <v>#N/A</v>
      </c>
    </row>
    <row r="97" spans="1:31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  <c r="AE97" t="e">
        <f>VLOOKUP(Q97,'[1]Consolidado Cierres'!$Q$2:$Q$1399,1,0)</f>
        <v>#N/A</v>
      </c>
    </row>
    <row r="98" spans="1:31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  <c r="AE98" t="e">
        <f>VLOOKUP(Q98,'[1]Consolidado Cierres'!$Q$2:$Q$1399,1,0)</f>
        <v>#N/A</v>
      </c>
    </row>
    <row r="99" spans="1:31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  <c r="AE99" t="e">
        <f>VLOOKUP(Q99,'[1]Consolidado Cierres'!$Q$2:$Q$1399,1,0)</f>
        <v>#N/A</v>
      </c>
    </row>
    <row r="100" spans="1:31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  <c r="AE100" t="e">
        <f>VLOOKUP(Q100,'[1]Consolidado Cierres'!$Q$2:$Q$1399,1,0)</f>
        <v>#N/A</v>
      </c>
    </row>
    <row r="101" spans="1:31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  <c r="AE101" t="e">
        <f>VLOOKUP(Q101,'[1]Consolidado Cierres'!$Q$2:$Q$1399,1,0)</f>
        <v>#N/A</v>
      </c>
    </row>
    <row r="102" spans="1:31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  <c r="AE102" t="e">
        <f>VLOOKUP(Q102,'[1]Consolidado Cierres'!$Q$2:$Q$1399,1,0)</f>
        <v>#N/A</v>
      </c>
    </row>
    <row r="103" spans="1:31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  <c r="AE103" t="e">
        <f>VLOOKUP(Q103,'[1]Consolidado Cierres'!$Q$2:$Q$1399,1,0)</f>
        <v>#N/A</v>
      </c>
    </row>
    <row r="104" spans="1:31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  <c r="AE104" t="e">
        <f>VLOOKUP(Q104,'[1]Consolidado Cierres'!$Q$2:$Q$1399,1,0)</f>
        <v>#N/A</v>
      </c>
    </row>
    <row r="105" spans="1:31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  <c r="AE105" t="e">
        <f>VLOOKUP(Q105,'[1]Consolidado Cierres'!$Q$2:$Q$1399,1,0)</f>
        <v>#N/A</v>
      </c>
    </row>
    <row r="106" spans="1:31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  <c r="AE106" t="e">
        <f>VLOOKUP(Q106,'[1]Consolidado Cierres'!$Q$2:$Q$1399,1,0)</f>
        <v>#N/A</v>
      </c>
    </row>
    <row r="107" spans="1:31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  <c r="AE107" t="e">
        <f>VLOOKUP(Q107,'[1]Consolidado Cierres'!$Q$2:$Q$1399,1,0)</f>
        <v>#N/A</v>
      </c>
    </row>
    <row r="108" spans="1:31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  <c r="AE108" t="e">
        <f>VLOOKUP(Q108,'[1]Consolidado Cierres'!$Q$2:$Q$1399,1,0)</f>
        <v>#N/A</v>
      </c>
    </row>
    <row r="109" spans="1:31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  <c r="AE109" t="e">
        <f>VLOOKUP(Q109,'[1]Consolidado Cierres'!$Q$2:$Q$1399,1,0)</f>
        <v>#N/A</v>
      </c>
    </row>
    <row r="110" spans="1:31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  <c r="AE110" t="e">
        <f>VLOOKUP(Q110,'[1]Consolidado Cierres'!$Q$2:$Q$1399,1,0)</f>
        <v>#N/A</v>
      </c>
    </row>
    <row r="111" spans="1:31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  <c r="AE111" t="e">
        <f>VLOOKUP(Q111,'[1]Consolidado Cierres'!$Q$2:$Q$1399,1,0)</f>
        <v>#N/A</v>
      </c>
    </row>
    <row r="112" spans="1:31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  <c r="AE112" t="e">
        <f>VLOOKUP(Q112,'[1]Consolidado Cierres'!$Q$2:$Q$1399,1,0)</f>
        <v>#N/A</v>
      </c>
    </row>
    <row r="113" spans="1:31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  <c r="AE113" t="e">
        <f>VLOOKUP(Q113,'[1]Consolidado Cierres'!$Q$2:$Q$1399,1,0)</f>
        <v>#N/A</v>
      </c>
    </row>
    <row r="114" spans="1:31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  <c r="AE114" t="e">
        <f>VLOOKUP(Q114,'[1]Consolidado Cierres'!$Q$2:$Q$1399,1,0)</f>
        <v>#N/A</v>
      </c>
    </row>
    <row r="115" spans="1:31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  <c r="AE115" t="e">
        <f>VLOOKUP(Q115,'[1]Consolidado Cierres'!$Q$2:$Q$1399,1,0)</f>
        <v>#N/A</v>
      </c>
    </row>
    <row r="116" spans="1:31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  <c r="AE116" t="e">
        <f>VLOOKUP(Q116,'[1]Consolidado Cierres'!$Q$2:$Q$1399,1,0)</f>
        <v>#N/A</v>
      </c>
    </row>
    <row r="117" spans="1:31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  <c r="AE117" t="e">
        <f>VLOOKUP(Q117,'[1]Consolidado Cierres'!$Q$2:$Q$1399,1,0)</f>
        <v>#N/A</v>
      </c>
    </row>
    <row r="118" spans="1:31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  <c r="AE118" t="e">
        <f>VLOOKUP(Q118,'[1]Consolidado Cierres'!$Q$2:$Q$1399,1,0)</f>
        <v>#N/A</v>
      </c>
    </row>
    <row r="119" spans="1:31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  <c r="AE119" t="e">
        <f>VLOOKUP(Q119,'[1]Consolidado Cierres'!$Q$2:$Q$1399,1,0)</f>
        <v>#N/A</v>
      </c>
    </row>
    <row r="120" spans="1:31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  <c r="AE120" t="e">
        <f>VLOOKUP(Q120,'[1]Consolidado Cierres'!$Q$2:$Q$1399,1,0)</f>
        <v>#N/A</v>
      </c>
    </row>
    <row r="121" spans="1:31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  <c r="AE121" t="e">
        <f>VLOOKUP(Q121,'[1]Consolidado Cierres'!$Q$2:$Q$1399,1,0)</f>
        <v>#N/A</v>
      </c>
    </row>
    <row r="122" spans="1:31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  <c r="AE122" t="e">
        <f>VLOOKUP(Q122,'[1]Consolidado Cierres'!$Q$2:$Q$1399,1,0)</f>
        <v>#N/A</v>
      </c>
    </row>
    <row r="123" spans="1:31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  <c r="AE123" t="str">
        <f>VLOOKUP(Q123,'[1]Consolidado Cierres'!$Q$2:$Q$1399,1,0)</f>
        <v>77-2022-12-31</v>
      </c>
    </row>
    <row r="124" spans="1:31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  <c r="AE124" t="str">
        <f>VLOOKUP(Q124,'[1]Consolidado Cierres'!$Q$2:$Q$1399,1,0)</f>
        <v>77-2022-12-31</v>
      </c>
    </row>
    <row r="125" spans="1:31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  <c r="AE125" t="e">
        <f>VLOOKUP(Q125,'[1]Consolidado Cierres'!$Q$2:$Q$1399,1,0)</f>
        <v>#N/A</v>
      </c>
    </row>
    <row r="126" spans="1:31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  <c r="AE126" t="str">
        <f>VLOOKUP(Q126,'[1]Consolidado Cierres'!$Q$2:$Q$1399,1,0)</f>
        <v>77-2023-12-31</v>
      </c>
    </row>
    <row r="127" spans="1:31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  <c r="AE127" t="str">
        <f>VLOOKUP(Q127,'[1]Consolidado Cierres'!$Q$2:$Q$1399,1,0)</f>
        <v>77-2023-12-31</v>
      </c>
    </row>
    <row r="128" spans="1:31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  <c r="AE128" t="e">
        <f>VLOOKUP(Q128,'[1]Consolidado Cierres'!$Q$2:$Q$1399,1,0)</f>
        <v>#N/A</v>
      </c>
    </row>
    <row r="129" spans="1:31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  <c r="AE129" t="str">
        <f>VLOOKUP(Q129,'[1]Consolidado Cierres'!$Q$2:$Q$1399,1,0)</f>
        <v>77-2024-12-31</v>
      </c>
    </row>
    <row r="130" spans="1:31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  <c r="AE130" t="str">
        <f>VLOOKUP(Q130,'[1]Consolidado Cierres'!$Q$2:$Q$1399,1,0)</f>
        <v>77-2024-12-31</v>
      </c>
    </row>
    <row r="131" spans="1:31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  <c r="AE131" t="str">
        <f>VLOOKUP(Q131,'[1]Consolidado Cierres'!$Q$2:$Q$1399,1,0)</f>
        <v>77-2025-06-30</v>
      </c>
    </row>
    <row r="132" spans="1:31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  <c r="AE132" t="e">
        <f>VLOOKUP(Q132,'[1]Consolidado Cierres'!$Q$2:$Q$1399,1,0)</f>
        <v>#N/A</v>
      </c>
    </row>
    <row r="133" spans="1:31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  <c r="AE133" t="str">
        <f>VLOOKUP(Q133,'[1]Consolidado Cierres'!$Q$2:$Q$1399,1,0)</f>
        <v>96-2022-12-31</v>
      </c>
    </row>
    <row r="134" spans="1:31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  <c r="AE134" t="str">
        <f>VLOOKUP(Q134,'[1]Consolidado Cierres'!$Q$2:$Q$1399,1,0)</f>
        <v>96-2022-12-31</v>
      </c>
    </row>
    <row r="135" spans="1:31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  <c r="AE135" t="str">
        <f>VLOOKUP(Q135,'[1]Consolidado Cierres'!$Q$2:$Q$1399,1,0)</f>
        <v>96-2023-12-31</v>
      </c>
    </row>
    <row r="136" spans="1:31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  <c r="AE136" t="str">
        <f>VLOOKUP(Q136,'[1]Consolidado Cierres'!$Q$2:$Q$1399,1,0)</f>
        <v>96-2023-12-31</v>
      </c>
    </row>
    <row r="137" spans="1:31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  <c r="AE137" t="str">
        <f>VLOOKUP(Q137,'[1]Consolidado Cierres'!$Q$2:$Q$1399,1,0)</f>
        <v>96-2024-12-31</v>
      </c>
    </row>
    <row r="138" spans="1:31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  <c r="AE138" t="str">
        <f>VLOOKUP(Q138,'[1]Consolidado Cierres'!$Q$2:$Q$1399,1,0)</f>
        <v>96-2024-12-31</v>
      </c>
    </row>
    <row r="139" spans="1:31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  <c r="AE139" t="e">
        <f>VLOOKUP(Q139,'[1]Consolidado Cierres'!$Q$2:$Q$1399,1,0)</f>
        <v>#N/A</v>
      </c>
    </row>
    <row r="140" spans="1:31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  <c r="AE140" t="str">
        <f>VLOOKUP(Q140,'[1]Consolidado Cierres'!$Q$2:$Q$1399,1,0)</f>
        <v>98-2022-12-31</v>
      </c>
    </row>
    <row r="141" spans="1:31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  <c r="AE141" t="str">
        <f>VLOOKUP(Q141,'[1]Consolidado Cierres'!$Q$2:$Q$1399,1,0)</f>
        <v>98-2022-12-31</v>
      </c>
    </row>
    <row r="142" spans="1:31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  <c r="AE142" t="e">
        <f>VLOOKUP(Q142,'[1]Consolidado Cierres'!$Q$2:$Q$1399,1,0)</f>
        <v>#N/A</v>
      </c>
    </row>
    <row r="143" spans="1:31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  <c r="AE143" t="str">
        <f>VLOOKUP(Q143,'[1]Consolidado Cierres'!$Q$2:$Q$1399,1,0)</f>
        <v>98-2023-12-31</v>
      </c>
    </row>
    <row r="144" spans="1:31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  <c r="AE144" t="str">
        <f>VLOOKUP(Q144,'[1]Consolidado Cierres'!$Q$2:$Q$1399,1,0)</f>
        <v>98-2023-12-31</v>
      </c>
    </row>
    <row r="145" spans="1:31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  <c r="AE145" t="e">
        <f>VLOOKUP(Q145,'[1]Consolidado Cierres'!$Q$2:$Q$1399,1,0)</f>
        <v>#N/A</v>
      </c>
    </row>
    <row r="146" spans="1:31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  <c r="AE146" t="str">
        <f>VLOOKUP(Q146,'[1]Consolidado Cierres'!$Q$2:$Q$1399,1,0)</f>
        <v>98-2024-12-31</v>
      </c>
    </row>
    <row r="147" spans="1:31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  <c r="AE147" t="str">
        <f>VLOOKUP(Q147,'[1]Consolidado Cierres'!$Q$2:$Q$1399,1,0)</f>
        <v>98-2024-12-31</v>
      </c>
    </row>
    <row r="148" spans="1:31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  <c r="AE148" t="str">
        <f>VLOOKUP(Q148,'[1]Consolidado Cierres'!$Q$2:$Q$1399,1,0)</f>
        <v>98-2025-06-30</v>
      </c>
    </row>
    <row r="149" spans="1:31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  <c r="AE149" t="e">
        <f>VLOOKUP(Q149,'[1]Consolidado Cierres'!$Q$2:$Q$1399,1,0)</f>
        <v>#N/A</v>
      </c>
    </row>
    <row r="150" spans="1:31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  <c r="AE150" t="str">
        <f>VLOOKUP(Q150,'[1]Consolidado Cierres'!$Q$2:$Q$1399,1,0)</f>
        <v>109-2023-12-31</v>
      </c>
    </row>
    <row r="151" spans="1:31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  <c r="AE151" t="str">
        <f>VLOOKUP(Q151,'[1]Consolidado Cierres'!$Q$2:$Q$1399,1,0)</f>
        <v>109-2023-12-31</v>
      </c>
    </row>
    <row r="152" spans="1:31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  <c r="AE152" t="str">
        <f>VLOOKUP(Q152,'[1]Consolidado Cierres'!$Q$2:$Q$1399,1,0)</f>
        <v>109-2024-12-31</v>
      </c>
    </row>
    <row r="153" spans="1:31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  <c r="AE153" t="str">
        <f>VLOOKUP(Q153,'[1]Consolidado Cierres'!$Q$2:$Q$1399,1,0)</f>
        <v>109-2024-12-31</v>
      </c>
    </row>
    <row r="154" spans="1:31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  <c r="AE154" t="e">
        <f>VLOOKUP(Q154,'[1]Consolidado Cierres'!$Q$2:$Q$1399,1,0)</f>
        <v>#N/A</v>
      </c>
    </row>
    <row r="155" spans="1:31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  <c r="AE155" t="str">
        <f>VLOOKUP(Q155,'[1]Consolidado Cierres'!$Q$2:$Q$1399,1,0)</f>
        <v>148-2022-12-31</v>
      </c>
    </row>
    <row r="156" spans="1:31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  <c r="AE156" t="e">
        <f>VLOOKUP(Q156,'[1]Consolidado Cierres'!$Q$2:$Q$1399,1,0)</f>
        <v>#N/A</v>
      </c>
    </row>
    <row r="157" spans="1:31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  <c r="AE157" t="str">
        <f>VLOOKUP(Q157,'[1]Consolidado Cierres'!$Q$2:$Q$1399,1,0)</f>
        <v>148-2023-12-31</v>
      </c>
    </row>
    <row r="158" spans="1:31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  <c r="AE158" t="str">
        <f>VLOOKUP(Q158,'[1]Consolidado Cierres'!$Q$2:$Q$1399,1,0)</f>
        <v>148-2023-12-31</v>
      </c>
    </row>
    <row r="159" spans="1:31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  <c r="AE159" t="e">
        <f>VLOOKUP(Q159,'[1]Consolidado Cierres'!$Q$2:$Q$1399,1,0)</f>
        <v>#N/A</v>
      </c>
    </row>
    <row r="160" spans="1:31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  <c r="AE160" t="str">
        <f>VLOOKUP(Q160,'[1]Consolidado Cierres'!$Q$2:$Q$1399,1,0)</f>
        <v>148-2024-12-31</v>
      </c>
    </row>
    <row r="161" spans="1:31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  <c r="AE161" t="str">
        <f>VLOOKUP(Q161,'[1]Consolidado Cierres'!$Q$2:$Q$1399,1,0)</f>
        <v>148-2024-12-31</v>
      </c>
    </row>
    <row r="162" spans="1:31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  <c r="AE162" t="str">
        <f>VLOOKUP(Q162,'[1]Consolidado Cierres'!$Q$2:$Q$1399,1,0)</f>
        <v>148-2025-06-30</v>
      </c>
    </row>
    <row r="163" spans="1:31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  <c r="AE163" t="e">
        <f>VLOOKUP(Q163,'[1]Consolidado Cierres'!$Q$2:$Q$1399,1,0)</f>
        <v>#N/A</v>
      </c>
    </row>
    <row r="164" spans="1:31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  <c r="AE164" t="e">
        <f>VLOOKUP(Q164,'[1]Consolidado Cierres'!$Q$2:$Q$1399,1,0)</f>
        <v>#N/A</v>
      </c>
    </row>
    <row r="165" spans="1:31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  <c r="AE165" t="str">
        <f>VLOOKUP(Q165,'[1]Consolidado Cierres'!$Q$2:$Q$1399,1,0)</f>
        <v>193-2022-12-31</v>
      </c>
    </row>
    <row r="166" spans="1:31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  <c r="AE166" t="str">
        <f>VLOOKUP(Q166,'[1]Consolidado Cierres'!$Q$2:$Q$1399,1,0)</f>
        <v>193-2022-12-31</v>
      </c>
    </row>
    <row r="167" spans="1:31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  <c r="AE167" t="e">
        <f>VLOOKUP(Q167,'[1]Consolidado Cierres'!$Q$2:$Q$1399,1,0)</f>
        <v>#N/A</v>
      </c>
    </row>
    <row r="168" spans="1:31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  <c r="AE168" t="str">
        <f>VLOOKUP(Q168,'[1]Consolidado Cierres'!$Q$2:$Q$1399,1,0)</f>
        <v>193-2023-12-31</v>
      </c>
    </row>
    <row r="169" spans="1:31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  <c r="AE169" t="str">
        <f>VLOOKUP(Q169,'[1]Consolidado Cierres'!$Q$2:$Q$1399,1,0)</f>
        <v>193-2023-12-31</v>
      </c>
    </row>
    <row r="170" spans="1:31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  <c r="AE170" t="e">
        <f>VLOOKUP(Q170,'[1]Consolidado Cierres'!$Q$2:$Q$1399,1,0)</f>
        <v>#N/A</v>
      </c>
    </row>
    <row r="171" spans="1:31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  <c r="AE171" t="str">
        <f>VLOOKUP(Q171,'[1]Consolidado Cierres'!$Q$2:$Q$1399,1,0)</f>
        <v>193-2024-12-31</v>
      </c>
    </row>
    <row r="172" spans="1:31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  <c r="AE172" t="str">
        <f>VLOOKUP(Q172,'[1]Consolidado Cierres'!$Q$2:$Q$1399,1,0)</f>
        <v>193-2024-12-31</v>
      </c>
    </row>
    <row r="173" spans="1:31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  <c r="AE173" t="str">
        <f>VLOOKUP(Q173,'[1]Consolidado Cierres'!$Q$2:$Q$1399,1,0)</f>
        <v>193-2025-06-30</v>
      </c>
    </row>
    <row r="174" spans="1:31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  <c r="AE174" t="e">
        <f>VLOOKUP(Q174,'[1]Consolidado Cierres'!$Q$2:$Q$1399,1,0)</f>
        <v>#N/A</v>
      </c>
    </row>
    <row r="175" spans="1:31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  <c r="AE175" t="e">
        <f>VLOOKUP(Q175,'[1]Consolidado Cierres'!$Q$2:$Q$1399,1,0)</f>
        <v>#N/A</v>
      </c>
    </row>
    <row r="176" spans="1:31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  <c r="AE176" t="str">
        <f>VLOOKUP(Q176,'[1]Consolidado Cierres'!$Q$2:$Q$1399,1,0)</f>
        <v>194-2022-12-31</v>
      </c>
    </row>
    <row r="177" spans="1:31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  <c r="AE177" t="str">
        <f>VLOOKUP(Q177,'[1]Consolidado Cierres'!$Q$2:$Q$1399,1,0)</f>
        <v>194-2022-12-31</v>
      </c>
    </row>
    <row r="178" spans="1:31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  <c r="AE178" t="e">
        <f>VLOOKUP(Q178,'[1]Consolidado Cierres'!$Q$2:$Q$1399,1,0)</f>
        <v>#N/A</v>
      </c>
    </row>
    <row r="179" spans="1:31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  <c r="AE179" t="str">
        <f>VLOOKUP(Q179,'[1]Consolidado Cierres'!$Q$2:$Q$1399,1,0)</f>
        <v>194-2023-12-31</v>
      </c>
    </row>
    <row r="180" spans="1:31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  <c r="AE180" t="str">
        <f>VLOOKUP(Q180,'[1]Consolidado Cierres'!$Q$2:$Q$1399,1,0)</f>
        <v>194-2023-12-31</v>
      </c>
    </row>
    <row r="181" spans="1:31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  <c r="AE181" t="str">
        <f>VLOOKUP(Q181,'[1]Consolidado Cierres'!$Q$2:$Q$1399,1,0)</f>
        <v>194-2024-06-30</v>
      </c>
    </row>
    <row r="182" spans="1:31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  <c r="AE182" t="str">
        <f>VLOOKUP(Q182,'[1]Consolidado Cierres'!$Q$2:$Q$1399,1,0)</f>
        <v>194-2024-12-31</v>
      </c>
    </row>
    <row r="183" spans="1:31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  <c r="AE183" t="str">
        <f>VLOOKUP(Q183,'[1]Consolidado Cierres'!$Q$2:$Q$1399,1,0)</f>
        <v>194-2024-12-31</v>
      </c>
    </row>
    <row r="184" spans="1:31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  <c r="AE184" t="str">
        <f>VLOOKUP(Q184,'[1]Consolidado Cierres'!$Q$2:$Q$1399,1,0)</f>
        <v>194-2025-06-30</v>
      </c>
    </row>
    <row r="185" spans="1:31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  <c r="AE185" t="e">
        <f>VLOOKUP(Q185,'[1]Consolidado Cierres'!$Q$2:$Q$1399,1,0)</f>
        <v>#N/A</v>
      </c>
    </row>
    <row r="186" spans="1:31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  <c r="AE186" t="str">
        <f>VLOOKUP(Q186,'[1]Consolidado Cierres'!$Q$2:$Q$1399,1,0)</f>
        <v>200-2023-12-31</v>
      </c>
    </row>
    <row r="187" spans="1:31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  <c r="AE187" t="str">
        <f>VLOOKUP(Q187,'[1]Consolidado Cierres'!$Q$2:$Q$1399,1,0)</f>
        <v>200-2023-12-31</v>
      </c>
    </row>
    <row r="188" spans="1:31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  <c r="AE188" t="str">
        <f>VLOOKUP(Q188,'[1]Consolidado Cierres'!$Q$2:$Q$1399,1,0)</f>
        <v>200-2024-12-31</v>
      </c>
    </row>
    <row r="189" spans="1:31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  <c r="AE189" t="str">
        <f>VLOOKUP(Q189,'[1]Consolidado Cierres'!$Q$2:$Q$1399,1,0)</f>
        <v>200-2024-12-31</v>
      </c>
    </row>
    <row r="190" spans="1:31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  <c r="AE190" t="str">
        <f>VLOOKUP(Q190,'[1]Consolidado Cierres'!$Q$2:$Q$1399,1,0)</f>
        <v>200-2025-06-30</v>
      </c>
    </row>
    <row r="191" spans="1:31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  <c r="AE191" t="e">
        <f>VLOOKUP(Q191,'[1]Consolidado Cierres'!$Q$2:$Q$1399,1,0)</f>
        <v>#N/A</v>
      </c>
    </row>
    <row r="192" spans="1:31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  <c r="AE192" t="e">
        <f>VLOOKUP(Q192,'[1]Consolidado Cierres'!$Q$2:$Q$1399,1,0)</f>
        <v>#N/A</v>
      </c>
    </row>
    <row r="193" spans="1:31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  <c r="AE193" t="e">
        <f>VLOOKUP(Q193,'[1]Consolidado Cierres'!$Q$2:$Q$1399,1,0)</f>
        <v>#N/A</v>
      </c>
    </row>
    <row r="194" spans="1:31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  <c r="AE194" t="e">
        <f>VLOOKUP(Q194,'[1]Consolidado Cierres'!$Q$2:$Q$1399,1,0)</f>
        <v>#N/A</v>
      </c>
    </row>
    <row r="195" spans="1:31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  <c r="AE195" t="e">
        <f>VLOOKUP(Q195,'[1]Consolidado Cierres'!$Q$2:$Q$1399,1,0)</f>
        <v>#N/A</v>
      </c>
    </row>
    <row r="196" spans="1:31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  <c r="AE196" t="e">
        <f>VLOOKUP(Q196,'[1]Consolidado Cierres'!$Q$2:$Q$1399,1,0)</f>
        <v>#N/A</v>
      </c>
    </row>
    <row r="197" spans="1:31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  <c r="AE197" t="str">
        <f>VLOOKUP(Q197,'[1]Consolidado Cierres'!$Q$2:$Q$1399,1,0)</f>
        <v>202-2023-12-31</v>
      </c>
    </row>
    <row r="198" spans="1:31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  <c r="AE198" t="str">
        <f>VLOOKUP(Q198,'[1]Consolidado Cierres'!$Q$2:$Q$1399,1,0)</f>
        <v>202-2023-12-31</v>
      </c>
    </row>
    <row r="199" spans="1:31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  <c r="AE199" t="str">
        <f>VLOOKUP(Q199,'[1]Consolidado Cierres'!$Q$2:$Q$1399,1,0)</f>
        <v>202-2025-06-30</v>
      </c>
    </row>
    <row r="200" spans="1:31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  <c r="AE200" t="str">
        <f>VLOOKUP(Q200,'[1]Consolidado Cierres'!$Q$2:$Q$1399,1,0)</f>
        <v>202-2025-12-31</v>
      </c>
    </row>
    <row r="201" spans="1:31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  <c r="AE201" t="e">
        <f>VLOOKUP(Q201,'[1]Consolidado Cierres'!$Q$2:$Q$1399,1,0)</f>
        <v>#N/A</v>
      </c>
    </row>
    <row r="202" spans="1:31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  <c r="AE202" t="str">
        <f>VLOOKUP(Q202,'[1]Consolidado Cierres'!$Q$2:$Q$1399,1,0)</f>
        <v>203-2022-12-31</v>
      </c>
    </row>
    <row r="203" spans="1:31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  <c r="AE203" t="str">
        <f>VLOOKUP(Q203,'[1]Consolidado Cierres'!$Q$2:$Q$1399,1,0)</f>
        <v>203-2022-12-31</v>
      </c>
    </row>
    <row r="204" spans="1:31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  <c r="AE204" t="e">
        <f>VLOOKUP(Q204,'[1]Consolidado Cierres'!$Q$2:$Q$1399,1,0)</f>
        <v>#N/A</v>
      </c>
    </row>
    <row r="205" spans="1:31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  <c r="AE205" t="str">
        <f>VLOOKUP(Q205,'[1]Consolidado Cierres'!$Q$2:$Q$1399,1,0)</f>
        <v>203-2023-12-31</v>
      </c>
    </row>
    <row r="206" spans="1:31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  <c r="AE206" t="str">
        <f>VLOOKUP(Q206,'[1]Consolidado Cierres'!$Q$2:$Q$1399,1,0)</f>
        <v>203-2023-12-31</v>
      </c>
    </row>
    <row r="207" spans="1:31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  <c r="AE207" t="e">
        <f>VLOOKUP(Q207,'[1]Consolidado Cierres'!$Q$2:$Q$1399,1,0)</f>
        <v>#N/A</v>
      </c>
    </row>
    <row r="208" spans="1:31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  <c r="AE208" t="str">
        <f>VLOOKUP(Q208,'[1]Consolidado Cierres'!$Q$2:$Q$1399,1,0)</f>
        <v>203-2024-12-31</v>
      </c>
    </row>
    <row r="209" spans="1:31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  <c r="AE209" t="str">
        <f>VLOOKUP(Q209,'[1]Consolidado Cierres'!$Q$2:$Q$1399,1,0)</f>
        <v>203-2024-12-31</v>
      </c>
    </row>
    <row r="210" spans="1:31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  <c r="AE210" t="str">
        <f>VLOOKUP(Q210,'[1]Consolidado Cierres'!$Q$2:$Q$1399,1,0)</f>
        <v>203-2025-06-30</v>
      </c>
    </row>
    <row r="211" spans="1:31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  <c r="AE211" t="str">
        <f>VLOOKUP(Q211,'[1]Consolidado Cierres'!$Q$2:$Q$1399,1,0)</f>
        <v>204-2023-12-31</v>
      </c>
    </row>
    <row r="212" spans="1:31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  <c r="AE212" t="str">
        <f>VLOOKUP(Q212,'[1]Consolidado Cierres'!$Q$2:$Q$1399,1,0)</f>
        <v>204-2023-12-31</v>
      </c>
    </row>
    <row r="213" spans="1:31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  <c r="AE213" t="str">
        <f>VLOOKUP(Q213,'[1]Consolidado Cierres'!$Q$2:$Q$1399,1,0)</f>
        <v>204-2024-12-31</v>
      </c>
    </row>
    <row r="214" spans="1:31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  <c r="AE214" t="str">
        <f>VLOOKUP(Q214,'[1]Consolidado Cierres'!$Q$2:$Q$1399,1,0)</f>
        <v>204-2024-12-31</v>
      </c>
    </row>
    <row r="215" spans="1:31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  <c r="AE215" t="e">
        <f>VLOOKUP(Q215,'[1]Consolidado Cierres'!$Q$2:$Q$1399,1,0)</f>
        <v>#N/A</v>
      </c>
    </row>
    <row r="216" spans="1:31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  <c r="AE216" t="e">
        <f>VLOOKUP(Q216,'[1]Consolidado Cierres'!$Q$2:$Q$1399,1,0)</f>
        <v>#N/A</v>
      </c>
    </row>
    <row r="217" spans="1:31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  <c r="AE217" t="str">
        <f>VLOOKUP(Q217,'[1]Consolidado Cierres'!$Q$2:$Q$1399,1,0)</f>
        <v>205-2022-12-31</v>
      </c>
    </row>
    <row r="218" spans="1:31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  <c r="AE218" t="str">
        <f>VLOOKUP(Q218,'[1]Consolidado Cierres'!$Q$2:$Q$1399,1,0)</f>
        <v>205-2022-12-31</v>
      </c>
    </row>
    <row r="219" spans="1:31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  <c r="AE219" t="e">
        <f>VLOOKUP(Q219,'[1]Consolidado Cierres'!$Q$2:$Q$1399,1,0)</f>
        <v>#N/A</v>
      </c>
    </row>
    <row r="220" spans="1:31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  <c r="AE220" t="str">
        <f>VLOOKUP(Q220,'[1]Consolidado Cierres'!$Q$2:$Q$1399,1,0)</f>
        <v>205-2023-12-31</v>
      </c>
    </row>
    <row r="221" spans="1:31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  <c r="AE221" t="str">
        <f>VLOOKUP(Q221,'[1]Consolidado Cierres'!$Q$2:$Q$1399,1,0)</f>
        <v>205-2023-12-31</v>
      </c>
    </row>
    <row r="222" spans="1:31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  <c r="AE222" t="e">
        <f>VLOOKUP(Q222,'[1]Consolidado Cierres'!$Q$2:$Q$1399,1,0)</f>
        <v>#N/A</v>
      </c>
    </row>
    <row r="223" spans="1:31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  <c r="AE223" t="str">
        <f>VLOOKUP(Q223,'[1]Consolidado Cierres'!$Q$2:$Q$1399,1,0)</f>
        <v>205-2024-12-31</v>
      </c>
    </row>
    <row r="224" spans="1:31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  <c r="AE224" t="str">
        <f>VLOOKUP(Q224,'[1]Consolidado Cierres'!$Q$2:$Q$1399,1,0)</f>
        <v>205-2024-12-31</v>
      </c>
    </row>
    <row r="225" spans="1:31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  <c r="AE225" t="str">
        <f>VLOOKUP(Q225,'[1]Consolidado Cierres'!$Q$2:$Q$1399,1,0)</f>
        <v>205-2025-06-30</v>
      </c>
    </row>
    <row r="226" spans="1:31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  <c r="AE226" t="e">
        <f>VLOOKUP(Q226,'[1]Consolidado Cierres'!$Q$2:$Q$1399,1,0)</f>
        <v>#N/A</v>
      </c>
    </row>
    <row r="227" spans="1:31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  <c r="AE227" t="e">
        <f>VLOOKUP(Q227,'[1]Consolidado Cierres'!$Q$2:$Q$1399,1,0)</f>
        <v>#N/A</v>
      </c>
    </row>
    <row r="228" spans="1:31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  <c r="AE228" t="str">
        <f>VLOOKUP(Q228,'[1]Consolidado Cierres'!$Q$2:$Q$1399,1,0)</f>
        <v>207-2023-12-31</v>
      </c>
    </row>
    <row r="229" spans="1:31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  <c r="AE229" t="str">
        <f>VLOOKUP(Q229,'[1]Consolidado Cierres'!$Q$2:$Q$1399,1,0)</f>
        <v>207-2023-12-31</v>
      </c>
    </row>
    <row r="230" spans="1:31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  <c r="AE230" t="e">
        <f>VLOOKUP(Q230,'[1]Consolidado Cierres'!$Q$2:$Q$1399,1,0)</f>
        <v>#N/A</v>
      </c>
    </row>
    <row r="231" spans="1:31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  <c r="AE231" t="str">
        <f>VLOOKUP(Q231,'[1]Consolidado Cierres'!$Q$2:$Q$1399,1,0)</f>
        <v>207-2024-12-31</v>
      </c>
    </row>
    <row r="232" spans="1:31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  <c r="AE232" t="str">
        <f>VLOOKUP(Q232,'[1]Consolidado Cierres'!$Q$2:$Q$1399,1,0)</f>
        <v>207-2024-12-31</v>
      </c>
    </row>
    <row r="233" spans="1:31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  <c r="AE233" t="str">
        <f>VLOOKUP(Q233,'[1]Consolidado Cierres'!$Q$2:$Q$1399,1,0)</f>
        <v>207-2025-06-30</v>
      </c>
    </row>
    <row r="234" spans="1:31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  <c r="AE234" t="e">
        <f>VLOOKUP(Q234,'[1]Consolidado Cierres'!$Q$2:$Q$1399,1,0)</f>
        <v>#N/A</v>
      </c>
    </row>
    <row r="235" spans="1:31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  <c r="AE235" t="str">
        <f>VLOOKUP(Q235,'[1]Consolidado Cierres'!$Q$2:$Q$1399,1,0)</f>
        <v>228-2022-12-31</v>
      </c>
    </row>
    <row r="236" spans="1:31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  <c r="AE236" t="str">
        <f>VLOOKUP(Q236,'[1]Consolidado Cierres'!$Q$2:$Q$1399,1,0)</f>
        <v>228-2022-12-31</v>
      </c>
    </row>
    <row r="237" spans="1:31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  <c r="AE237" t="str">
        <f>VLOOKUP(Q237,'[1]Consolidado Cierres'!$Q$2:$Q$1399,1,0)</f>
        <v>228-2023-12-31</v>
      </c>
    </row>
    <row r="238" spans="1:31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  <c r="AE238" t="str">
        <f>VLOOKUP(Q238,'[1]Consolidado Cierres'!$Q$2:$Q$1399,1,0)</f>
        <v>228-2024-12-31</v>
      </c>
    </row>
    <row r="239" spans="1:31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  <c r="AE239" t="str">
        <f>VLOOKUP(Q239,'[1]Consolidado Cierres'!$Q$2:$Q$1399,1,0)</f>
        <v>228-2024-12-31</v>
      </c>
    </row>
    <row r="240" spans="1:31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  <c r="AE240" t="str">
        <f>VLOOKUP(Q240,'[1]Consolidado Cierres'!$Q$2:$Q$1399,1,0)</f>
        <v>228-2024-12-31</v>
      </c>
    </row>
    <row r="241" spans="1:31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  <c r="AE241" t="str">
        <f>VLOOKUP(Q241,'[1]Consolidado Cierres'!$Q$2:$Q$1399,1,0)</f>
        <v>244-2022-12-31</v>
      </c>
    </row>
    <row r="242" spans="1:31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  <c r="AE242" t="str">
        <f>VLOOKUP(Q242,'[1]Consolidado Cierres'!$Q$2:$Q$1399,1,0)</f>
        <v>244-2022-12-31</v>
      </c>
    </row>
    <row r="243" spans="1:31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  <c r="AE243" t="str">
        <f>VLOOKUP(Q243,'[1]Consolidado Cierres'!$Q$2:$Q$1399,1,0)</f>
        <v>244-2023-12-31</v>
      </c>
    </row>
    <row r="244" spans="1:31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  <c r="AE244" t="str">
        <f>VLOOKUP(Q244,'[1]Consolidado Cierres'!$Q$2:$Q$1399,1,0)</f>
        <v>244-2023-12-31</v>
      </c>
    </row>
    <row r="245" spans="1:31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  <c r="AE245" t="str">
        <f>VLOOKUP(Q245,'[1]Consolidado Cierres'!$Q$2:$Q$1399,1,0)</f>
        <v>244-2024-12-31</v>
      </c>
    </row>
    <row r="246" spans="1:31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  <c r="AE246" t="str">
        <f>VLOOKUP(Q246,'[1]Consolidado Cierres'!$Q$2:$Q$1399,1,0)</f>
        <v>244-2024-12-31</v>
      </c>
    </row>
    <row r="247" spans="1:31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  <c r="AE247" t="e">
        <f>VLOOKUP(Q247,'[1]Consolidado Cierres'!$Q$2:$Q$1399,1,0)</f>
        <v>#N/A</v>
      </c>
    </row>
    <row r="248" spans="1:31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  <c r="AE248" t="e">
        <f>VLOOKUP(Q248,'[1]Consolidado Cierres'!$Q$2:$Q$1399,1,0)</f>
        <v>#N/A</v>
      </c>
    </row>
    <row r="249" spans="1:31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  <c r="AE249" t="str">
        <f>VLOOKUP(Q249,'[1]Consolidado Cierres'!$Q$2:$Q$1399,1,0)</f>
        <v>245-2022-12-31</v>
      </c>
    </row>
    <row r="250" spans="1:31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  <c r="AE250" t="str">
        <f>VLOOKUP(Q250,'[1]Consolidado Cierres'!$Q$2:$Q$1399,1,0)</f>
        <v>245-2022-12-31</v>
      </c>
    </row>
    <row r="251" spans="1:31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  <c r="AE251" t="e">
        <f>VLOOKUP(Q251,'[1]Consolidado Cierres'!$Q$2:$Q$1399,1,0)</f>
        <v>#N/A</v>
      </c>
    </row>
    <row r="252" spans="1:31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  <c r="AE252" t="str">
        <f>VLOOKUP(Q252,'[1]Consolidado Cierres'!$Q$2:$Q$1399,1,0)</f>
        <v>245-2023-12-31</v>
      </c>
    </row>
    <row r="253" spans="1:31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  <c r="AE253" t="str">
        <f>VLOOKUP(Q253,'[1]Consolidado Cierres'!$Q$2:$Q$1399,1,0)</f>
        <v>245-2023-12-31</v>
      </c>
    </row>
    <row r="254" spans="1:31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  <c r="AE254" t="e">
        <f>VLOOKUP(Q254,'[1]Consolidado Cierres'!$Q$2:$Q$1399,1,0)</f>
        <v>#N/A</v>
      </c>
    </row>
    <row r="255" spans="1:31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  <c r="AE255" t="str">
        <f>VLOOKUP(Q255,'[1]Consolidado Cierres'!$Q$2:$Q$1399,1,0)</f>
        <v>245-2024-12-31</v>
      </c>
    </row>
    <row r="256" spans="1:31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  <c r="AE256" t="str">
        <f>VLOOKUP(Q256,'[1]Consolidado Cierres'!$Q$2:$Q$1399,1,0)</f>
        <v>245-2024-12-31</v>
      </c>
    </row>
    <row r="257" spans="1:31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  <c r="AE257" t="str">
        <f>VLOOKUP(Q257,'[1]Consolidado Cierres'!$Q$2:$Q$1399,1,0)</f>
        <v>245-2025-06-30</v>
      </c>
    </row>
    <row r="258" spans="1:31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  <c r="AE258" t="e">
        <f>VLOOKUP(Q258,'[1]Consolidado Cierres'!$Q$2:$Q$1399,1,0)</f>
        <v>#N/A</v>
      </c>
    </row>
    <row r="259" spans="1:31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  <c r="AE259" t="e">
        <f>VLOOKUP(Q259,'[1]Consolidado Cierres'!$Q$2:$Q$1399,1,0)</f>
        <v>#N/A</v>
      </c>
    </row>
    <row r="260" spans="1:31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  <c r="AE260" t="e">
        <f>VLOOKUP(Q260,'[1]Consolidado Cierres'!$Q$2:$Q$1399,1,0)</f>
        <v>#N/A</v>
      </c>
    </row>
    <row r="261" spans="1:31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  <c r="AE261" t="e">
        <f>VLOOKUP(Q261,'[1]Consolidado Cierres'!$Q$2:$Q$1399,1,0)</f>
        <v>#N/A</v>
      </c>
    </row>
    <row r="262" spans="1:31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  <c r="AE262" t="e">
        <f>VLOOKUP(Q262,'[1]Consolidado Cierres'!$Q$2:$Q$1399,1,0)</f>
        <v>#N/A</v>
      </c>
    </row>
    <row r="263" spans="1:31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  <c r="AE263" t="e">
        <f>VLOOKUP(Q263,'[1]Consolidado Cierres'!$Q$2:$Q$1399,1,0)</f>
        <v>#N/A</v>
      </c>
    </row>
    <row r="264" spans="1:31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  <c r="AE264" t="e">
        <f>VLOOKUP(Q264,'[1]Consolidado Cierres'!$Q$2:$Q$1399,1,0)</f>
        <v>#N/A</v>
      </c>
    </row>
    <row r="265" spans="1:31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  <c r="AE265" t="e">
        <f>VLOOKUP(Q265,'[1]Consolidado Cierres'!$Q$2:$Q$1399,1,0)</f>
        <v>#N/A</v>
      </c>
    </row>
    <row r="266" spans="1:31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  <c r="AE266" t="e">
        <f>VLOOKUP(Q266,'[1]Consolidado Cierres'!$Q$2:$Q$1399,1,0)</f>
        <v>#N/A</v>
      </c>
    </row>
    <row r="267" spans="1:31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  <c r="AE267" t="e">
        <f>VLOOKUP(Q267,'[1]Consolidado Cierres'!$Q$2:$Q$1399,1,0)</f>
        <v>#N/A</v>
      </c>
    </row>
    <row r="268" spans="1:31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  <c r="AE268" t="e">
        <f>VLOOKUP(Q268,'[1]Consolidado Cierres'!$Q$2:$Q$1399,1,0)</f>
        <v>#N/A</v>
      </c>
    </row>
    <row r="269" spans="1:31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  <c r="AE269" t="e">
        <f>VLOOKUP(Q269,'[1]Consolidado Cierres'!$Q$2:$Q$1399,1,0)</f>
        <v>#N/A</v>
      </c>
    </row>
    <row r="270" spans="1:31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  <c r="AE270" t="e">
        <f>VLOOKUP(Q270,'[1]Consolidado Cierres'!$Q$2:$Q$1399,1,0)</f>
        <v>#N/A</v>
      </c>
    </row>
    <row r="271" spans="1:31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  <c r="AE271" t="e">
        <f>VLOOKUP(Q271,'[1]Consolidado Cierres'!$Q$2:$Q$1399,1,0)</f>
        <v>#N/A</v>
      </c>
    </row>
    <row r="272" spans="1:31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  <c r="AE272" t="str">
        <f>VLOOKUP(Q272,'[1]Consolidado Cierres'!$Q$2:$Q$1399,1,0)</f>
        <v>274-2022-12-31</v>
      </c>
    </row>
    <row r="273" spans="1:31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  <c r="AE273" t="str">
        <f>VLOOKUP(Q273,'[1]Consolidado Cierres'!$Q$2:$Q$1399,1,0)</f>
        <v>274-2022-12-31</v>
      </c>
    </row>
    <row r="274" spans="1:31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  <c r="AE274" t="e">
        <f>VLOOKUP(Q274,'[1]Consolidado Cierres'!$Q$2:$Q$1399,1,0)</f>
        <v>#N/A</v>
      </c>
    </row>
    <row r="275" spans="1:31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  <c r="AE275" t="str">
        <f>VLOOKUP(Q275,'[1]Consolidado Cierres'!$Q$2:$Q$1399,1,0)</f>
        <v>274-2023-12-31</v>
      </c>
    </row>
    <row r="276" spans="1:31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  <c r="AE276" t="str">
        <f>VLOOKUP(Q276,'[1]Consolidado Cierres'!$Q$2:$Q$1399,1,0)</f>
        <v>274-2023-12-31</v>
      </c>
    </row>
    <row r="277" spans="1:31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  <c r="AE277" t="e">
        <f>VLOOKUP(Q277,'[1]Consolidado Cierres'!$Q$2:$Q$1399,1,0)</f>
        <v>#N/A</v>
      </c>
    </row>
    <row r="278" spans="1:31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  <c r="AE278" t="str">
        <f>VLOOKUP(Q278,'[1]Consolidado Cierres'!$Q$2:$Q$1399,1,0)</f>
        <v>274-2024-12-31</v>
      </c>
    </row>
    <row r="279" spans="1:31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  <c r="AE279" t="str">
        <f>VLOOKUP(Q279,'[1]Consolidado Cierres'!$Q$2:$Q$1399,1,0)</f>
        <v>274-2024-12-31</v>
      </c>
    </row>
    <row r="280" spans="1:31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  <c r="AE280" t="str">
        <f>VLOOKUP(Q280,'[1]Consolidado Cierres'!$Q$2:$Q$1399,1,0)</f>
        <v>274-2025-06-30</v>
      </c>
    </row>
    <row r="281" spans="1:31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  <c r="AE281" t="e">
        <f>VLOOKUP(Q281,'[1]Consolidado Cierres'!$Q$2:$Q$1399,1,0)</f>
        <v>#N/A</v>
      </c>
    </row>
    <row r="282" spans="1:31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  <c r="AE282" t="e">
        <f>VLOOKUP(Q282,'[1]Consolidado Cierres'!$Q$2:$Q$1399,1,0)</f>
        <v>#N/A</v>
      </c>
    </row>
    <row r="283" spans="1:31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  <c r="AE283" t="e">
        <f>VLOOKUP(Q283,'[1]Consolidado Cierres'!$Q$2:$Q$1399,1,0)</f>
        <v>#N/A</v>
      </c>
    </row>
    <row r="284" spans="1:31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  <c r="AE284" t="str">
        <f>VLOOKUP(Q284,'[1]Consolidado Cierres'!$Q$2:$Q$1399,1,0)</f>
        <v>276-2022-12-31</v>
      </c>
    </row>
    <row r="285" spans="1:31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  <c r="AE285" t="str">
        <f>VLOOKUP(Q285,'[1]Consolidado Cierres'!$Q$2:$Q$1399,1,0)</f>
        <v>276-2022-12-31</v>
      </c>
    </row>
    <row r="286" spans="1:31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  <c r="AE286" t="e">
        <f>VLOOKUP(Q286,'[1]Consolidado Cierres'!$Q$2:$Q$1399,1,0)</f>
        <v>#N/A</v>
      </c>
    </row>
    <row r="287" spans="1:31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  <c r="AE287" t="str">
        <f>VLOOKUP(Q287,'[1]Consolidado Cierres'!$Q$2:$Q$1399,1,0)</f>
        <v>276-2023-12-31</v>
      </c>
    </row>
    <row r="288" spans="1:31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  <c r="AE288" t="str">
        <f>VLOOKUP(Q288,'[1]Consolidado Cierres'!$Q$2:$Q$1399,1,0)</f>
        <v>276-2023-12-31</v>
      </c>
    </row>
    <row r="289" spans="1:31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  <c r="AE289" t="e">
        <f>VLOOKUP(Q289,'[1]Consolidado Cierres'!$Q$2:$Q$1399,1,0)</f>
        <v>#N/A</v>
      </c>
    </row>
    <row r="290" spans="1:31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  <c r="AE290" t="str">
        <f>VLOOKUP(Q290,'[1]Consolidado Cierres'!$Q$2:$Q$1399,1,0)</f>
        <v>276-2024-12-31</v>
      </c>
    </row>
    <row r="291" spans="1:31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  <c r="AE291" t="str">
        <f>VLOOKUP(Q291,'[1]Consolidado Cierres'!$Q$2:$Q$1399,1,0)</f>
        <v>276-2024-12-31</v>
      </c>
    </row>
    <row r="292" spans="1:31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  <c r="AE292" t="str">
        <f>VLOOKUP(Q292,'[1]Consolidado Cierres'!$Q$2:$Q$1399,1,0)</f>
        <v>276-2025-06-30</v>
      </c>
    </row>
    <row r="293" spans="1:31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  <c r="AE293" t="e">
        <f>VLOOKUP(Q293,'[1]Consolidado Cierres'!$Q$2:$Q$1399,1,0)</f>
        <v>#N/A</v>
      </c>
    </row>
    <row r="294" spans="1:31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  <c r="AE294" t="e">
        <f>VLOOKUP(Q294,'[1]Consolidado Cierres'!$Q$2:$Q$1399,1,0)</f>
        <v>#N/A</v>
      </c>
    </row>
    <row r="295" spans="1:31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  <c r="AE295" t="str">
        <f>VLOOKUP(Q295,'[1]Consolidado Cierres'!$Q$2:$Q$1399,1,0)</f>
        <v>277-2023-12-31</v>
      </c>
    </row>
    <row r="296" spans="1:31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  <c r="AE296" t="str">
        <f>VLOOKUP(Q296,'[1]Consolidado Cierres'!$Q$2:$Q$1399,1,0)</f>
        <v>277-2023-12-31</v>
      </c>
    </row>
    <row r="297" spans="1:31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  <c r="AE297" t="e">
        <f>VLOOKUP(Q297,'[1]Consolidado Cierres'!$Q$2:$Q$1399,1,0)</f>
        <v>#N/A</v>
      </c>
    </row>
    <row r="298" spans="1:31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  <c r="AE298" t="str">
        <f>VLOOKUP(Q298,'[1]Consolidado Cierres'!$Q$2:$Q$1399,1,0)</f>
        <v>277-2024-12-31</v>
      </c>
    </row>
    <row r="299" spans="1:31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  <c r="AE299" t="str">
        <f>VLOOKUP(Q299,'[1]Consolidado Cierres'!$Q$2:$Q$1399,1,0)</f>
        <v>277-2024-12-31</v>
      </c>
    </row>
    <row r="300" spans="1:31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  <c r="AE300" t="str">
        <f>VLOOKUP(Q300,'[1]Consolidado Cierres'!$Q$2:$Q$1399,1,0)</f>
        <v>277-2025-06-30</v>
      </c>
    </row>
    <row r="301" spans="1:31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  <c r="AE301" t="e">
        <f>VLOOKUP(Q301,'[1]Consolidado Cierres'!$Q$2:$Q$1399,1,0)</f>
        <v>#N/A</v>
      </c>
    </row>
    <row r="302" spans="1:31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  <c r="AE302" t="str">
        <f>VLOOKUP(Q302,'[1]Consolidado Cierres'!$Q$2:$Q$1399,1,0)</f>
        <v>323-2022-12-31</v>
      </c>
    </row>
    <row r="303" spans="1:31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  <c r="AE303" t="str">
        <f>VLOOKUP(Q303,'[1]Consolidado Cierres'!$Q$2:$Q$1399,1,0)</f>
        <v>323-2022-12-31</v>
      </c>
    </row>
    <row r="304" spans="1:31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  <c r="AE304" t="e">
        <f>VLOOKUP(Q304,'[1]Consolidado Cierres'!$Q$2:$Q$1399,1,0)</f>
        <v>#N/A</v>
      </c>
    </row>
    <row r="305" spans="1:31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  <c r="AE305" t="str">
        <f>VLOOKUP(Q305,'[1]Consolidado Cierres'!$Q$2:$Q$1399,1,0)</f>
        <v>323-2023-12-31</v>
      </c>
    </row>
    <row r="306" spans="1:31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  <c r="AE306" t="str">
        <f>VLOOKUP(Q306,'[1]Consolidado Cierres'!$Q$2:$Q$1399,1,0)</f>
        <v>323-2023-12-31</v>
      </c>
    </row>
    <row r="307" spans="1:31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  <c r="AE307" t="e">
        <f>VLOOKUP(Q307,'[1]Consolidado Cierres'!$Q$2:$Q$1399,1,0)</f>
        <v>#N/A</v>
      </c>
    </row>
    <row r="308" spans="1:31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  <c r="AE308" t="str">
        <f>VLOOKUP(Q308,'[1]Consolidado Cierres'!$Q$2:$Q$1399,1,0)</f>
        <v>323-2024-12-31</v>
      </c>
    </row>
    <row r="309" spans="1:31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  <c r="AE309" t="str">
        <f>VLOOKUP(Q309,'[1]Consolidado Cierres'!$Q$2:$Q$1399,1,0)</f>
        <v>323-2024-12-31</v>
      </c>
    </row>
    <row r="310" spans="1:31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  <c r="AE310" t="str">
        <f>VLOOKUP(Q310,'[1]Consolidado Cierres'!$Q$2:$Q$1399,1,0)</f>
        <v>323-2025-06-30</v>
      </c>
    </row>
    <row r="311" spans="1:31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  <c r="AE311" t="str">
        <f>VLOOKUP(Q311,'[1]Consolidado Cierres'!$Q$2:$Q$1399,1,0)</f>
        <v>323-2025-06-30</v>
      </c>
    </row>
    <row r="312" spans="1:31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  <c r="AE312" t="e">
        <f>VLOOKUP(Q312,'[1]Consolidado Cierres'!$Q$2:$Q$1399,1,0)</f>
        <v>#N/A</v>
      </c>
    </row>
    <row r="313" spans="1:31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  <c r="AE313" t="str">
        <f>VLOOKUP(Q313,'[1]Consolidado Cierres'!$Q$2:$Q$1399,1,0)</f>
        <v>325-2022-12-31</v>
      </c>
    </row>
    <row r="314" spans="1:31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  <c r="AE314" t="str">
        <f>VLOOKUP(Q314,'[1]Consolidado Cierres'!$Q$2:$Q$1399,1,0)</f>
        <v>325-2022-12-31</v>
      </c>
    </row>
    <row r="315" spans="1:31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  <c r="AE315" t="e">
        <f>VLOOKUP(Q315,'[1]Consolidado Cierres'!$Q$2:$Q$1399,1,0)</f>
        <v>#N/A</v>
      </c>
    </row>
    <row r="316" spans="1:31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  <c r="AE316" t="str">
        <f>VLOOKUP(Q316,'[1]Consolidado Cierres'!$Q$2:$Q$1399,1,0)</f>
        <v>325-2023-12-31</v>
      </c>
    </row>
    <row r="317" spans="1:31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  <c r="AE317" t="str">
        <f>VLOOKUP(Q317,'[1]Consolidado Cierres'!$Q$2:$Q$1399,1,0)</f>
        <v>325-2023-12-31</v>
      </c>
    </row>
    <row r="318" spans="1:31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  <c r="AE318" t="e">
        <f>VLOOKUP(Q318,'[1]Consolidado Cierres'!$Q$2:$Q$1399,1,0)</f>
        <v>#N/A</v>
      </c>
    </row>
    <row r="319" spans="1:31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  <c r="AE319" t="str">
        <f>VLOOKUP(Q319,'[1]Consolidado Cierres'!$Q$2:$Q$1399,1,0)</f>
        <v>325-2024-12-31</v>
      </c>
    </row>
    <row r="320" spans="1:31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  <c r="AE320" t="str">
        <f>VLOOKUP(Q320,'[1]Consolidado Cierres'!$Q$2:$Q$1399,1,0)</f>
        <v>325-2024-12-31</v>
      </c>
    </row>
    <row r="321" spans="1:31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  <c r="AE321" t="str">
        <f>VLOOKUP(Q321,'[1]Consolidado Cierres'!$Q$2:$Q$1399,1,0)</f>
        <v>325-2025-06-30</v>
      </c>
    </row>
    <row r="322" spans="1:31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  <c r="AE322" t="str">
        <f>VLOOKUP(Q322,'[1]Consolidado Cierres'!$Q$2:$Q$1399,1,0)</f>
        <v>325-2025-06-30</v>
      </c>
    </row>
    <row r="323" spans="1:31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  <c r="AE323" t="str">
        <f>VLOOKUP(Q323,'[1]Consolidado Cierres'!$Q$2:$Q$1399,1,0)</f>
        <v>331-2023-12-31</v>
      </c>
    </row>
    <row r="324" spans="1:31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  <c r="AE324" t="str">
        <f>VLOOKUP(Q324,'[1]Consolidado Cierres'!$Q$2:$Q$1399,1,0)</f>
        <v>331-2023-12-31</v>
      </c>
    </row>
    <row r="325" spans="1:31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  <c r="AE325" t="str">
        <f>VLOOKUP(Q325,'[1]Consolidado Cierres'!$Q$2:$Q$1399,1,0)</f>
        <v>331-2024-12-31</v>
      </c>
    </row>
    <row r="326" spans="1:31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  <c r="AE326" t="str">
        <f>VLOOKUP(Q326,'[1]Consolidado Cierres'!$Q$2:$Q$1399,1,0)</f>
        <v>331-2024-12-31</v>
      </c>
    </row>
    <row r="327" spans="1:31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  <c r="AE327" t="str">
        <f>VLOOKUP(Q327,'[1]Consolidado Cierres'!$Q$2:$Q$1399,1,0)</f>
        <v>331-2025-06-30</v>
      </c>
    </row>
    <row r="328" spans="1:31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  <c r="AE328" t="str">
        <f>VLOOKUP(Q328,'[1]Consolidado Cierres'!$Q$2:$Q$1399,1,0)</f>
        <v>331-2025-06-30</v>
      </c>
    </row>
    <row r="329" spans="1:31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  <c r="AE329" t="e">
        <f>VLOOKUP(Q329,'[1]Consolidado Cierres'!$Q$2:$Q$1399,1,0)</f>
        <v>#N/A</v>
      </c>
    </row>
    <row r="330" spans="1:31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  <c r="AE330" t="str">
        <f>VLOOKUP(Q330,'[1]Consolidado Cierres'!$Q$2:$Q$1399,1,0)</f>
        <v>332-2022-12-31</v>
      </c>
    </row>
    <row r="331" spans="1:31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  <c r="AE331" t="str">
        <f>VLOOKUP(Q331,'[1]Consolidado Cierres'!$Q$2:$Q$1399,1,0)</f>
        <v>332-2022-12-31</v>
      </c>
    </row>
    <row r="332" spans="1:31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  <c r="AE332" t="e">
        <f>VLOOKUP(Q332,'[1]Consolidado Cierres'!$Q$2:$Q$1399,1,0)</f>
        <v>#N/A</v>
      </c>
    </row>
    <row r="333" spans="1:31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  <c r="AE333" t="str">
        <f>VLOOKUP(Q333,'[1]Consolidado Cierres'!$Q$2:$Q$1399,1,0)</f>
        <v>332-2023-12-31</v>
      </c>
    </row>
    <row r="334" spans="1:31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  <c r="AE334" t="str">
        <f>VLOOKUP(Q334,'[1]Consolidado Cierres'!$Q$2:$Q$1399,1,0)</f>
        <v>332-2023-12-31</v>
      </c>
    </row>
    <row r="335" spans="1:31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  <c r="AE335" t="e">
        <f>VLOOKUP(Q335,'[1]Consolidado Cierres'!$Q$2:$Q$1399,1,0)</f>
        <v>#N/A</v>
      </c>
    </row>
    <row r="336" spans="1:31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  <c r="AE336" t="str">
        <f>VLOOKUP(Q336,'[1]Consolidado Cierres'!$Q$2:$Q$1399,1,0)</f>
        <v>332-2024-12-31</v>
      </c>
    </row>
    <row r="337" spans="1:31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  <c r="AE337" t="str">
        <f>VLOOKUP(Q337,'[1]Consolidado Cierres'!$Q$2:$Q$1399,1,0)</f>
        <v>332-2024-12-31</v>
      </c>
    </row>
    <row r="338" spans="1:31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  <c r="AE338" t="str">
        <f>VLOOKUP(Q338,'[1]Consolidado Cierres'!$Q$2:$Q$1399,1,0)</f>
        <v>332-2025-06-30</v>
      </c>
    </row>
    <row r="339" spans="1:31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  <c r="AE339" t="str">
        <f>VLOOKUP(Q339,'[1]Consolidado Cierres'!$Q$2:$Q$1399,1,0)</f>
        <v>332-2025-06-30</v>
      </c>
    </row>
    <row r="340" spans="1:31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  <c r="AE340" t="str">
        <f>VLOOKUP(Q340,'[1]Consolidado Cierres'!$Q$2:$Q$1399,1,0)</f>
        <v>334-2022-12-31</v>
      </c>
    </row>
    <row r="341" spans="1:31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  <c r="AE341" t="str">
        <f>VLOOKUP(Q341,'[1]Consolidado Cierres'!$Q$2:$Q$1399,1,0)</f>
        <v>334-2023-12-31</v>
      </c>
    </row>
    <row r="342" spans="1:31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  <c r="AE342" t="str">
        <f>VLOOKUP(Q342,'[1]Consolidado Cierres'!$Q$2:$Q$1399,1,0)</f>
        <v>334-2023-12-31</v>
      </c>
    </row>
    <row r="343" spans="1:31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  <c r="AE343" t="str">
        <f>VLOOKUP(Q343,'[1]Consolidado Cierres'!$Q$2:$Q$1399,1,0)</f>
        <v>334-2024-12-31</v>
      </c>
    </row>
    <row r="344" spans="1:31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  <c r="AE344" t="str">
        <f>VLOOKUP(Q344,'[1]Consolidado Cierres'!$Q$2:$Q$1399,1,0)</f>
        <v>334-2024-12-31</v>
      </c>
    </row>
    <row r="345" spans="1:31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  <c r="AE345" t="e">
        <f>VLOOKUP(Q345,'[1]Consolidado Cierres'!$Q$2:$Q$1399,1,0)</f>
        <v>#N/A</v>
      </c>
    </row>
    <row r="346" spans="1:31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  <c r="AE346" t="str">
        <f>VLOOKUP(Q346,'[1]Consolidado Cierres'!$Q$2:$Q$1399,1,0)</f>
        <v>335-2023-12-31</v>
      </c>
    </row>
    <row r="347" spans="1:31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  <c r="AE347" t="str">
        <f>VLOOKUP(Q347,'[1]Consolidado Cierres'!$Q$2:$Q$1399,1,0)</f>
        <v>335-2023-12-31</v>
      </c>
    </row>
    <row r="348" spans="1:31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  <c r="AE348" t="str">
        <f>VLOOKUP(Q348,'[1]Consolidado Cierres'!$Q$2:$Q$1399,1,0)</f>
        <v>335-2024-12-31</v>
      </c>
    </row>
    <row r="349" spans="1:31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  <c r="AE349" t="str">
        <f>VLOOKUP(Q349,'[1]Consolidado Cierres'!$Q$2:$Q$1399,1,0)</f>
        <v>335-2024-12-31</v>
      </c>
    </row>
    <row r="350" spans="1:31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  <c r="AE350" t="str">
        <f>VLOOKUP(Q350,'[1]Consolidado Cierres'!$Q$2:$Q$1399,1,0)</f>
        <v>335-2025-12-31</v>
      </c>
    </row>
    <row r="351" spans="1:31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  <c r="AE351" t="e">
        <f>VLOOKUP(Q351,'[1]Consolidado Cierres'!$Q$2:$Q$1399,1,0)</f>
        <v>#N/A</v>
      </c>
    </row>
    <row r="352" spans="1:31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  <c r="AE352" t="e">
        <f>VLOOKUP(Q352,'[1]Consolidado Cierres'!$Q$2:$Q$1399,1,0)</f>
        <v>#N/A</v>
      </c>
    </row>
    <row r="353" spans="1:31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  <c r="AE353" t="str">
        <f>VLOOKUP(Q353,'[1]Consolidado Cierres'!$Q$2:$Q$1399,1,0)</f>
        <v>339-2023-12-31</v>
      </c>
    </row>
    <row r="354" spans="1:31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  <c r="AE354" t="str">
        <f>VLOOKUP(Q354,'[1]Consolidado Cierres'!$Q$2:$Q$1399,1,0)</f>
        <v>339-2023-12-31</v>
      </c>
    </row>
    <row r="355" spans="1:31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  <c r="AE355" t="str">
        <f>VLOOKUP(Q355,'[1]Consolidado Cierres'!$Q$2:$Q$1399,1,0)</f>
        <v>339-2024-12-31</v>
      </c>
    </row>
    <row r="356" spans="1:31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  <c r="AE356" t="str">
        <f>VLOOKUP(Q356,'[1]Consolidado Cierres'!$Q$2:$Q$1399,1,0)</f>
        <v>339-2024-12-31</v>
      </c>
    </row>
    <row r="357" spans="1:31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  <c r="AE357" t="str">
        <f>VLOOKUP(Q357,'[1]Consolidado Cierres'!$Q$2:$Q$1399,1,0)</f>
        <v>339-2025-06-30</v>
      </c>
    </row>
    <row r="358" spans="1:31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  <c r="AE358" t="str">
        <f>VLOOKUP(Q358,'[1]Consolidado Cierres'!$Q$2:$Q$1399,1,0)</f>
        <v>339-2025-06-30</v>
      </c>
    </row>
    <row r="359" spans="1:31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  <c r="AE359" t="e">
        <f>VLOOKUP(Q359,'[1]Consolidado Cierres'!$Q$2:$Q$1399,1,0)</f>
        <v>#N/A</v>
      </c>
    </row>
    <row r="360" spans="1:31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  <c r="AE360" t="str">
        <f>VLOOKUP(Q360,'[1]Consolidado Cierres'!$Q$2:$Q$1399,1,0)</f>
        <v>361-2023-12-31</v>
      </c>
    </row>
    <row r="361" spans="1:31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  <c r="AE361" t="str">
        <f>VLOOKUP(Q361,'[1]Consolidado Cierres'!$Q$2:$Q$1399,1,0)</f>
        <v>361-2023-12-31</v>
      </c>
    </row>
    <row r="362" spans="1:31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  <c r="AE362" t="str">
        <f>VLOOKUP(Q362,'[1]Consolidado Cierres'!$Q$2:$Q$1399,1,0)</f>
        <v>361-2025-12-31</v>
      </c>
    </row>
    <row r="363" spans="1:31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  <c r="AE363" t="str">
        <f>VLOOKUP(Q363,'[1]Consolidado Cierres'!$Q$2:$Q$1399,1,0)</f>
        <v>361-2025-12-31</v>
      </c>
    </row>
    <row r="364" spans="1:31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  <c r="AE364" t="e">
        <f>VLOOKUP(Q364,'[1]Consolidado Cierres'!$Q$2:$Q$1399,1,0)</f>
        <v>#N/A</v>
      </c>
    </row>
    <row r="365" spans="1:31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  <c r="AE365" t="str">
        <f>VLOOKUP(Q365,'[1]Consolidado Cierres'!$Q$2:$Q$1399,1,0)</f>
        <v>364-2023-12-31</v>
      </c>
    </row>
    <row r="366" spans="1:31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  <c r="AE366" t="str">
        <f>VLOOKUP(Q366,'[1]Consolidado Cierres'!$Q$2:$Q$1399,1,0)</f>
        <v>364-2023-12-31</v>
      </c>
    </row>
    <row r="367" spans="1:31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  <c r="AE367" t="e">
        <f>VLOOKUP(Q367,'[1]Consolidado Cierres'!$Q$2:$Q$1399,1,0)</f>
        <v>#N/A</v>
      </c>
    </row>
    <row r="368" spans="1:31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  <c r="AE368" t="str">
        <f>VLOOKUP(Q368,'[1]Consolidado Cierres'!$Q$2:$Q$1399,1,0)</f>
        <v>364-2024-12-31</v>
      </c>
    </row>
    <row r="369" spans="1:31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  <c r="AE369" t="str">
        <f>VLOOKUP(Q369,'[1]Consolidado Cierres'!$Q$2:$Q$1399,1,0)</f>
        <v>364-2024-12-31</v>
      </c>
    </row>
    <row r="370" spans="1:31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  <c r="AE370" t="str">
        <f>VLOOKUP(Q370,'[1]Consolidado Cierres'!$Q$2:$Q$1399,1,0)</f>
        <v>364-2025-06-30</v>
      </c>
    </row>
    <row r="371" spans="1:31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  <c r="AE371" t="e">
        <f>VLOOKUP(Q371,'[1]Consolidado Cierres'!$Q$2:$Q$1399,1,0)</f>
        <v>#N/A</v>
      </c>
    </row>
    <row r="372" spans="1:31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3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  <c r="AE372" t="str">
        <f>VLOOKUP(Q372,'[1]Consolidado Cierres'!$Q$2:$Q$1399,1,0)</f>
        <v>367-2022-12-31</v>
      </c>
    </row>
    <row r="373" spans="1:31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3"/>
        <v>1.25</v>
      </c>
      <c r="N373" s="3">
        <f t="shared" ref="N373:N377" si="54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  <c r="AE373" t="str">
        <f>VLOOKUP(Q373,'[1]Consolidado Cierres'!$Q$2:$Q$1399,1,0)</f>
        <v>367-2023-12-31</v>
      </c>
    </row>
    <row r="374" spans="1:31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3"/>
        <v>1.25</v>
      </c>
      <c r="N374" s="3">
        <f t="shared" si="54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  <c r="AE374" t="str">
        <f>VLOOKUP(Q374,'[1]Consolidado Cierres'!$Q$2:$Q$1399,1,0)</f>
        <v>367-2023-12-31</v>
      </c>
    </row>
    <row r="375" spans="1:31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3"/>
        <v>0.99199999999999999</v>
      </c>
      <c r="N375" s="3">
        <f t="shared" si="54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  <c r="AE375" t="str">
        <f>VLOOKUP(Q375,'[1]Consolidado Cierres'!$Q$2:$Q$1399,1,0)</f>
        <v>367-2024-12-31</v>
      </c>
    </row>
    <row r="376" spans="1:31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3"/>
        <v>0.99199999999999999</v>
      </c>
      <c r="N376" s="3">
        <f t="shared" si="54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  <c r="AE376" t="str">
        <f>VLOOKUP(Q376,'[1]Consolidado Cierres'!$Q$2:$Q$1399,1,0)</f>
        <v>367-2024-12-31</v>
      </c>
    </row>
    <row r="377" spans="1:31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3"/>
        <v>0.76400000000000001</v>
      </c>
      <c r="N377" s="3">
        <f t="shared" si="54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  <c r="AE377" t="e">
        <f>VLOOKUP(Q377,'[1]Consolidado Cierres'!$Q$2:$Q$1399,1,0)</f>
        <v>#N/A</v>
      </c>
    </row>
    <row r="378" spans="1:31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  <c r="AE378" t="e">
        <f>VLOOKUP(Q378,'[1]Consolidado Cierres'!$Q$2:$Q$1399,1,0)</f>
        <v>#N/A</v>
      </c>
    </row>
    <row r="379" spans="1:31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  <c r="AE379" t="str">
        <f>VLOOKUP(Q379,'[1]Consolidado Cierres'!$Q$2:$Q$1399,1,0)</f>
        <v>369-2023-12-31</v>
      </c>
    </row>
    <row r="380" spans="1:31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  <c r="AE380" t="str">
        <f>VLOOKUP(Q380,'[1]Consolidado Cierres'!$Q$2:$Q$1399,1,0)</f>
        <v>369-2023-12-31</v>
      </c>
    </row>
    <row r="381" spans="1:31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5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  <c r="AE381" t="e">
        <f>VLOOKUP(Q381,'[1]Consolidado Cierres'!$Q$2:$Q$1399,1,0)</f>
        <v>#N/A</v>
      </c>
    </row>
    <row r="382" spans="1:31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6">+L382/K382</f>
        <v>0.71296296296296291</v>
      </c>
      <c r="N382" s="3">
        <f t="shared" si="55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  <c r="AE382" t="str">
        <f>VLOOKUP(Q382,'[1]Consolidado Cierres'!$Q$2:$Q$1399,1,0)</f>
        <v>369-2024-12-31</v>
      </c>
    </row>
    <row r="383" spans="1:31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6"/>
        <v>0.73404255319148937</v>
      </c>
      <c r="N383" s="3">
        <f t="shared" si="55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  <c r="AE383" t="str">
        <f>VLOOKUP(Q383,'[1]Consolidado Cierres'!$Q$2:$Q$1399,1,0)</f>
        <v>369-2024-12-31</v>
      </c>
    </row>
    <row r="384" spans="1:31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6"/>
        <v>0.88888888888888884</v>
      </c>
      <c r="N384" s="3">
        <f t="shared" si="55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  <c r="AE384" t="str">
        <f>VLOOKUP(Q384,'[1]Consolidado Cierres'!$Q$2:$Q$1399,1,0)</f>
        <v>369-2025-06-30</v>
      </c>
    </row>
    <row r="385" spans="1:31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6"/>
        <v>1.0825688073394495</v>
      </c>
      <c r="N385" s="3">
        <f t="shared" si="55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  <c r="AE385" t="e">
        <f>VLOOKUP(Q385,'[1]Consolidado Cierres'!$Q$2:$Q$1399,1,0)</f>
        <v>#N/A</v>
      </c>
    </row>
    <row r="386" spans="1:31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5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  <c r="AE386" t="str">
        <f>VLOOKUP(Q386,'[1]Consolidado Cierres'!$Q$2:$Q$1399,1,0)</f>
        <v>376-2022-12-30</v>
      </c>
    </row>
    <row r="387" spans="1:31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7">+L387/K387</f>
        <v>1.5027390438247012</v>
      </c>
      <c r="N387" s="3">
        <f t="shared" ref="N387:N393" si="58">+L387/K387</f>
        <v>1.5027390438247012</v>
      </c>
      <c r="O387" s="3" t="s">
        <v>143</v>
      </c>
      <c r="P387" s="3" t="s">
        <v>143</v>
      </c>
      <c r="Q387" s="3" t="str">
        <f t="shared" ref="Q387:Q450" si="59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  <c r="AE387" t="str">
        <f>VLOOKUP(Q387,'[1]Consolidado Cierres'!$Q$2:$Q$1399,1,0)</f>
        <v>376-2022-12-30</v>
      </c>
    </row>
    <row r="388" spans="1:31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7"/>
        <v>1.0126417845079374</v>
      </c>
      <c r="N388" s="3">
        <f t="shared" si="58"/>
        <v>1.0126417845079374</v>
      </c>
      <c r="O388" s="3" t="s">
        <v>143</v>
      </c>
      <c r="P388" s="3" t="s">
        <v>143</v>
      </c>
      <c r="Q388" s="3" t="str">
        <f t="shared" si="59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  <c r="AE388" t="str">
        <f>VLOOKUP(Q388,'[1]Consolidado Cierres'!$Q$2:$Q$1399,1,0)</f>
        <v>376-2023-12-31</v>
      </c>
    </row>
    <row r="389" spans="1:31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7"/>
        <v>1.0126417845079394</v>
      </c>
      <c r="N389" s="3">
        <f t="shared" si="58"/>
        <v>1.0126417845079394</v>
      </c>
      <c r="O389" s="3" t="s">
        <v>143</v>
      </c>
      <c r="P389" s="3" t="s">
        <v>143</v>
      </c>
      <c r="Q389" s="3" t="str">
        <f t="shared" si="59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  <c r="AE389" t="str">
        <f>VLOOKUP(Q389,'[1]Consolidado Cierres'!$Q$2:$Q$1399,1,0)</f>
        <v>376-2023-12-31</v>
      </c>
    </row>
    <row r="390" spans="1:31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7"/>
        <v>1.0909960747143497</v>
      </c>
      <c r="N390" s="3">
        <f t="shared" si="58"/>
        <v>1.0909960747143497</v>
      </c>
      <c r="O390" s="3" t="s">
        <v>143</v>
      </c>
      <c r="P390" s="3" t="s">
        <v>143</v>
      </c>
      <c r="Q390" s="3" t="str">
        <f t="shared" si="59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  <c r="AE390" t="str">
        <f>VLOOKUP(Q390,'[1]Consolidado Cierres'!$Q$2:$Q$1399,1,0)</f>
        <v>376-2024-12-31</v>
      </c>
    </row>
    <row r="391" spans="1:31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7"/>
        <v>1.0909960747143497</v>
      </c>
      <c r="N391" s="3">
        <f t="shared" si="58"/>
        <v>1.0909960747143497</v>
      </c>
      <c r="O391" s="3" t="s">
        <v>143</v>
      </c>
      <c r="P391" s="3" t="s">
        <v>143</v>
      </c>
      <c r="Q391" s="3" t="str">
        <f t="shared" si="59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  <c r="AE391" t="str">
        <f>VLOOKUP(Q391,'[1]Consolidado Cierres'!$Q$2:$Q$1399,1,0)</f>
        <v>376-2024-12-31</v>
      </c>
    </row>
    <row r="392" spans="1:31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7"/>
        <v>1.0000124185469585</v>
      </c>
      <c r="N392" s="3">
        <f t="shared" si="58"/>
        <v>1.0000124185469585</v>
      </c>
      <c r="O392" s="3" t="s">
        <v>143</v>
      </c>
      <c r="P392" s="3" t="s">
        <v>143</v>
      </c>
      <c r="Q392" s="3" t="str">
        <f t="shared" si="59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  <c r="AE392" t="e">
        <f>VLOOKUP(Q392,'[1]Consolidado Cierres'!$Q$2:$Q$1399,1,0)</f>
        <v>#N/A</v>
      </c>
    </row>
    <row r="393" spans="1:31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7"/>
        <v>1.0000124185469585</v>
      </c>
      <c r="N393" s="3">
        <f t="shared" si="58"/>
        <v>1.0000124185469585</v>
      </c>
      <c r="O393" s="3" t="s">
        <v>143</v>
      </c>
      <c r="P393" s="3" t="s">
        <v>143</v>
      </c>
      <c r="Q393" s="3" t="str">
        <f t="shared" si="59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  <c r="AE393" t="e">
        <f>VLOOKUP(Q393,'[1]Consolidado Cierres'!$Q$2:$Q$1399,1,0)</f>
        <v>#N/A</v>
      </c>
    </row>
    <row r="394" spans="1:31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9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  <c r="AE394" t="str">
        <f>VLOOKUP(Q394,'[1]Consolidado Cierres'!$Q$2:$Q$1399,1,0)</f>
        <v>377-2023-12-31</v>
      </c>
    </row>
    <row r="395" spans="1:31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9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  <c r="AE395" t="str">
        <f>VLOOKUP(Q395,'[1]Consolidado Cierres'!$Q$2:$Q$1399,1,0)</f>
        <v>377-2023-12-31</v>
      </c>
    </row>
    <row r="396" spans="1:31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9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  <c r="AE396" t="str">
        <f>VLOOKUP(Q396,'[1]Consolidado Cierres'!$Q$2:$Q$1399,1,0)</f>
        <v>377-2024-12-31</v>
      </c>
    </row>
    <row r="397" spans="1:31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9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  <c r="AE397" t="str">
        <f>VLOOKUP(Q397,'[1]Consolidado Cierres'!$Q$2:$Q$1399,1,0)</f>
        <v>377-2024-12-31</v>
      </c>
    </row>
    <row r="398" spans="1:31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9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  <c r="AE398" t="e">
        <f>VLOOKUP(Q398,'[1]Consolidado Cierres'!$Q$2:$Q$1399,1,0)</f>
        <v>#N/A</v>
      </c>
    </row>
    <row r="399" spans="1:31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9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  <c r="AE399" t="e">
        <f>VLOOKUP(Q399,'[1]Consolidado Cierres'!$Q$2:$Q$1399,1,0)</f>
        <v>#N/A</v>
      </c>
    </row>
    <row r="400" spans="1:31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9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  <c r="AE400" t="e">
        <f>VLOOKUP(Q400,'[1]Consolidado Cierres'!$Q$2:$Q$1399,1,0)</f>
        <v>#N/A</v>
      </c>
    </row>
    <row r="401" spans="1:31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9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  <c r="AE401" t="e">
        <f>VLOOKUP(Q401,'[1]Consolidado Cierres'!$Q$2:$Q$1399,1,0)</f>
        <v>#N/A</v>
      </c>
    </row>
    <row r="402" spans="1:31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9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  <c r="AE402" t="e">
        <f>VLOOKUP(Q402,'[1]Consolidado Cierres'!$Q$2:$Q$1399,1,0)</f>
        <v>#N/A</v>
      </c>
    </row>
    <row r="403" spans="1:31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9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  <c r="AE403" t="e">
        <f>VLOOKUP(Q403,'[1]Consolidado Cierres'!$Q$2:$Q$1399,1,0)</f>
        <v>#N/A</v>
      </c>
    </row>
    <row r="404" spans="1:31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9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  <c r="AE404" t="e">
        <f>VLOOKUP(Q404,'[1]Consolidado Cierres'!$Q$2:$Q$1399,1,0)</f>
        <v>#N/A</v>
      </c>
    </row>
    <row r="405" spans="1:31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9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  <c r="AE405" t="e">
        <f>VLOOKUP(Q405,'[1]Consolidado Cierres'!$Q$2:$Q$1399,1,0)</f>
        <v>#N/A</v>
      </c>
    </row>
    <row r="406" spans="1:31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9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  <c r="AE406" t="e">
        <f>VLOOKUP(Q406,'[1]Consolidado Cierres'!$Q$2:$Q$1399,1,0)</f>
        <v>#N/A</v>
      </c>
    </row>
    <row r="407" spans="1:31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9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  <c r="AE407" t="e">
        <f>VLOOKUP(Q407,'[1]Consolidado Cierres'!$Q$2:$Q$1399,1,0)</f>
        <v>#N/A</v>
      </c>
    </row>
    <row r="408" spans="1:31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9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  <c r="AE408" t="e">
        <f>VLOOKUP(Q408,'[1]Consolidado Cierres'!$Q$2:$Q$1399,1,0)</f>
        <v>#N/A</v>
      </c>
    </row>
    <row r="409" spans="1:31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9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  <c r="AE409" t="e">
        <f>VLOOKUP(Q409,'[1]Consolidado Cierres'!$Q$2:$Q$1399,1,0)</f>
        <v>#N/A</v>
      </c>
    </row>
    <row r="410" spans="1:31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9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  <c r="AE410" t="e">
        <f>VLOOKUP(Q410,'[1]Consolidado Cierres'!$Q$2:$Q$1399,1,0)</f>
        <v>#N/A</v>
      </c>
    </row>
    <row r="411" spans="1:31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9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  <c r="AE411" t="e">
        <f>VLOOKUP(Q411,'[1]Consolidado Cierres'!$Q$2:$Q$1399,1,0)</f>
        <v>#N/A</v>
      </c>
    </row>
    <row r="412" spans="1:31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3">+L412/K412</f>
        <v>1.0419930374238469</v>
      </c>
      <c r="N412" s="3">
        <f t="shared" ref="N412:N421" si="64">+L412/K412</f>
        <v>1.0419930374238469</v>
      </c>
      <c r="O412" s="3" t="s">
        <v>35</v>
      </c>
      <c r="P412" s="3" t="s">
        <v>35</v>
      </c>
      <c r="Q412" s="3" t="str">
        <f t="shared" si="59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  <c r="AE412" t="str">
        <f>VLOOKUP(Q412,'[1]Consolidado Cierres'!$Q$2:$Q$1399,1,0)</f>
        <v>379-2022-12-31</v>
      </c>
    </row>
    <row r="413" spans="1:31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3"/>
        <v>1.0295000000000001</v>
      </c>
      <c r="N413" s="3">
        <f t="shared" si="64"/>
        <v>1.0295000000000001</v>
      </c>
      <c r="O413" s="3" t="s">
        <v>35</v>
      </c>
      <c r="P413" s="3" t="s">
        <v>35</v>
      </c>
      <c r="Q413" s="3" t="str">
        <f t="shared" si="59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  <c r="AE413" t="str">
        <f>VLOOKUP(Q413,'[1]Consolidado Cierres'!$Q$2:$Q$1399,1,0)</f>
        <v>379-2022-12-31</v>
      </c>
    </row>
    <row r="414" spans="1:31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3"/>
        <v>1.0207749381698268</v>
      </c>
      <c r="N414" s="3">
        <f t="shared" si="64"/>
        <v>1.0207749381698268</v>
      </c>
      <c r="O414" s="3" t="s">
        <v>35</v>
      </c>
      <c r="P414" s="3" t="s">
        <v>35</v>
      </c>
      <c r="Q414" s="3" t="str">
        <f t="shared" si="59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  <c r="AE414" t="e">
        <f>VLOOKUP(Q414,'[1]Consolidado Cierres'!$Q$2:$Q$1399,1,0)</f>
        <v>#N/A</v>
      </c>
    </row>
    <row r="415" spans="1:31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3"/>
        <v>1.0738153098420413</v>
      </c>
      <c r="N415" s="3">
        <f t="shared" si="64"/>
        <v>1.0738153098420413</v>
      </c>
      <c r="O415" s="3" t="s">
        <v>35</v>
      </c>
      <c r="P415" s="3" t="s">
        <v>35</v>
      </c>
      <c r="Q415" s="3" t="str">
        <f t="shared" si="59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  <c r="AE415" t="str">
        <f>VLOOKUP(Q415,'[1]Consolidado Cierres'!$Q$2:$Q$1399,1,0)</f>
        <v>379-2023-12-31</v>
      </c>
    </row>
    <row r="416" spans="1:31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3"/>
        <v>1.0445787512496592</v>
      </c>
      <c r="N416" s="3">
        <f t="shared" si="64"/>
        <v>1.0445787512496592</v>
      </c>
      <c r="O416" s="3" t="s">
        <v>35</v>
      </c>
      <c r="P416" s="3" t="s">
        <v>35</v>
      </c>
      <c r="Q416" s="3" t="str">
        <f t="shared" si="59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  <c r="AE416" t="str">
        <f>VLOOKUP(Q416,'[1]Consolidado Cierres'!$Q$2:$Q$1399,1,0)</f>
        <v>379-2023-12-31</v>
      </c>
    </row>
    <row r="417" spans="1:31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3"/>
        <v>0.95562913907284763</v>
      </c>
      <c r="N417" s="3">
        <f t="shared" si="64"/>
        <v>0.95562913907284763</v>
      </c>
      <c r="O417" s="3" t="s">
        <v>35</v>
      </c>
      <c r="P417" s="3" t="s">
        <v>35</v>
      </c>
      <c r="Q417" s="3" t="str">
        <f t="shared" si="59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  <c r="AE417" t="e">
        <f>VLOOKUP(Q417,'[1]Consolidado Cierres'!$Q$2:$Q$1399,1,0)</f>
        <v>#N/A</v>
      </c>
    </row>
    <row r="418" spans="1:31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3"/>
        <v>0.99007025761124123</v>
      </c>
      <c r="N418" s="3">
        <f t="shared" si="64"/>
        <v>0.99007025761124123</v>
      </c>
      <c r="O418" s="3" t="s">
        <v>35</v>
      </c>
      <c r="P418" s="3" t="s">
        <v>35</v>
      </c>
      <c r="Q418" s="3" t="str">
        <f t="shared" si="59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  <c r="AE418" t="str">
        <f>VLOOKUP(Q418,'[1]Consolidado Cierres'!$Q$2:$Q$1399,1,0)</f>
        <v>379-2024-12-31</v>
      </c>
    </row>
    <row r="419" spans="1:31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3"/>
        <v>0.97078096023078508</v>
      </c>
      <c r="N419" s="3">
        <f t="shared" si="64"/>
        <v>0.97078096023078508</v>
      </c>
      <c r="O419" s="3" t="s">
        <v>35</v>
      </c>
      <c r="P419" s="3" t="s">
        <v>35</v>
      </c>
      <c r="Q419" s="3" t="str">
        <f t="shared" si="59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  <c r="AE419" t="str">
        <f>VLOOKUP(Q419,'[1]Consolidado Cierres'!$Q$2:$Q$1399,1,0)</f>
        <v>379-2024-12-31</v>
      </c>
    </row>
    <row r="420" spans="1:31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3"/>
        <v>1.0390917775001838</v>
      </c>
      <c r="N420" s="3">
        <f t="shared" si="64"/>
        <v>1.0390917775001838</v>
      </c>
      <c r="O420" s="3" t="s">
        <v>35</v>
      </c>
      <c r="P420" s="3" t="s">
        <v>35</v>
      </c>
      <c r="Q420" s="3" t="str">
        <f t="shared" si="59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  <c r="AE420" t="str">
        <f>VLOOKUP(Q420,'[1]Consolidado Cierres'!$Q$2:$Q$1399,1,0)</f>
        <v>379-2025-06-30</v>
      </c>
    </row>
    <row r="421" spans="1:31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3"/>
        <v>1.0241401216081314</v>
      </c>
      <c r="N421" s="3">
        <f t="shared" si="64"/>
        <v>1.0241401216081314</v>
      </c>
      <c r="O421" s="3" t="s">
        <v>35</v>
      </c>
      <c r="P421" s="3" t="s">
        <v>35</v>
      </c>
      <c r="Q421" s="3" t="str">
        <f t="shared" si="59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  <c r="AE421" t="e">
        <f>VLOOKUP(Q421,'[1]Consolidado Cierres'!$Q$2:$Q$1399,1,0)</f>
        <v>#N/A</v>
      </c>
    </row>
    <row r="422" spans="1:31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9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  <c r="AE422" t="str">
        <f>VLOOKUP(Q422,'[1]Consolidado Cierres'!$Q$2:$Q$1399,1,0)</f>
        <v>385-2022-12-31</v>
      </c>
    </row>
    <row r="423" spans="1:31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5">L423/K423</f>
        <v>0.75108988032332902</v>
      </c>
      <c r="N423" s="3">
        <f t="shared" ref="N423:N428" si="66">L423/K423</f>
        <v>0.75108988032332902</v>
      </c>
      <c r="O423" s="3" t="s">
        <v>143</v>
      </c>
      <c r="P423" s="3" t="s">
        <v>143</v>
      </c>
      <c r="Q423" s="3" t="str">
        <f t="shared" si="59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  <c r="AE423" t="str">
        <f>VLOOKUP(Q423,'[1]Consolidado Cierres'!$Q$2:$Q$1399,1,0)</f>
        <v>385-2022-12-31</v>
      </c>
    </row>
    <row r="424" spans="1:31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5"/>
        <v>1.2553149921891629</v>
      </c>
      <c r="N424" s="3">
        <f t="shared" si="66"/>
        <v>1.2553149921891629</v>
      </c>
      <c r="O424" s="3" t="s">
        <v>143</v>
      </c>
      <c r="P424" s="3" t="s">
        <v>143</v>
      </c>
      <c r="Q424" s="3" t="str">
        <f t="shared" si="59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  <c r="AE424" t="str">
        <f>VLOOKUP(Q424,'[1]Consolidado Cierres'!$Q$2:$Q$1399,1,0)</f>
        <v>385-2023-12-31</v>
      </c>
    </row>
    <row r="425" spans="1:31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5"/>
        <v>1.2553149921891629</v>
      </c>
      <c r="N425" s="3">
        <f t="shared" si="66"/>
        <v>1.2553149921891629</v>
      </c>
      <c r="O425" s="3" t="s">
        <v>143</v>
      </c>
      <c r="P425" s="3" t="s">
        <v>143</v>
      </c>
      <c r="Q425" s="3" t="str">
        <f t="shared" si="59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  <c r="AE425" t="str">
        <f>VLOOKUP(Q425,'[1]Consolidado Cierres'!$Q$2:$Q$1399,1,0)</f>
        <v>385-2023-12-31</v>
      </c>
    </row>
    <row r="426" spans="1:31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5"/>
        <v>0.85398321724869886</v>
      </c>
      <c r="N426" s="3">
        <f t="shared" si="66"/>
        <v>0.85398321724869886</v>
      </c>
      <c r="O426" s="3" t="s">
        <v>143</v>
      </c>
      <c r="P426" s="3" t="s">
        <v>143</v>
      </c>
      <c r="Q426" s="3" t="str">
        <f t="shared" si="59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  <c r="AE426" t="str">
        <f>VLOOKUP(Q426,'[1]Consolidado Cierres'!$Q$2:$Q$1399,1,0)</f>
        <v>385-2024-12-31</v>
      </c>
    </row>
    <row r="427" spans="1:31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5"/>
        <v>0.85398321724869886</v>
      </c>
      <c r="N427" s="3">
        <f t="shared" si="66"/>
        <v>0.85398321724869886</v>
      </c>
      <c r="O427" s="3" t="s">
        <v>143</v>
      </c>
      <c r="P427" s="3" t="s">
        <v>143</v>
      </c>
      <c r="Q427" s="3" t="str">
        <f t="shared" si="59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  <c r="AE427" t="str">
        <f>VLOOKUP(Q427,'[1]Consolidado Cierres'!$Q$2:$Q$1399,1,0)</f>
        <v>385-2024-12-31</v>
      </c>
    </row>
    <row r="428" spans="1:31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5"/>
        <v>1.0174699697553735</v>
      </c>
      <c r="N428" s="3">
        <f t="shared" si="66"/>
        <v>1.0174699697553735</v>
      </c>
      <c r="O428" s="3" t="s">
        <v>143</v>
      </c>
      <c r="P428" s="3" t="s">
        <v>143</v>
      </c>
      <c r="Q428" s="3" t="str">
        <f t="shared" si="59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  <c r="AE428" t="e">
        <f>VLOOKUP(Q428,'[1]Consolidado Cierres'!$Q$2:$Q$1399,1,0)</f>
        <v>#N/A</v>
      </c>
    </row>
    <row r="429" spans="1:31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7">+L429/K429</f>
        <v>1</v>
      </c>
      <c r="O429" s="3" t="s">
        <v>143</v>
      </c>
      <c r="P429" s="3" t="s">
        <v>143</v>
      </c>
      <c r="Q429" s="3" t="str">
        <f t="shared" si="59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  <c r="AE429" t="e">
        <f>VLOOKUP(Q429,'[1]Consolidado Cierres'!$Q$2:$Q$1399,1,0)</f>
        <v>#N/A</v>
      </c>
    </row>
    <row r="430" spans="1:31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7"/>
        <v>1</v>
      </c>
      <c r="O430" s="3" t="s">
        <v>143</v>
      </c>
      <c r="P430" s="3" t="s">
        <v>143</v>
      </c>
      <c r="Q430" s="3" t="str">
        <f t="shared" si="59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  <c r="AE430" t="e">
        <f>VLOOKUP(Q430,'[1]Consolidado Cierres'!$Q$2:$Q$1399,1,0)</f>
        <v>#N/A</v>
      </c>
    </row>
    <row r="431" spans="1:31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7"/>
        <v>2.7839074929774967</v>
      </c>
      <c r="O431" s="3" t="s">
        <v>143</v>
      </c>
      <c r="P431" s="3" t="s">
        <v>143</v>
      </c>
      <c r="Q431" s="3" t="str">
        <f t="shared" si="59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  <c r="AE431" t="e">
        <f>VLOOKUP(Q431,'[1]Consolidado Cierres'!$Q$2:$Q$1399,1,0)</f>
        <v>#N/A</v>
      </c>
    </row>
    <row r="432" spans="1:31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8">IF(+L432/K432&gt;1.3,1.3,L432/K432)</f>
        <v>1.3</v>
      </c>
      <c r="N432" s="3">
        <f t="shared" si="67"/>
        <v>2.7839074929774967</v>
      </c>
      <c r="O432" s="3" t="s">
        <v>143</v>
      </c>
      <c r="P432" s="3" t="s">
        <v>143</v>
      </c>
      <c r="Q432" s="3" t="str">
        <f t="shared" si="59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  <c r="AE432" t="e">
        <f>VLOOKUP(Q432,'[1]Consolidado Cierres'!$Q$2:$Q$1399,1,0)</f>
        <v>#N/A</v>
      </c>
    </row>
    <row r="433" spans="1:31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8"/>
        <v>1.3</v>
      </c>
      <c r="N433" s="3">
        <f t="shared" si="67"/>
        <v>1.3708904125402521</v>
      </c>
      <c r="O433" s="3" t="s">
        <v>143</v>
      </c>
      <c r="P433" s="3" t="s">
        <v>143</v>
      </c>
      <c r="Q433" s="3" t="str">
        <f t="shared" si="59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  <c r="AE433" t="e">
        <f>VLOOKUP(Q433,'[1]Consolidado Cierres'!$Q$2:$Q$1399,1,0)</f>
        <v>#N/A</v>
      </c>
    </row>
    <row r="434" spans="1:31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8"/>
        <v>1.3</v>
      </c>
      <c r="N434" s="3">
        <f t="shared" si="67"/>
        <v>1.3708904125402521</v>
      </c>
      <c r="O434" s="3" t="s">
        <v>143</v>
      </c>
      <c r="P434" s="3" t="s">
        <v>143</v>
      </c>
      <c r="Q434" s="3" t="str">
        <f t="shared" si="59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  <c r="AE434" t="e">
        <f>VLOOKUP(Q434,'[1]Consolidado Cierres'!$Q$2:$Q$1399,1,0)</f>
        <v>#N/A</v>
      </c>
    </row>
    <row r="435" spans="1:31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8"/>
        <v>0.75875626783059102</v>
      </c>
      <c r="N435" s="3">
        <f t="shared" si="67"/>
        <v>0.75875626783059102</v>
      </c>
      <c r="O435" s="3" t="s">
        <v>143</v>
      </c>
      <c r="P435" s="3" t="s">
        <v>143</v>
      </c>
      <c r="Q435" s="3" t="str">
        <f t="shared" si="59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  <c r="AE435" t="e">
        <f>VLOOKUP(Q435,'[1]Consolidado Cierres'!$Q$2:$Q$1399,1,0)</f>
        <v>#N/A</v>
      </c>
    </row>
    <row r="436" spans="1:31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9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  <c r="AE436" t="e">
        <f>VLOOKUP(Q436,'[1]Consolidado Cierres'!$Q$2:$Q$1399,1,0)</f>
        <v>#N/A</v>
      </c>
    </row>
    <row r="437" spans="1:31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9">L437/K437</f>
        <v>1</v>
      </c>
      <c r="O437" s="3" t="s">
        <v>143</v>
      </c>
      <c r="P437" s="3" t="s">
        <v>143</v>
      </c>
      <c r="Q437" s="3" t="str">
        <f t="shared" si="59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  <c r="AE437" t="e">
        <f>VLOOKUP(Q437,'[1]Consolidado Cierres'!$Q$2:$Q$1399,1,0)</f>
        <v>#N/A</v>
      </c>
    </row>
    <row r="438" spans="1:31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0">L438/K438</f>
        <v>1.393450174618678</v>
      </c>
      <c r="N438" s="3">
        <f t="shared" si="69"/>
        <v>1.393450174618678</v>
      </c>
      <c r="O438" s="3" t="s">
        <v>143</v>
      </c>
      <c r="P438" s="3" t="s">
        <v>143</v>
      </c>
      <c r="Q438" s="3" t="str">
        <f t="shared" si="59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  <c r="AE438" t="e">
        <f>VLOOKUP(Q438,'[1]Consolidado Cierres'!$Q$2:$Q$1399,1,0)</f>
        <v>#N/A</v>
      </c>
    </row>
    <row r="439" spans="1:31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0"/>
        <v>1.393450174618678</v>
      </c>
      <c r="N439" s="3">
        <f t="shared" si="69"/>
        <v>1.393450174618678</v>
      </c>
      <c r="O439" s="3" t="s">
        <v>143</v>
      </c>
      <c r="P439" s="3" t="s">
        <v>143</v>
      </c>
      <c r="Q439" s="3" t="str">
        <f t="shared" si="59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  <c r="AE439" t="e">
        <f>VLOOKUP(Q439,'[1]Consolidado Cierres'!$Q$2:$Q$1399,1,0)</f>
        <v>#N/A</v>
      </c>
    </row>
    <row r="440" spans="1:31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0"/>
        <v>0.54086603411912804</v>
      </c>
      <c r="N440" s="3">
        <f t="shared" si="69"/>
        <v>0.54086603411912804</v>
      </c>
      <c r="O440" s="3" t="s">
        <v>143</v>
      </c>
      <c r="P440" s="3" t="s">
        <v>143</v>
      </c>
      <c r="Q440" s="3" t="str">
        <f t="shared" si="59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  <c r="AE440" t="e">
        <f>VLOOKUP(Q440,'[1]Consolidado Cierres'!$Q$2:$Q$1399,1,0)</f>
        <v>#N/A</v>
      </c>
    </row>
    <row r="441" spans="1:31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0"/>
        <v>0.54086603411912804</v>
      </c>
      <c r="N441" s="3">
        <f t="shared" si="69"/>
        <v>0.54086603411912804</v>
      </c>
      <c r="O441" s="3" t="s">
        <v>143</v>
      </c>
      <c r="P441" s="3" t="s">
        <v>143</v>
      </c>
      <c r="Q441" s="3" t="str">
        <f t="shared" si="59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  <c r="AE441" t="e">
        <f>VLOOKUP(Q441,'[1]Consolidado Cierres'!$Q$2:$Q$1399,1,0)</f>
        <v>#N/A</v>
      </c>
    </row>
    <row r="442" spans="1:31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0"/>
        <v>1.0487700727767424</v>
      </c>
      <c r="N442" s="3">
        <f t="shared" si="69"/>
        <v>1.0487700727767424</v>
      </c>
      <c r="O442" s="3" t="s">
        <v>143</v>
      </c>
      <c r="P442" s="3" t="s">
        <v>143</v>
      </c>
      <c r="Q442" s="3" t="str">
        <f t="shared" si="59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  <c r="AE442" t="e">
        <f>VLOOKUP(Q442,'[1]Consolidado Cierres'!$Q$2:$Q$1399,1,0)</f>
        <v>#N/A</v>
      </c>
    </row>
    <row r="443" spans="1:31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0"/>
        <v>1.0487700727767424</v>
      </c>
      <c r="N443" s="3">
        <f t="shared" si="69"/>
        <v>1.0487700727767424</v>
      </c>
      <c r="O443" s="3" t="s">
        <v>143</v>
      </c>
      <c r="P443" s="3" t="s">
        <v>143</v>
      </c>
      <c r="Q443" s="3" t="str">
        <f t="shared" si="59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  <c r="AE443" t="e">
        <f>VLOOKUP(Q443,'[1]Consolidado Cierres'!$Q$2:$Q$1399,1,0)</f>
        <v>#N/A</v>
      </c>
    </row>
    <row r="444" spans="1:31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9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  <c r="AE444" t="e">
        <f>VLOOKUP(Q444,'[1]Consolidado Cierres'!$Q$2:$Q$1399,1,0)</f>
        <v>#N/A</v>
      </c>
    </row>
    <row r="445" spans="1:31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1">IF(L445/K445&gt;1.3,1.3,L445/K445)</f>
        <v>1</v>
      </c>
      <c r="N445" s="3">
        <f t="shared" ref="N445:N451" si="72">L445/K445</f>
        <v>1</v>
      </c>
      <c r="O445" s="3" t="s">
        <v>143</v>
      </c>
      <c r="P445" s="3" t="s">
        <v>143</v>
      </c>
      <c r="Q445" s="3" t="str">
        <f t="shared" si="59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  <c r="AE445" t="e">
        <f>VLOOKUP(Q445,'[1]Consolidado Cierres'!$Q$2:$Q$1399,1,0)</f>
        <v>#N/A</v>
      </c>
    </row>
    <row r="446" spans="1:31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1"/>
        <v>0.71558444628256934</v>
      </c>
      <c r="N446" s="3">
        <f t="shared" si="72"/>
        <v>0.71558444628256934</v>
      </c>
      <c r="O446" s="3" t="s">
        <v>143</v>
      </c>
      <c r="P446" s="3" t="s">
        <v>143</v>
      </c>
      <c r="Q446" s="3" t="str">
        <f t="shared" si="59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  <c r="AE446" t="e">
        <f>VLOOKUP(Q446,'[1]Consolidado Cierres'!$Q$2:$Q$1399,1,0)</f>
        <v>#N/A</v>
      </c>
    </row>
    <row r="447" spans="1:31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1"/>
        <v>0.71558444628256934</v>
      </c>
      <c r="N447" s="3">
        <f t="shared" si="72"/>
        <v>0.71558444628256934</v>
      </c>
      <c r="O447" s="3" t="s">
        <v>143</v>
      </c>
      <c r="P447" s="3" t="s">
        <v>143</v>
      </c>
      <c r="Q447" s="3" t="str">
        <f t="shared" si="59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  <c r="AE447" t="e">
        <f>VLOOKUP(Q447,'[1]Consolidado Cierres'!$Q$2:$Q$1399,1,0)</f>
        <v>#N/A</v>
      </c>
    </row>
    <row r="448" spans="1:31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1"/>
        <v>1.0013905729387031</v>
      </c>
      <c r="N448" s="3">
        <f t="shared" si="72"/>
        <v>1.0013905729387031</v>
      </c>
      <c r="O448" s="3" t="s">
        <v>143</v>
      </c>
      <c r="P448" s="3" t="s">
        <v>143</v>
      </c>
      <c r="Q448" s="3" t="str">
        <f t="shared" si="59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  <c r="AE448" t="e">
        <f>VLOOKUP(Q448,'[1]Consolidado Cierres'!$Q$2:$Q$1399,1,0)</f>
        <v>#N/A</v>
      </c>
    </row>
    <row r="449" spans="1:31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1"/>
        <v>1.0013905729387031</v>
      </c>
      <c r="N449" s="3">
        <f t="shared" si="72"/>
        <v>1.0013905729387031</v>
      </c>
      <c r="O449" s="3" t="s">
        <v>143</v>
      </c>
      <c r="P449" s="3" t="s">
        <v>143</v>
      </c>
      <c r="Q449" s="3" t="str">
        <f t="shared" si="59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  <c r="AE449" t="e">
        <f>VLOOKUP(Q449,'[1]Consolidado Cierres'!$Q$2:$Q$1399,1,0)</f>
        <v>#N/A</v>
      </c>
    </row>
    <row r="450" spans="1:31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1"/>
        <v>1.1634261619768094</v>
      </c>
      <c r="N450" s="3">
        <f t="shared" si="72"/>
        <v>1.1634261619768094</v>
      </c>
      <c r="O450" s="3" t="s">
        <v>143</v>
      </c>
      <c r="P450" s="3" t="s">
        <v>143</v>
      </c>
      <c r="Q450" s="3" t="str">
        <f t="shared" si="59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  <c r="AE450" t="e">
        <f>VLOOKUP(Q450,'[1]Consolidado Cierres'!$Q$2:$Q$1399,1,0)</f>
        <v>#N/A</v>
      </c>
    </row>
    <row r="451" spans="1:31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1"/>
        <v>1.1634261619768094</v>
      </c>
      <c r="N451" s="3">
        <f t="shared" si="72"/>
        <v>1.1634261619768094</v>
      </c>
      <c r="O451" s="3" t="s">
        <v>143</v>
      </c>
      <c r="P451" s="3" t="s">
        <v>143</v>
      </c>
      <c r="Q451" s="3" t="str">
        <f t="shared" ref="Q451:Q514" si="73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  <c r="AE451" t="e">
        <f>VLOOKUP(Q451,'[1]Consolidado Cierres'!$Q$2:$Q$1399,1,0)</f>
        <v>#N/A</v>
      </c>
    </row>
    <row r="452" spans="1:31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3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  <c r="AE452" t="str">
        <f>VLOOKUP(Q452,'[1]Consolidado Cierres'!$Q$2:$Q$1399,1,0)</f>
        <v>423-2022-12-31</v>
      </c>
    </row>
    <row r="453" spans="1:31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tr">
        <f t="shared" si="73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  <c r="AE453" t="str">
        <f>VLOOKUP(Q453,'[1]Consolidado Cierres'!$Q$2:$Q$1399,1,0)</f>
        <v>423-2022-12-31</v>
      </c>
    </row>
    <row r="454" spans="1:31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tr">
        <f t="shared" si="73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  <c r="AE454" t="str">
        <f>VLOOKUP(Q454,'[1]Consolidado Cierres'!$Q$2:$Q$1399,1,0)</f>
        <v>423-2023-12-31</v>
      </c>
    </row>
    <row r="455" spans="1:31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tr">
        <f t="shared" si="73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  <c r="AE455" t="str">
        <f>VLOOKUP(Q455,'[1]Consolidado Cierres'!$Q$2:$Q$1399,1,0)</f>
        <v>423-2023-12-31</v>
      </c>
    </row>
    <row r="456" spans="1:31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tr">
        <f t="shared" si="73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  <c r="AE456" t="str">
        <f>VLOOKUP(Q456,'[1]Consolidado Cierres'!$Q$2:$Q$1399,1,0)</f>
        <v>423-2024-12-31</v>
      </c>
    </row>
    <row r="457" spans="1:31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tr">
        <f t="shared" si="73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  <c r="AE457" t="str">
        <f>VLOOKUP(Q457,'[1]Consolidado Cierres'!$Q$2:$Q$1399,1,0)</f>
        <v>423-2024-12-31</v>
      </c>
    </row>
    <row r="458" spans="1:31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tr">
        <f t="shared" si="73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  <c r="AE458" t="e">
        <f>VLOOKUP(Q458,'[1]Consolidado Cierres'!$Q$2:$Q$1399,1,0)</f>
        <v>#N/A</v>
      </c>
    </row>
    <row r="459" spans="1:31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3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  <c r="AE459" t="str">
        <f>VLOOKUP(Q459,'[1]Consolidado Cierres'!$Q$2:$Q$1399,1,0)</f>
        <v>424-2022-12-31</v>
      </c>
    </row>
    <row r="460" spans="1:31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tr">
        <f t="shared" si="73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  <c r="AE460" t="str">
        <f>VLOOKUP(Q460,'[1]Consolidado Cierres'!$Q$2:$Q$1399,1,0)</f>
        <v>424-2022-12-31</v>
      </c>
    </row>
    <row r="461" spans="1:31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tr">
        <f t="shared" si="73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  <c r="AE461" t="str">
        <f>VLOOKUP(Q461,'[1]Consolidado Cierres'!$Q$2:$Q$1399,1,0)</f>
        <v>424-2023-12-31</v>
      </c>
    </row>
    <row r="462" spans="1:31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tr">
        <f t="shared" si="73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  <c r="AE462" t="str">
        <f>VLOOKUP(Q462,'[1]Consolidado Cierres'!$Q$2:$Q$1399,1,0)</f>
        <v>424-2023-12-31</v>
      </c>
    </row>
    <row r="463" spans="1:31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tr">
        <f t="shared" si="73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  <c r="AE463" t="str">
        <f>VLOOKUP(Q463,'[1]Consolidado Cierres'!$Q$2:$Q$1399,1,0)</f>
        <v>424-2024-12-31</v>
      </c>
    </row>
    <row r="464" spans="1:31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tr">
        <f t="shared" si="73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  <c r="AE464" t="str">
        <f>VLOOKUP(Q464,'[1]Consolidado Cierres'!$Q$2:$Q$1399,1,0)</f>
        <v>424-2024-12-31</v>
      </c>
    </row>
    <row r="465" spans="1:31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tr">
        <f t="shared" si="73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  <c r="AE465" t="e">
        <f>VLOOKUP(Q465,'[1]Consolidado Cierres'!$Q$2:$Q$1399,1,0)</f>
        <v>#N/A</v>
      </c>
    </row>
    <row r="466" spans="1:31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3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  <c r="AE466" t="str">
        <f>VLOOKUP(Q466,'[1]Consolidado Cierres'!$Q$2:$Q$1399,1,0)</f>
        <v>460-2023-12-31</v>
      </c>
    </row>
    <row r="467" spans="1:31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3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  <c r="AE467" t="str">
        <f>VLOOKUP(Q467,'[1]Consolidado Cierres'!$Q$2:$Q$1399,1,0)</f>
        <v>460-2023-12-31</v>
      </c>
    </row>
    <row r="468" spans="1:31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3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  <c r="AE468" t="str">
        <f>VLOOKUP(Q468,'[1]Consolidado Cierres'!$Q$2:$Q$1399,1,0)</f>
        <v>460-2024-12-31</v>
      </c>
    </row>
    <row r="469" spans="1:31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3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  <c r="AE469" t="str">
        <f>VLOOKUP(Q469,'[1]Consolidado Cierres'!$Q$2:$Q$1399,1,0)</f>
        <v>460-2024-12-31</v>
      </c>
    </row>
    <row r="470" spans="1:31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3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  <c r="AE470" t="str">
        <f>VLOOKUP(Q470,'[1]Consolidado Cierres'!$Q$2:$Q$1399,1,0)</f>
        <v>460-2025-06-30</v>
      </c>
    </row>
    <row r="471" spans="1:31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3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  <c r="AE471" t="str">
        <f>VLOOKUP(Q471,'[1]Consolidado Cierres'!$Q$2:$Q$1399,1,0)</f>
        <v>466-2022-12-31</v>
      </c>
    </row>
    <row r="472" spans="1:31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tr">
        <f t="shared" si="73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  <c r="AE472" t="str">
        <f>VLOOKUP(Q472,'[1]Consolidado Cierres'!$Q$2:$Q$1399,1,0)</f>
        <v>466-2022-12-31</v>
      </c>
    </row>
    <row r="473" spans="1:31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tr">
        <f t="shared" si="73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  <c r="AE473" t="str">
        <f>VLOOKUP(Q473,'[1]Consolidado Cierres'!$Q$2:$Q$1399,1,0)</f>
        <v>466-2023-12-31</v>
      </c>
    </row>
    <row r="474" spans="1:31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tr">
        <f t="shared" si="73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  <c r="AE474" t="str">
        <f>VLOOKUP(Q474,'[1]Consolidado Cierres'!$Q$2:$Q$1399,1,0)</f>
        <v>466-2023-12-31</v>
      </c>
    </row>
    <row r="475" spans="1:31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tr">
        <f t="shared" si="73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  <c r="AE475" t="str">
        <f>VLOOKUP(Q475,'[1]Consolidado Cierres'!$Q$2:$Q$1399,1,0)</f>
        <v>466-2024-12-31</v>
      </c>
    </row>
    <row r="476" spans="1:31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tr">
        <f t="shared" si="73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  <c r="AE476" t="str">
        <f>VLOOKUP(Q476,'[1]Consolidado Cierres'!$Q$2:$Q$1399,1,0)</f>
        <v>466-2024-12-31</v>
      </c>
    </row>
    <row r="477" spans="1:31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tr">
        <f t="shared" si="73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  <c r="AE477" t="e">
        <f>VLOOKUP(Q477,'[1]Consolidado Cierres'!$Q$2:$Q$1399,1,0)</f>
        <v>#N/A</v>
      </c>
    </row>
    <row r="478" spans="1:31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 t="shared" si="73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  <c r="AE478" t="e">
        <f>VLOOKUP(Q478,'[1]Consolidado Cierres'!$Q$2:$Q$1399,1,0)</f>
        <v>#N/A</v>
      </c>
    </row>
    <row r="479" spans="1:31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 t="shared" si="73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  <c r="AE479" t="e">
        <f>VLOOKUP(Q479,'[1]Consolidado Cierres'!$Q$2:$Q$1399,1,0)</f>
        <v>#N/A</v>
      </c>
    </row>
    <row r="480" spans="1:31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3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  <c r="AE480" t="e">
        <f>VLOOKUP(Q480,'[1]Consolidado Cierres'!$Q$2:$Q$1399,1,0)</f>
        <v>#N/A</v>
      </c>
    </row>
    <row r="481" spans="1:31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3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  <c r="AE481" t="e">
        <f>VLOOKUP(Q481,'[1]Consolidado Cierres'!$Q$2:$Q$1399,1,0)</f>
        <v>#N/A</v>
      </c>
    </row>
    <row r="482" spans="1:31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tr">
        <f t="shared" si="73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  <c r="AE482" t="e">
        <f>VLOOKUP(Q482,'[1]Consolidado Cierres'!$Q$2:$Q$1399,1,0)</f>
        <v>#N/A</v>
      </c>
    </row>
    <row r="483" spans="1:31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3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  <c r="AE483" t="e">
        <f>VLOOKUP(Q483,'[1]Consolidado Cierres'!$Q$2:$Q$1399,1,0)</f>
        <v>#N/A</v>
      </c>
    </row>
    <row r="484" spans="1:31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3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  <c r="AE484" t="e">
        <f>VLOOKUP(Q484,'[1]Consolidado Cierres'!$Q$2:$Q$1399,1,0)</f>
        <v>#N/A</v>
      </c>
    </row>
    <row r="485" spans="1:31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3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  <c r="AE485" t="e">
        <f>VLOOKUP(Q485,'[1]Consolidado Cierres'!$Q$2:$Q$1399,1,0)</f>
        <v>#N/A</v>
      </c>
    </row>
    <row r="486" spans="1:31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3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  <c r="AE486" t="e">
        <f>VLOOKUP(Q486,'[1]Consolidado Cierres'!$Q$2:$Q$1399,1,0)</f>
        <v>#N/A</v>
      </c>
    </row>
    <row r="487" spans="1:31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3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  <c r="AE487" t="e">
        <f>VLOOKUP(Q487,'[1]Consolidado Cierres'!$Q$2:$Q$1399,1,0)</f>
        <v>#N/A</v>
      </c>
    </row>
    <row r="488" spans="1:31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3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  <c r="AE488" t="e">
        <f>VLOOKUP(Q488,'[1]Consolidado Cierres'!$Q$2:$Q$1399,1,0)</f>
        <v>#N/A</v>
      </c>
    </row>
    <row r="489" spans="1:31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3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  <c r="AE489" t="e">
        <f>VLOOKUP(Q489,'[1]Consolidado Cierres'!$Q$2:$Q$1399,1,0)</f>
        <v>#N/A</v>
      </c>
    </row>
    <row r="490" spans="1:31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3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  <c r="AE490" t="e">
        <f>VLOOKUP(Q490,'[1]Consolidado Cierres'!$Q$2:$Q$1399,1,0)</f>
        <v>#N/A</v>
      </c>
    </row>
    <row r="491" spans="1:31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3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  <c r="AE491" t="e">
        <f>VLOOKUP(Q491,'[1]Consolidado Cierres'!$Q$2:$Q$1399,1,0)</f>
        <v>#N/A</v>
      </c>
    </row>
    <row r="492" spans="1:31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3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  <c r="AE492" t="e">
        <f>VLOOKUP(Q492,'[1]Consolidado Cierres'!$Q$2:$Q$1399,1,0)</f>
        <v>#N/A</v>
      </c>
    </row>
    <row r="493" spans="1:31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3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  <c r="AE493" t="e">
        <f>VLOOKUP(Q493,'[1]Consolidado Cierres'!$Q$2:$Q$1399,1,0)</f>
        <v>#N/A</v>
      </c>
    </row>
    <row r="494" spans="1:31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3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  <c r="AE494" t="e">
        <f>VLOOKUP(Q494,'[1]Consolidado Cierres'!$Q$2:$Q$1399,1,0)</f>
        <v>#N/A</v>
      </c>
    </row>
    <row r="495" spans="1:31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tr">
        <f t="shared" si="73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  <c r="AE495" t="e">
        <f>VLOOKUP(Q495,'[1]Consolidado Cierres'!$Q$2:$Q$1399,1,0)</f>
        <v>#N/A</v>
      </c>
    </row>
    <row r="496" spans="1:31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3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  <c r="AE496" t="e">
        <f>VLOOKUP(Q496,'[1]Consolidado Cierres'!$Q$2:$Q$1399,1,0)</f>
        <v>#N/A</v>
      </c>
    </row>
    <row r="497" spans="1:31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3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  <c r="AE497" t="e">
        <f>VLOOKUP(Q497,'[1]Consolidado Cierres'!$Q$2:$Q$1399,1,0)</f>
        <v>#N/A</v>
      </c>
    </row>
    <row r="498" spans="1:31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tr">
        <f t="shared" si="73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  <c r="AE498" t="e">
        <f>VLOOKUP(Q498,'[1]Consolidado Cierres'!$Q$2:$Q$1399,1,0)</f>
        <v>#N/A</v>
      </c>
    </row>
    <row r="499" spans="1:31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tr">
        <f t="shared" si="73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  <c r="AE499" t="e">
        <f>VLOOKUP(Q499,'[1]Consolidado Cierres'!$Q$2:$Q$1399,1,0)</f>
        <v>#N/A</v>
      </c>
    </row>
    <row r="500" spans="1:31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tr">
        <f t="shared" si="73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  <c r="AE500" t="e">
        <f>VLOOKUP(Q500,'[1]Consolidado Cierres'!$Q$2:$Q$1399,1,0)</f>
        <v>#N/A</v>
      </c>
    </row>
    <row r="501" spans="1:31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tr">
        <f t="shared" si="73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  <c r="AE501" t="e">
        <f>VLOOKUP(Q501,'[1]Consolidado Cierres'!$Q$2:$Q$1399,1,0)</f>
        <v>#N/A</v>
      </c>
    </row>
    <row r="502" spans="1:31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3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  <c r="AE502" t="e">
        <f>VLOOKUP(Q502,'[1]Consolidado Cierres'!$Q$2:$Q$1399,1,0)</f>
        <v>#N/A</v>
      </c>
    </row>
    <row r="503" spans="1:31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3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  <c r="AE503" t="e">
        <f>VLOOKUP(Q503,'[1]Consolidado Cierres'!$Q$2:$Q$1399,1,0)</f>
        <v>#N/A</v>
      </c>
    </row>
    <row r="504" spans="1:31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3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  <c r="AE504" t="str">
        <f>VLOOKUP(Q504,'[1]Consolidado Cierres'!$Q$2:$Q$1399,1,0)</f>
        <v>14-2026-01-01</v>
      </c>
    </row>
    <row r="505" spans="1:31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3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  <c r="AE505" t="e">
        <f>VLOOKUP(Q505,'[1]Consolidado Cierres'!$Q$2:$Q$1399,1,0)</f>
        <v>#N/A</v>
      </c>
    </row>
    <row r="506" spans="1:31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3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  <c r="AE506" t="e">
        <f>VLOOKUP(Q506,'[1]Consolidado Cierres'!$Q$2:$Q$1399,1,0)</f>
        <v>#N/A</v>
      </c>
    </row>
    <row r="507" spans="1:31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tr">
        <f t="shared" si="73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  <c r="AE507" t="e">
        <f>VLOOKUP(Q507,'[1]Consolidado Cierres'!$Q$2:$Q$1399,1,0)</f>
        <v>#N/A</v>
      </c>
    </row>
    <row r="508" spans="1:31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tr">
        <f t="shared" si="73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  <c r="AE508" t="e">
        <f>VLOOKUP(Q508,'[1]Consolidado Cierres'!$Q$2:$Q$1399,1,0)</f>
        <v>#N/A</v>
      </c>
    </row>
    <row r="509" spans="1:31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3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  <c r="AE509" t="str">
        <f>VLOOKUP(Q509,'[1]Consolidado Cierres'!$Q$2:$Q$1399,1,0)</f>
        <v>77-2026-01-01</v>
      </c>
    </row>
    <row r="510" spans="1:31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3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  <c r="AE510" t="str">
        <f>VLOOKUP(Q510,'[1]Consolidado Cierres'!$Q$2:$Q$1399,1,0)</f>
        <v>96-2026-01-01</v>
      </c>
    </row>
    <row r="511" spans="1:31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3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  <c r="AE511" t="e">
        <f>VLOOKUP(Q511,'[1]Consolidado Cierres'!$Q$2:$Q$1399,1,0)</f>
        <v>#N/A</v>
      </c>
    </row>
    <row r="512" spans="1:31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3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  <c r="AE512" t="str">
        <f>VLOOKUP(Q512,'[1]Consolidado Cierres'!$Q$2:$Q$1399,1,0)</f>
        <v>98-2026-01-01</v>
      </c>
    </row>
    <row r="513" spans="1:31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3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  <c r="AE513" t="str">
        <f>VLOOKUP(Q513,'[1]Consolidado Cierres'!$Q$2:$Q$1399,1,0)</f>
        <v>109-2026-01-01</v>
      </c>
    </row>
    <row r="514" spans="1:31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3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  <c r="AE514" t="str">
        <f>VLOOKUP(Q514,'[1]Consolidado Cierres'!$Q$2:$Q$1399,1,0)</f>
        <v>148-2026-01-01</v>
      </c>
    </row>
    <row r="515" spans="1:31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2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  <c r="AE515" t="str">
        <f>VLOOKUP(Q515,'[1]Consolidado Cierres'!$Q$2:$Q$1399,1,0)</f>
        <v>193-2026-01-01</v>
      </c>
    </row>
    <row r="516" spans="1:31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3">+L516/K516</f>
        <v>1.0576470588235294</v>
      </c>
      <c r="N516" s="3">
        <f t="shared" ref="N516" si="94">+L516/K516</f>
        <v>1.0576470588235294</v>
      </c>
      <c r="O516" s="3" t="s">
        <v>58</v>
      </c>
      <c r="P516" s="3" t="s">
        <v>58</v>
      </c>
      <c r="Q516" s="3" t="str">
        <f t="shared" si="92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  <c r="AE516" t="str">
        <f>VLOOKUP(Q516,'[1]Consolidado Cierres'!$Q$2:$Q$1399,1,0)</f>
        <v>194-2026-01-01</v>
      </c>
    </row>
    <row r="517" spans="1:31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2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  <c r="AE517" t="str">
        <f>VLOOKUP(Q517,'[1]Consolidado Cierres'!$Q$2:$Q$1399,1,0)</f>
        <v>200-2026-01-01</v>
      </c>
    </row>
    <row r="518" spans="1:31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2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  <c r="AE518" t="str">
        <f>VLOOKUP(Q518,'[1]Consolidado Cierres'!$Q$2:$Q$1399,1,0)</f>
        <v>202-2026-01-01</v>
      </c>
    </row>
    <row r="519" spans="1:31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5">+L519/K519</f>
        <v>1.053296418682687</v>
      </c>
      <c r="N519" s="3">
        <f t="shared" ref="N519" si="96">+L519/K519</f>
        <v>1.053296418682687</v>
      </c>
      <c r="O519" s="3" t="s">
        <v>143</v>
      </c>
      <c r="P519" s="3" t="s">
        <v>143</v>
      </c>
      <c r="Q519" s="3" t="str">
        <f t="shared" si="92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  <c r="AE519" t="e">
        <f>VLOOKUP(Q519,'[1]Consolidado Cierres'!$Q$2:$Q$1399,1,0)</f>
        <v>#N/A</v>
      </c>
    </row>
    <row r="520" spans="1:31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2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  <c r="AE520" t="e">
        <f>VLOOKUP(Q520,'[1]Consolidado Cierres'!$Q$2:$Q$1399,1,0)</f>
        <v>#N/A</v>
      </c>
    </row>
    <row r="521" spans="1:31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92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  <c r="AE521" t="e">
        <f>VLOOKUP(Q521,'[1]Consolidado Cierres'!$Q$2:$Q$1399,1,0)</f>
        <v>#N/A</v>
      </c>
    </row>
    <row r="522" spans="1:31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2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  <c r="AE522" t="str">
        <f>VLOOKUP(Q522,'[1]Consolidado Cierres'!$Q$2:$Q$1399,1,0)</f>
        <v>244-2026-01-01</v>
      </c>
    </row>
    <row r="523" spans="1:31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7">+L523/K523</f>
        <v>1.0011614401858304</v>
      </c>
      <c r="N523" s="3">
        <f t="shared" ref="N523:N524" si="98">+L523/K523</f>
        <v>1.0011614401858304</v>
      </c>
      <c r="O523" s="3" t="s">
        <v>58</v>
      </c>
      <c r="P523" s="3" t="s">
        <v>58</v>
      </c>
      <c r="Q523" s="3" t="str">
        <f t="shared" si="92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  <c r="AE523" t="str">
        <f>VLOOKUP(Q523,'[1]Consolidado Cierres'!$Q$2:$Q$1399,1,0)</f>
        <v>245-2026-01-01</v>
      </c>
    </row>
    <row r="524" spans="1:31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7"/>
        <v>1.02031875181617</v>
      </c>
      <c r="N524" s="3">
        <f t="shared" si="98"/>
        <v>1.02031875181617</v>
      </c>
      <c r="O524" s="3" t="s">
        <v>35</v>
      </c>
      <c r="P524" s="3" t="s">
        <v>35</v>
      </c>
      <c r="Q524" s="3" t="str">
        <f t="shared" si="92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  <c r="AE524" t="str">
        <f>VLOOKUP(Q524,'[1]Consolidado Cierres'!$Q$2:$Q$1399,1,0)</f>
        <v>274-2026-01-01</v>
      </c>
    </row>
    <row r="525" spans="1:31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9">+K525/L525</f>
        <v>0.97814273638449456</v>
      </c>
      <c r="N525" s="3">
        <f t="shared" ref="N525:N526" si="100">+K525/L525</f>
        <v>0.97814273638449456</v>
      </c>
      <c r="O525" s="3" t="s">
        <v>35</v>
      </c>
      <c r="P525" s="3" t="s">
        <v>245</v>
      </c>
      <c r="Q525" s="3" t="str">
        <f t="shared" si="92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  <c r="AE525" t="str">
        <f>VLOOKUP(Q525,'[1]Consolidado Cierres'!$Q$2:$Q$1399,1,0)</f>
        <v>276-2026-01-01</v>
      </c>
    </row>
    <row r="526" spans="1:31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9"/>
        <v>1.0380116959064327</v>
      </c>
      <c r="N526" s="3">
        <f t="shared" si="100"/>
        <v>1.0380116959064327</v>
      </c>
      <c r="O526" s="3" t="s">
        <v>35</v>
      </c>
      <c r="P526" s="3" t="s">
        <v>245</v>
      </c>
      <c r="Q526" s="3" t="str">
        <f t="shared" si="92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  <c r="AE526" t="e">
        <f>VLOOKUP(Q526,'[1]Consolidado Cierres'!$Q$2:$Q$1399,1,0)</f>
        <v>#N/A</v>
      </c>
    </row>
    <row r="527" spans="1:31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2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  <c r="AE527" t="str">
        <f>VLOOKUP(Q527,'[1]Consolidado Cierres'!$Q$2:$Q$1399,1,0)</f>
        <v>332-2026-01-01</v>
      </c>
    </row>
    <row r="528" spans="1:31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1">+L528/K528</f>
        <v>0.97848330378250592</v>
      </c>
      <c r="N528" s="3">
        <f t="shared" ref="N528" si="102">+L528/K528</f>
        <v>0.97848330378250592</v>
      </c>
      <c r="O528" s="3" t="s">
        <v>35</v>
      </c>
      <c r="P528" s="3" t="s">
        <v>35</v>
      </c>
      <c r="Q528" s="3" t="str">
        <f t="shared" si="92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  <c r="AE528" t="str">
        <f>VLOOKUP(Q528,'[1]Consolidado Cierres'!$Q$2:$Q$1399,1,0)</f>
        <v>364-2026-01-01</v>
      </c>
    </row>
    <row r="529" spans="1:31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2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  <c r="AE529" t="str">
        <f>VLOOKUP(Q529,'[1]Consolidado Cierres'!$Q$2:$Q$1399,1,0)</f>
        <v>367-2026-01-01</v>
      </c>
    </row>
    <row r="530" spans="1:31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3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2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  <c r="AE530" t="str">
        <f>VLOOKUP(Q530,'[1]Consolidado Cierres'!$Q$2:$Q$1399,1,0)</f>
        <v>369-2026-01-01</v>
      </c>
    </row>
    <row r="531" spans="1:31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3"/>
        <v>1.1072715709372378</v>
      </c>
      <c r="N531" s="3">
        <f t="shared" ref="N531" si="104">+L531/K531</f>
        <v>1.1072715709372378</v>
      </c>
      <c r="O531" s="3" t="s">
        <v>143</v>
      </c>
      <c r="P531" s="3" t="s">
        <v>143</v>
      </c>
      <c r="Q531" s="3" t="str">
        <f t="shared" si="92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  <c r="AE531" t="e">
        <f>VLOOKUP(Q531,'[1]Consolidado Cierres'!$Q$2:$Q$1399,1,0)</f>
        <v>#N/A</v>
      </c>
    </row>
    <row r="532" spans="1:31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92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  <c r="AE532" t="str">
        <f>VLOOKUP(Q532,'[1]Consolidado Cierres'!$Q$2:$Q$1399,1,0)</f>
        <v>379-2026-01-01</v>
      </c>
    </row>
    <row r="533" spans="1:31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92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  <c r="AE533" t="e">
        <f>VLOOKUP(Q533,'[1]Consolidado Cierres'!$Q$2:$Q$1399,1,0)</f>
        <v>#N/A</v>
      </c>
    </row>
    <row r="534" spans="1:31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92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  <c r="AE534" t="e">
        <f>VLOOKUP(Q534,'[1]Consolidado Cierres'!$Q$2:$Q$1399,1,0)</f>
        <v>#N/A</v>
      </c>
    </row>
    <row r="535" spans="1:31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5">L535/K535</f>
        <v>0.98582632482354049</v>
      </c>
      <c r="N535" s="3">
        <f t="shared" ref="N535:N536" si="106">L535/K535</f>
        <v>0.98582632482354049</v>
      </c>
      <c r="O535" s="3" t="s">
        <v>143</v>
      </c>
      <c r="P535" s="3" t="s">
        <v>143</v>
      </c>
      <c r="Q535" s="3" t="str">
        <f t="shared" si="92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  <c r="AE535" t="e">
        <f>VLOOKUP(Q535,'[1]Consolidado Cierres'!$Q$2:$Q$1399,1,0)</f>
        <v>#N/A</v>
      </c>
    </row>
    <row r="536" spans="1:31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7">IF(L536/K536&gt;1.3,1.3,L536/K536)</f>
        <v>0.96428454116397888</v>
      </c>
      <c r="N536" s="3">
        <f t="shared" si="106"/>
        <v>0.96428454116397888</v>
      </c>
      <c r="O536" s="3" t="s">
        <v>143</v>
      </c>
      <c r="P536" s="3" t="s">
        <v>143</v>
      </c>
      <c r="Q536" s="3" t="str">
        <f t="shared" si="92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  <c r="AE536" t="e">
        <f>VLOOKUP(Q536,'[1]Consolidado Cierres'!$Q$2:$Q$1399,1,0)</f>
        <v>#N/A</v>
      </c>
    </row>
    <row r="537" spans="1:31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2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  <c r="AE537" t="str">
        <f>VLOOKUP(Q537,'[1]Consolidado Cierres'!$Q$2:$Q$1399,1,0)</f>
        <v>423-2026-01-01</v>
      </c>
    </row>
    <row r="538" spans="1:31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2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  <c r="AE538" t="str">
        <f>VLOOKUP(Q538,'[1]Consolidado Cierres'!$Q$2:$Q$1399,1,0)</f>
        <v>424-2026-01-01</v>
      </c>
    </row>
    <row r="539" spans="1:31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8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2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  <c r="AE539" t="str">
        <f>VLOOKUP(Q539,'[1]Consolidado Cierres'!$Q$2:$Q$1399,1,0)</f>
        <v>466-2026-01-01</v>
      </c>
    </row>
    <row r="540" spans="1:31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2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  <c r="AE540" t="str">
        <f>VLOOKUP(Q540,'[1]Consolidado Cierres'!$Q$2:$Q$1399,1,0)</f>
        <v>1-2023-12-31</v>
      </c>
    </row>
    <row r="541" spans="1:31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9">IF(L541/K541&gt;1,1,L541/K541)</f>
        <v>1</v>
      </c>
      <c r="N541" s="3">
        <f t="shared" ref="N541:N601" si="110">IF(L541/K541&gt;1,1,L541/K541)</f>
        <v>1</v>
      </c>
      <c r="O541" s="3" t="s">
        <v>58</v>
      </c>
      <c r="P541" s="3" t="s">
        <v>58</v>
      </c>
      <c r="Q541" s="3" t="str">
        <f t="shared" si="92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  <c r="AE541" t="str">
        <f>VLOOKUP(Q541,'[1]Consolidado Cierres'!$Q$2:$Q$1399,1,0)</f>
        <v>2-2022-12-31</v>
      </c>
    </row>
    <row r="542" spans="1:31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9"/>
        <v>1</v>
      </c>
      <c r="N542" s="3">
        <f t="shared" si="110"/>
        <v>1</v>
      </c>
      <c r="O542" s="3" t="s">
        <v>58</v>
      </c>
      <c r="P542" s="3" t="s">
        <v>58</v>
      </c>
      <c r="Q542" s="3" t="str">
        <f t="shared" si="92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  <c r="AE542" t="str">
        <f>VLOOKUP(Q542,'[1]Consolidado Cierres'!$Q$2:$Q$1399,1,0)</f>
        <v>2-2023-12-31</v>
      </c>
    </row>
    <row r="543" spans="1:31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9"/>
        <v>1</v>
      </c>
      <c r="N543" s="3">
        <f t="shared" si="110"/>
        <v>1</v>
      </c>
      <c r="O543" s="3" t="s">
        <v>58</v>
      </c>
      <c r="P543" s="3" t="s">
        <v>58</v>
      </c>
      <c r="Q543" s="3" t="str">
        <f t="shared" si="92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  <c r="AE543" t="str">
        <f>VLOOKUP(Q543,'[1]Consolidado Cierres'!$Q$2:$Q$1399,1,0)</f>
        <v>3-2023-12-31</v>
      </c>
    </row>
    <row r="544" spans="1:31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9"/>
        <v>0.94871794871794868</v>
      </c>
      <c r="N544" s="3">
        <f t="shared" si="110"/>
        <v>0.94871794871794868</v>
      </c>
      <c r="O544" s="3"/>
      <c r="P544" s="3"/>
      <c r="Q544" s="3" t="str">
        <f t="shared" si="92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  <c r="AE544" t="str">
        <f>VLOOKUP(Q544,'[1]Consolidado Cierres'!$Q$2:$Q$1399,1,0)</f>
        <v>4-2022-12-31</v>
      </c>
    </row>
    <row r="545" spans="1:31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9"/>
        <v>1</v>
      </c>
      <c r="N545" s="3">
        <f t="shared" si="110"/>
        <v>1</v>
      </c>
      <c r="O545" s="3"/>
      <c r="P545" s="3"/>
      <c r="Q545" s="3" t="str">
        <f t="shared" si="92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  <c r="AE545" t="str">
        <f>VLOOKUP(Q545,'[1]Consolidado Cierres'!$Q$2:$Q$1399,1,0)</f>
        <v>4-2023-12-31</v>
      </c>
    </row>
    <row r="546" spans="1:31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9"/>
        <v>0.94871794871794868</v>
      </c>
      <c r="N546" s="3">
        <f t="shared" si="110"/>
        <v>0.94871794871794868</v>
      </c>
      <c r="O546" s="3" t="s">
        <v>58</v>
      </c>
      <c r="P546" s="3" t="s">
        <v>58</v>
      </c>
      <c r="Q546" s="3" t="str">
        <f t="shared" si="92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  <c r="AE546" t="str">
        <f>VLOOKUP(Q546,'[1]Consolidado Cierres'!$Q$2:$Q$1399,1,0)</f>
        <v>5-2023-12-31</v>
      </c>
    </row>
    <row r="547" spans="1:31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9"/>
        <v>1</v>
      </c>
      <c r="N547" s="3">
        <f t="shared" si="110"/>
        <v>1</v>
      </c>
      <c r="O547" s="3" t="s">
        <v>58</v>
      </c>
      <c r="P547" s="3" t="s">
        <v>58</v>
      </c>
      <c r="Q547" s="3" t="str">
        <f t="shared" si="92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  <c r="AE547" t="str">
        <f>VLOOKUP(Q547,'[1]Consolidado Cierres'!$Q$2:$Q$1399,1,0)</f>
        <v>5-2024-12-31</v>
      </c>
    </row>
    <row r="548" spans="1:31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9"/>
        <v>0.96938775510204078</v>
      </c>
      <c r="N548" s="3">
        <f t="shared" si="110"/>
        <v>0.96938775510204078</v>
      </c>
      <c r="O548" s="3" t="s">
        <v>58</v>
      </c>
      <c r="P548" s="3" t="s">
        <v>58</v>
      </c>
      <c r="Q548" s="3" t="str">
        <f t="shared" si="92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  <c r="AE548" t="str">
        <f>VLOOKUP(Q548,'[1]Consolidado Cierres'!$Q$2:$Q$1399,1,0)</f>
        <v>6-2023-12-31</v>
      </c>
    </row>
    <row r="549" spans="1:31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9"/>
        <v>1</v>
      </c>
      <c r="N549" s="3">
        <f t="shared" si="110"/>
        <v>1</v>
      </c>
      <c r="O549" s="3" t="s">
        <v>58</v>
      </c>
      <c r="P549" s="3" t="s">
        <v>58</v>
      </c>
      <c r="Q549" s="3" t="str">
        <f t="shared" si="92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  <c r="AE549" t="str">
        <f>VLOOKUP(Q549,'[1]Consolidado Cierres'!$Q$2:$Q$1399,1,0)</f>
        <v>6-2024-12-31</v>
      </c>
    </row>
    <row r="550" spans="1:31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9"/>
        <v>0.8571428571428571</v>
      </c>
      <c r="N550" s="3">
        <f t="shared" si="110"/>
        <v>0.8571428571428571</v>
      </c>
      <c r="O550" s="3" t="s">
        <v>58</v>
      </c>
      <c r="P550" s="3" t="s">
        <v>58</v>
      </c>
      <c r="Q550" s="3" t="str">
        <f t="shared" si="92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  <c r="AE550" t="str">
        <f>VLOOKUP(Q550,'[1]Consolidado Cierres'!$Q$2:$Q$1399,1,0)</f>
        <v>7-2023-12-31</v>
      </c>
    </row>
    <row r="551" spans="1:31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9"/>
        <v>1</v>
      </c>
      <c r="N551" s="3">
        <f t="shared" si="110"/>
        <v>1</v>
      </c>
      <c r="O551" s="3" t="s">
        <v>58</v>
      </c>
      <c r="P551" s="3" t="s">
        <v>58</v>
      </c>
      <c r="Q551" s="3" t="str">
        <f t="shared" si="92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  <c r="AE551" t="str">
        <f>VLOOKUP(Q551,'[1]Consolidado Cierres'!$Q$2:$Q$1399,1,0)</f>
        <v>7-2024-12-31</v>
      </c>
    </row>
    <row r="552" spans="1:31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9"/>
        <v>1</v>
      </c>
      <c r="N552" s="3">
        <f t="shared" si="110"/>
        <v>1</v>
      </c>
      <c r="O552" s="3"/>
      <c r="P552" s="3"/>
      <c r="Q552" s="3" t="str">
        <f t="shared" si="92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  <c r="AE552" t="str">
        <f>VLOOKUP(Q552,'[1]Consolidado Cierres'!$Q$2:$Q$1399,1,0)</f>
        <v>8-2023-12-31</v>
      </c>
    </row>
    <row r="553" spans="1:31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9"/>
        <v>0.96938775510204078</v>
      </c>
      <c r="N553" s="3">
        <f t="shared" si="110"/>
        <v>0.96938775510204078</v>
      </c>
      <c r="O553" s="3" t="s">
        <v>58</v>
      </c>
      <c r="P553" s="3" t="s">
        <v>58</v>
      </c>
      <c r="Q553" s="3" t="str">
        <f t="shared" si="92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  <c r="AE553" t="str">
        <f>VLOOKUP(Q553,'[1]Consolidado Cierres'!$Q$2:$Q$1399,1,0)</f>
        <v>9-2023-12-31</v>
      </c>
    </row>
    <row r="554" spans="1:31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9"/>
        <v>1</v>
      </c>
      <c r="N554" s="3">
        <f t="shared" si="110"/>
        <v>1</v>
      </c>
      <c r="O554" s="3" t="s">
        <v>58</v>
      </c>
      <c r="P554" s="3" t="s">
        <v>58</v>
      </c>
      <c r="Q554" s="3" t="str">
        <f t="shared" si="92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  <c r="AE554" t="e">
        <f>VLOOKUP(Q554,'[1]Consolidado Cierres'!$Q$2:$Q$1399,1,0)</f>
        <v>#N/A</v>
      </c>
    </row>
    <row r="555" spans="1:31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9"/>
        <v>1</v>
      </c>
      <c r="N555" s="3">
        <f t="shared" si="110"/>
        <v>1</v>
      </c>
      <c r="O555" s="3">
        <v>0</v>
      </c>
      <c r="P555" s="3">
        <v>0</v>
      </c>
      <c r="Q555" s="3" t="str">
        <f t="shared" si="92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  <c r="AE555" t="str">
        <f>VLOOKUP(Q555,'[1]Consolidado Cierres'!$Q$2:$Q$1399,1,0)</f>
        <v>10-2023-12-31</v>
      </c>
    </row>
    <row r="556" spans="1:31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9"/>
        <v>1</v>
      </c>
      <c r="N556" s="3">
        <f t="shared" si="110"/>
        <v>1</v>
      </c>
      <c r="O556" s="3">
        <v>0</v>
      </c>
      <c r="P556" s="3">
        <v>0</v>
      </c>
      <c r="Q556" s="3" t="str">
        <f t="shared" si="92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  <c r="AE556" t="str">
        <f>VLOOKUP(Q556,'[1]Consolidado Cierres'!$Q$2:$Q$1399,1,0)</f>
        <v>10-2024-12-31</v>
      </c>
    </row>
    <row r="557" spans="1:31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2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  <c r="AE557" t="str">
        <f>VLOOKUP(Q557,'[1]Consolidado Cierres'!$Q$2:$Q$1399,1,0)</f>
        <v>11-2024-12-31</v>
      </c>
    </row>
    <row r="558" spans="1:31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9"/>
        <v>0.7846153846153846</v>
      </c>
      <c r="N558" s="3">
        <f t="shared" si="110"/>
        <v>0.7846153846153846</v>
      </c>
      <c r="O558" s="3"/>
      <c r="P558" s="3"/>
      <c r="Q558" s="3" t="str">
        <f t="shared" si="92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  <c r="AE558" t="str">
        <f>VLOOKUP(Q558,'[1]Consolidado Cierres'!$Q$2:$Q$1399,1,0)</f>
        <v>12-2023-12-31</v>
      </c>
    </row>
    <row r="559" spans="1:31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9"/>
        <v>0.73684210526315785</v>
      </c>
      <c r="N559" s="3">
        <f t="shared" si="110"/>
        <v>0.73684210526315785</v>
      </c>
      <c r="O559" s="3"/>
      <c r="P559" s="3"/>
      <c r="Q559" s="3" t="str">
        <f t="shared" si="92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  <c r="AE559" t="str">
        <f>VLOOKUP(Q559,'[1]Consolidado Cierres'!$Q$2:$Q$1399,1,0)</f>
        <v>12-2024-12-31</v>
      </c>
    </row>
    <row r="560" spans="1:31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9"/>
        <v>0.99</v>
      </c>
      <c r="N560" s="3">
        <f t="shared" si="110"/>
        <v>0.99</v>
      </c>
      <c r="O560" s="3" t="s">
        <v>58</v>
      </c>
      <c r="P560" s="3" t="s">
        <v>58</v>
      </c>
      <c r="Q560" s="3" t="str">
        <f t="shared" si="92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  <c r="AE560" t="str">
        <f>VLOOKUP(Q560,'[1]Consolidado Cierres'!$Q$2:$Q$1399,1,0)</f>
        <v>13-2023-12-31</v>
      </c>
    </row>
    <row r="561" spans="1:31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9"/>
        <v>1</v>
      </c>
      <c r="N561" s="3">
        <f t="shared" si="110"/>
        <v>1</v>
      </c>
      <c r="O561" s="3" t="s">
        <v>58</v>
      </c>
      <c r="P561" s="3" t="s">
        <v>58</v>
      </c>
      <c r="Q561" s="3" t="str">
        <f t="shared" si="92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  <c r="AE561" t="str">
        <f>VLOOKUP(Q561,'[1]Consolidado Cierres'!$Q$2:$Q$1399,1,0)</f>
        <v>13-2024-12-31</v>
      </c>
    </row>
    <row r="562" spans="1:31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9"/>
        <v>1</v>
      </c>
      <c r="N562" s="3">
        <f t="shared" si="110"/>
        <v>1</v>
      </c>
      <c r="O562" s="3" t="s">
        <v>58</v>
      </c>
      <c r="P562" s="3" t="s">
        <v>58</v>
      </c>
      <c r="Q562" s="3" t="str">
        <f t="shared" si="92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  <c r="AE562" t="str">
        <f>VLOOKUP(Q562,'[1]Consolidado Cierres'!$Q$2:$Q$1399,1,0)</f>
        <v>900-2024-12-31</v>
      </c>
    </row>
    <row r="563" spans="1:31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9"/>
        <v>0.87804878048780488</v>
      </c>
      <c r="N563" s="3">
        <f t="shared" si="110"/>
        <v>0.87804878048780488</v>
      </c>
      <c r="O563" s="3"/>
      <c r="P563" s="3"/>
      <c r="Q563" s="3" t="str">
        <f t="shared" si="92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  <c r="AE563" t="str">
        <f>VLOOKUP(Q563,'[1]Consolidado Cierres'!$Q$2:$Q$1399,1,0)</f>
        <v>901-2024-12-31</v>
      </c>
    </row>
    <row r="564" spans="1:31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9"/>
        <v>1</v>
      </c>
      <c r="N564" s="3">
        <f t="shared" si="110"/>
        <v>1</v>
      </c>
      <c r="O564" s="3"/>
      <c r="P564" s="3"/>
      <c r="Q564" s="3" t="str">
        <f t="shared" si="92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  <c r="AE564" t="str">
        <f>VLOOKUP(Q564,'[1]Consolidado Cierres'!$Q$2:$Q$1399,1,0)</f>
        <v>902-2024-12-31</v>
      </c>
    </row>
    <row r="565" spans="1:31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9"/>
        <v>1</v>
      </c>
      <c r="N565" s="3">
        <f t="shared" si="110"/>
        <v>1</v>
      </c>
      <c r="O565" s="3"/>
      <c r="P565" s="3"/>
      <c r="Q565" s="3" t="str">
        <f t="shared" si="92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  <c r="AE565" t="str">
        <f>VLOOKUP(Q565,'[1]Consolidado Cierres'!$Q$2:$Q$1399,1,0)</f>
        <v>903-2024-12-31</v>
      </c>
    </row>
    <row r="566" spans="1:31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9"/>
        <v>1</v>
      </c>
      <c r="N566" s="3">
        <f t="shared" si="110"/>
        <v>1</v>
      </c>
      <c r="O566" s="3" t="s">
        <v>58</v>
      </c>
      <c r="P566" s="3" t="s">
        <v>58</v>
      </c>
      <c r="Q566" s="3" t="str">
        <f t="shared" si="92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  <c r="AE566" t="str">
        <f>VLOOKUP(Q566,'[1]Consolidado Cierres'!$Q$2:$Q$1399,1,0)</f>
        <v>905-2024-12-31</v>
      </c>
    </row>
    <row r="567" spans="1:31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9"/>
        <v>1</v>
      </c>
      <c r="N567" s="3">
        <f t="shared" si="110"/>
        <v>1</v>
      </c>
      <c r="O567" s="3" t="s">
        <v>58</v>
      </c>
      <c r="P567" s="3" t="s">
        <v>58</v>
      </c>
      <c r="Q567" s="3" t="str">
        <f t="shared" si="92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  <c r="AE567" t="str">
        <f>VLOOKUP(Q567,'[1]Consolidado Cierres'!$Q$2:$Q$1399,1,0)</f>
        <v>906-2024-12-31</v>
      </c>
    </row>
    <row r="568" spans="1:31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9"/>
        <v>1</v>
      </c>
      <c r="N568" s="3">
        <f t="shared" si="110"/>
        <v>1</v>
      </c>
      <c r="O568" s="3" t="s">
        <v>58</v>
      </c>
      <c r="P568" s="3" t="s">
        <v>58</v>
      </c>
      <c r="Q568" s="3" t="str">
        <f t="shared" si="92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  <c r="AE568" t="str">
        <f>VLOOKUP(Q568,'[1]Consolidado Cierres'!$Q$2:$Q$1399,1,0)</f>
        <v>907-2024-12-31</v>
      </c>
    </row>
    <row r="569" spans="1:31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9"/>
        <v>1</v>
      </c>
      <c r="N569" s="3">
        <f t="shared" si="110"/>
        <v>1</v>
      </c>
      <c r="O569" s="3" t="s">
        <v>58</v>
      </c>
      <c r="P569" s="3" t="s">
        <v>58</v>
      </c>
      <c r="Q569" s="3" t="str">
        <f t="shared" si="92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  <c r="AE569" t="str">
        <f>VLOOKUP(Q569,'[1]Consolidado Cierres'!$Q$2:$Q$1399,1,0)</f>
        <v>908-2024-12-31</v>
      </c>
    </row>
    <row r="570" spans="1:31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9"/>
        <v>1</v>
      </c>
      <c r="N570" s="3">
        <f t="shared" si="110"/>
        <v>1</v>
      </c>
      <c r="O570" s="3">
        <v>0</v>
      </c>
      <c r="P570" s="3">
        <v>0</v>
      </c>
      <c r="Q570" s="3" t="str">
        <f t="shared" si="92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  <c r="AE570" t="e">
        <f>VLOOKUP(Q570,'[1]Consolidado Cierres'!$Q$2:$Q$1399,1,0)</f>
        <v>#N/A</v>
      </c>
    </row>
    <row r="571" spans="1:31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9"/>
        <v>1</v>
      </c>
      <c r="N571" s="3">
        <f t="shared" si="110"/>
        <v>1</v>
      </c>
      <c r="O571" s="3">
        <v>0</v>
      </c>
      <c r="P571" s="3">
        <v>0</v>
      </c>
      <c r="Q571" s="3" t="str">
        <f t="shared" si="92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  <c r="AE571" t="str">
        <f>VLOOKUP(Q571,'[1]Consolidado Cierres'!$Q$2:$Q$1399,1,0)</f>
        <v>10.1-2023-12-31</v>
      </c>
    </row>
    <row r="572" spans="1:31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9"/>
        <v>1</v>
      </c>
      <c r="N572" s="3">
        <f t="shared" si="110"/>
        <v>1</v>
      </c>
      <c r="O572" s="3" t="s">
        <v>58</v>
      </c>
      <c r="P572" s="3" t="s">
        <v>58</v>
      </c>
      <c r="Q572" s="3" t="str">
        <f t="shared" si="92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  <c r="AE572" t="str">
        <f>VLOOKUP(Q572,'[1]Consolidado Cierres'!$Q$2:$Q$1399,1,0)</f>
        <v>13.1-2022-12-31</v>
      </c>
    </row>
    <row r="573" spans="1:31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9"/>
        <v>1</v>
      </c>
      <c r="N573" s="3">
        <f t="shared" si="110"/>
        <v>1</v>
      </c>
      <c r="O573" s="3" t="s">
        <v>58</v>
      </c>
      <c r="P573" s="3" t="s">
        <v>58</v>
      </c>
      <c r="Q573" s="3" t="str">
        <f t="shared" si="92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  <c r="AE573" t="e">
        <f>VLOOKUP(Q573,'[1]Consolidado Cierres'!$Q$2:$Q$1399,1,0)</f>
        <v>#N/A</v>
      </c>
    </row>
    <row r="574" spans="1:31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9"/>
        <v>1</v>
      </c>
      <c r="N574" s="3">
        <f t="shared" si="110"/>
        <v>1</v>
      </c>
      <c r="O574" s="3" t="s">
        <v>58</v>
      </c>
      <c r="P574" s="3" t="s">
        <v>58</v>
      </c>
      <c r="Q574" s="3" t="str">
        <f t="shared" si="92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  <c r="AE574" t="str">
        <f>VLOOKUP(Q574,'[1]Consolidado Cierres'!$Q$2:$Q$1399,1,0)</f>
        <v>1-2026-01-01</v>
      </c>
    </row>
    <row r="575" spans="1:31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9"/>
        <v>1</v>
      </c>
      <c r="N575" s="3">
        <f t="shared" si="110"/>
        <v>1</v>
      </c>
      <c r="O575" s="3" t="s">
        <v>58</v>
      </c>
      <c r="P575" s="3" t="s">
        <v>58</v>
      </c>
      <c r="Q575" s="3" t="str">
        <f t="shared" si="92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  <c r="AE575" t="str">
        <f>VLOOKUP(Q575,'[1]Consolidado Cierres'!$Q$2:$Q$1399,1,0)</f>
        <v>2-2026-01-01</v>
      </c>
    </row>
    <row r="576" spans="1:31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9"/>
        <v>1</v>
      </c>
      <c r="N576" s="3">
        <f t="shared" si="110"/>
        <v>1</v>
      </c>
      <c r="O576" s="3" t="s">
        <v>58</v>
      </c>
      <c r="P576" s="3" t="s">
        <v>58</v>
      </c>
      <c r="Q576" s="3" t="str">
        <f t="shared" si="92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  <c r="AE576" t="str">
        <f>VLOOKUP(Q576,'[1]Consolidado Cierres'!$Q$2:$Q$1399,1,0)</f>
        <v>3-2026-01-01</v>
      </c>
    </row>
    <row r="577" spans="1:31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9"/>
        <v>1</v>
      </c>
      <c r="N577" s="3">
        <f t="shared" si="110"/>
        <v>1</v>
      </c>
      <c r="O577" s="3"/>
      <c r="P577" s="3"/>
      <c r="Q577" s="3" t="str">
        <f t="shared" si="92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  <c r="AE577" t="str">
        <f>VLOOKUP(Q577,'[1]Consolidado Cierres'!$Q$2:$Q$1399,1,0)</f>
        <v>4-2026-01-01</v>
      </c>
    </row>
    <row r="578" spans="1:31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9"/>
        <v>1</v>
      </c>
      <c r="N578" s="3">
        <f t="shared" si="110"/>
        <v>1</v>
      </c>
      <c r="O578" s="3" t="s">
        <v>58</v>
      </c>
      <c r="P578" s="3" t="s">
        <v>58</v>
      </c>
      <c r="Q578" s="3" t="str">
        <f t="shared" si="92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  <c r="AE578" t="str">
        <f>VLOOKUP(Q578,'[1]Consolidado Cierres'!$Q$2:$Q$1399,1,0)</f>
        <v>6-2026-01-01</v>
      </c>
    </row>
    <row r="579" spans="1:31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9"/>
        <v>1</v>
      </c>
      <c r="N579" s="3">
        <f t="shared" si="110"/>
        <v>1</v>
      </c>
      <c r="O579" s="3" t="s">
        <v>58</v>
      </c>
      <c r="P579" s="3" t="s">
        <v>58</v>
      </c>
      <c r="Q579" s="3" t="str">
        <f t="shared" ref="Q579:Q642" si="111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  <c r="AE579" t="str">
        <f>VLOOKUP(Q579,'[1]Consolidado Cierres'!$Q$2:$Q$1399,1,0)</f>
        <v>7-2026-01-01</v>
      </c>
    </row>
    <row r="580" spans="1:31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9"/>
        <v>1</v>
      </c>
      <c r="N580" s="3">
        <f t="shared" si="110"/>
        <v>1</v>
      </c>
      <c r="O580" s="3" t="s">
        <v>58</v>
      </c>
      <c r="P580" s="3" t="s">
        <v>58</v>
      </c>
      <c r="Q580" s="3" t="str">
        <f t="shared" si="111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  <c r="AE580" t="str">
        <f>VLOOKUP(Q580,'[1]Consolidado Cierres'!$Q$2:$Q$1399,1,0)</f>
        <v>9-2026-01-01</v>
      </c>
    </row>
    <row r="581" spans="1:31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9"/>
        <v>1</v>
      </c>
      <c r="N581" s="3">
        <f t="shared" si="110"/>
        <v>1</v>
      </c>
      <c r="O581" s="3">
        <v>0</v>
      </c>
      <c r="P581" s="3">
        <v>0</v>
      </c>
      <c r="Q581" s="3" t="str">
        <f t="shared" si="111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  <c r="AE581" t="str">
        <f>VLOOKUP(Q581,'[1]Consolidado Cierres'!$Q$2:$Q$1399,1,0)</f>
        <v>10-2026-01-01</v>
      </c>
    </row>
    <row r="582" spans="1:31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1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  <c r="AE582" t="str">
        <f>VLOOKUP(Q582,'[1]Consolidado Cierres'!$Q$2:$Q$1399,1,0)</f>
        <v>11-2026-01-01</v>
      </c>
    </row>
    <row r="583" spans="1:31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1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  <c r="AE583" t="e">
        <f>VLOOKUP(Q583,'[1]Consolidado Cierres'!$Q$2:$Q$1399,1,0)</f>
        <v>#N/A</v>
      </c>
    </row>
    <row r="584" spans="1:31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1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  <c r="AE584" t="str">
        <f>VLOOKUP(Q584,'[1]Consolidado Cierres'!$Q$2:$Q$1399,1,0)</f>
        <v>12-2026-01-01</v>
      </c>
    </row>
    <row r="585" spans="1:31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9"/>
        <v>1</v>
      </c>
      <c r="N585" s="3">
        <f t="shared" si="110"/>
        <v>1</v>
      </c>
      <c r="O585" s="3" t="s">
        <v>58</v>
      </c>
      <c r="P585" s="3" t="s">
        <v>58</v>
      </c>
      <c r="Q585" s="3" t="str">
        <f t="shared" si="111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  <c r="AE585" t="str">
        <f>VLOOKUP(Q585,'[1]Consolidado Cierres'!$Q$2:$Q$1399,1,0)</f>
        <v>13-2026-01-01</v>
      </c>
    </row>
    <row r="586" spans="1:31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9"/>
        <v>1</v>
      </c>
      <c r="N586" s="3">
        <f t="shared" si="110"/>
        <v>1</v>
      </c>
      <c r="O586" s="3">
        <v>0</v>
      </c>
      <c r="P586" s="3">
        <v>0</v>
      </c>
      <c r="Q586" s="3" t="str">
        <f t="shared" si="111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  <c r="AE586" t="str">
        <f>VLOOKUP(Q586,'[1]Consolidado Cierres'!$Q$2:$Q$1399,1,0)</f>
        <v>10.1-2026-01-01</v>
      </c>
    </row>
    <row r="587" spans="1:31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9"/>
        <v>1</v>
      </c>
      <c r="N587" s="3">
        <f t="shared" si="110"/>
        <v>1</v>
      </c>
      <c r="O587" s="3" t="s">
        <v>58</v>
      </c>
      <c r="P587" s="3" t="s">
        <v>58</v>
      </c>
      <c r="Q587" s="3" t="str">
        <f t="shared" si="111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  <c r="AE587" t="str">
        <f>VLOOKUP(Q587,'[1]Consolidado Cierres'!$Q$2:$Q$1399,1,0)</f>
        <v>13.1-2026-01-01</v>
      </c>
    </row>
    <row r="588" spans="1:31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9"/>
        <v>1</v>
      </c>
      <c r="N588" s="3">
        <f t="shared" si="110"/>
        <v>1</v>
      </c>
      <c r="O588" s="3" t="s">
        <v>58</v>
      </c>
      <c r="P588" s="3" t="s">
        <v>58</v>
      </c>
      <c r="Q588" s="3" t="str">
        <f t="shared" si="111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  <c r="AE588" t="str">
        <f>VLOOKUP(Q588,'[1]Consolidado Cierres'!$Q$2:$Q$1399,1,0)</f>
        <v>900-2026-01-01</v>
      </c>
    </row>
    <row r="589" spans="1:31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1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  <c r="AE589" t="str">
        <f>VLOOKUP(Q589,'[1]Consolidado Cierres'!$Q$2:$Q$1399,1,0)</f>
        <v>901-2026-01-01</v>
      </c>
    </row>
    <row r="590" spans="1:31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9"/>
        <v>1</v>
      </c>
      <c r="N590" s="3">
        <f t="shared" si="110"/>
        <v>1</v>
      </c>
      <c r="O590" s="3"/>
      <c r="P590" s="3"/>
      <c r="Q590" s="3" t="str">
        <f t="shared" si="111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  <c r="AE590" t="str">
        <f>VLOOKUP(Q590,'[1]Consolidado Cierres'!$Q$2:$Q$1399,1,0)</f>
        <v>902-2026-01-01</v>
      </c>
    </row>
    <row r="591" spans="1:31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9"/>
        <v>1</v>
      </c>
      <c r="N591" s="3">
        <f t="shared" si="110"/>
        <v>1</v>
      </c>
      <c r="O591" s="3"/>
      <c r="P591" s="3"/>
      <c r="Q591" s="3" t="str">
        <f t="shared" si="111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  <c r="AE591" t="str">
        <f>VLOOKUP(Q591,'[1]Consolidado Cierres'!$Q$2:$Q$1399,1,0)</f>
        <v>903-2026-01-01</v>
      </c>
    </row>
    <row r="592" spans="1:31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9"/>
        <v>1</v>
      </c>
      <c r="N592" s="3">
        <f t="shared" si="110"/>
        <v>1</v>
      </c>
      <c r="O592" s="3" t="s">
        <v>58</v>
      </c>
      <c r="P592" s="3" t="s">
        <v>58</v>
      </c>
      <c r="Q592" s="3" t="str">
        <f t="shared" si="111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  <c r="AE592" t="str">
        <f>VLOOKUP(Q592,'[1]Consolidado Cierres'!$Q$2:$Q$1399,1,0)</f>
        <v>904-2026-01-01</v>
      </c>
    </row>
    <row r="593" spans="1:31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9"/>
        <v>1</v>
      </c>
      <c r="N593" s="3">
        <f t="shared" si="110"/>
        <v>1</v>
      </c>
      <c r="O593" s="3" t="s">
        <v>58</v>
      </c>
      <c r="P593" s="3" t="s">
        <v>58</v>
      </c>
      <c r="Q593" s="3" t="str">
        <f t="shared" si="111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  <c r="AE593" t="str">
        <f>VLOOKUP(Q593,'[1]Consolidado Cierres'!$Q$2:$Q$1399,1,0)</f>
        <v>905-2026-01-01</v>
      </c>
    </row>
    <row r="594" spans="1:31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9"/>
        <v>1</v>
      </c>
      <c r="N594" s="3">
        <f t="shared" si="110"/>
        <v>1</v>
      </c>
      <c r="O594" s="3" t="s">
        <v>58</v>
      </c>
      <c r="P594" s="3" t="s">
        <v>58</v>
      </c>
      <c r="Q594" s="3" t="str">
        <f t="shared" si="111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  <c r="AE594" t="str">
        <f>VLOOKUP(Q594,'[1]Consolidado Cierres'!$Q$2:$Q$1399,1,0)</f>
        <v>906-2026-01-01</v>
      </c>
    </row>
    <row r="595" spans="1:31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9"/>
        <v>1</v>
      </c>
      <c r="N595" s="3">
        <f t="shared" si="110"/>
        <v>1</v>
      </c>
      <c r="O595" s="3" t="s">
        <v>58</v>
      </c>
      <c r="P595" s="3" t="s">
        <v>58</v>
      </c>
      <c r="Q595" s="3" t="str">
        <f t="shared" si="111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  <c r="AE595" t="str">
        <f>VLOOKUP(Q595,'[1]Consolidado Cierres'!$Q$2:$Q$1399,1,0)</f>
        <v>907-2026-01-01</v>
      </c>
    </row>
    <row r="596" spans="1:31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9"/>
        <v>1</v>
      </c>
      <c r="N596" s="3">
        <f t="shared" si="110"/>
        <v>1</v>
      </c>
      <c r="O596" s="3" t="s">
        <v>58</v>
      </c>
      <c r="P596" s="3" t="s">
        <v>58</v>
      </c>
      <c r="Q596" s="3" t="str">
        <f t="shared" si="111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  <c r="AE596" t="str">
        <f>VLOOKUP(Q596,'[1]Consolidado Cierres'!$Q$2:$Q$1399,1,0)</f>
        <v>908-2026-01-01</v>
      </c>
    </row>
    <row r="597" spans="1:31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9"/>
        <v>1</v>
      </c>
      <c r="N597" s="3">
        <f t="shared" si="110"/>
        <v>1</v>
      </c>
      <c r="O597" s="3" t="s">
        <v>58</v>
      </c>
      <c r="P597" s="3" t="s">
        <v>58</v>
      </c>
      <c r="Q597" s="3" t="str">
        <f t="shared" si="111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  <c r="AE597" t="e">
        <f>VLOOKUP(Q597,'[1]Consolidado Cierres'!$Q$2:$Q$1399,1,0)</f>
        <v>#N/A</v>
      </c>
    </row>
    <row r="598" spans="1:31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9"/>
        <v>1</v>
      </c>
      <c r="N598" s="3">
        <f t="shared" si="110"/>
        <v>1</v>
      </c>
      <c r="O598" s="3" t="s">
        <v>58</v>
      </c>
      <c r="P598" s="3" t="s">
        <v>58</v>
      </c>
      <c r="Q598" s="3" t="str">
        <f t="shared" si="111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  <c r="AE598" t="e">
        <f>VLOOKUP(Q598,'[1]Consolidado Cierres'!$Q$2:$Q$1399,1,0)</f>
        <v>#N/A</v>
      </c>
    </row>
    <row r="599" spans="1:31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9"/>
        <v>1</v>
      </c>
      <c r="N599" s="3">
        <f t="shared" si="110"/>
        <v>1</v>
      </c>
      <c r="O599" s="3"/>
      <c r="P599" s="3"/>
      <c r="Q599" s="3" t="str">
        <f t="shared" si="111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  <c r="AE599" t="e">
        <f>VLOOKUP(Q599,'[1]Consolidado Cierres'!$Q$2:$Q$1399,1,0)</f>
        <v>#N/A</v>
      </c>
    </row>
    <row r="600" spans="1:31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9"/>
        <v>0.99</v>
      </c>
      <c r="N600" s="3">
        <f t="shared" si="110"/>
        <v>0.99</v>
      </c>
      <c r="O600" s="3" t="s">
        <v>58</v>
      </c>
      <c r="P600" s="3" t="s">
        <v>58</v>
      </c>
      <c r="Q600" s="3" t="str">
        <f t="shared" si="111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  <c r="AE600" t="e">
        <f>VLOOKUP(Q600,'[1]Consolidado Cierres'!$Q$2:$Q$1399,1,0)</f>
        <v>#N/A</v>
      </c>
    </row>
    <row r="601" spans="1:31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9"/>
        <v>1</v>
      </c>
      <c r="N601" s="3">
        <f t="shared" si="110"/>
        <v>1</v>
      </c>
      <c r="O601" s="3">
        <v>0</v>
      </c>
      <c r="P601" s="3">
        <v>0</v>
      </c>
      <c r="Q601" s="3" t="str">
        <f t="shared" si="111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  <c r="AE601" t="e">
        <f>VLOOKUP(Q601,'[1]Consolidado Cierres'!$Q$2:$Q$1399,1,0)</f>
        <v>#N/A</v>
      </c>
    </row>
    <row r="602" spans="1:31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9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1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  <c r="AE602" t="e">
        <f>VLOOKUP(Q602,'[1]Consolidado Cierres'!$Q$2:$Q$1399,1,0)</f>
        <v>#N/A</v>
      </c>
    </row>
    <row r="603" spans="1:31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2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1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  <c r="AE603" t="e">
        <f>VLOOKUP(Q603,'[1]Consolidado Cierres'!$Q$2:$Q$1399,1,0)</f>
        <v>#N/A</v>
      </c>
    </row>
    <row r="604" spans="1:31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2"/>
        <v>0.93333333333333335</v>
      </c>
      <c r="N604" s="3">
        <f t="shared" ref="N604:N616" si="113">IF(L604/K604&gt;1,1,L604/K604)</f>
        <v>0.93333333333333335</v>
      </c>
      <c r="O604" s="3" t="s">
        <v>58</v>
      </c>
      <c r="P604" s="3" t="s">
        <v>58</v>
      </c>
      <c r="Q604" s="3" t="str">
        <f t="shared" si="111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  <c r="AE604" t="e">
        <f>VLOOKUP(Q604,'[1]Consolidado Cierres'!$Q$2:$Q$1399,1,0)</f>
        <v>#N/A</v>
      </c>
    </row>
    <row r="605" spans="1:31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2"/>
        <v>1</v>
      </c>
      <c r="N605" s="3">
        <f t="shared" si="113"/>
        <v>1</v>
      </c>
      <c r="O605" s="3">
        <v>0</v>
      </c>
      <c r="P605" s="3">
        <v>0</v>
      </c>
      <c r="Q605" s="3" t="str">
        <f t="shared" si="111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  <c r="AE605" t="e">
        <f>VLOOKUP(Q605,'[1]Consolidado Cierres'!$Q$2:$Q$1399,1,0)</f>
        <v>#N/A</v>
      </c>
    </row>
    <row r="606" spans="1:31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2"/>
        <v>1</v>
      </c>
      <c r="N606" s="3">
        <f t="shared" si="113"/>
        <v>1</v>
      </c>
      <c r="O606" s="3">
        <v>0</v>
      </c>
      <c r="P606" s="3">
        <v>0</v>
      </c>
      <c r="Q606" s="3" t="str">
        <f t="shared" si="111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  <c r="AE606" t="e">
        <f>VLOOKUP(Q606,'[1]Consolidado Cierres'!$Q$2:$Q$1399,1,0)</f>
        <v>#N/A</v>
      </c>
    </row>
    <row r="607" spans="1:31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2"/>
        <v>1</v>
      </c>
      <c r="N607" s="3">
        <f t="shared" si="113"/>
        <v>1</v>
      </c>
      <c r="O607" s="3" t="s">
        <v>58</v>
      </c>
      <c r="P607" s="3" t="s">
        <v>58</v>
      </c>
      <c r="Q607" s="3" t="str">
        <f t="shared" si="111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  <c r="AE607" t="e">
        <f>VLOOKUP(Q607,'[1]Consolidado Cierres'!$Q$2:$Q$1399,1,0)</f>
        <v>#N/A</v>
      </c>
    </row>
    <row r="608" spans="1:31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2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1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  <c r="AE608" t="e">
        <f>VLOOKUP(Q608,'[1]Consolidado Cierres'!$Q$2:$Q$1399,1,0)</f>
        <v>#N/A</v>
      </c>
    </row>
    <row r="609" spans="1:31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2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1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  <c r="AE609" t="e">
        <f>VLOOKUP(Q609,'[1]Consolidado Cierres'!$Q$2:$Q$1399,1,0)</f>
        <v>#N/A</v>
      </c>
    </row>
    <row r="610" spans="1:31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2"/>
        <v>1</v>
      </c>
      <c r="N610" s="3">
        <f t="shared" si="113"/>
        <v>1</v>
      </c>
      <c r="O610" s="3" t="s">
        <v>58</v>
      </c>
      <c r="P610" s="3" t="s">
        <v>58</v>
      </c>
      <c r="Q610" s="3" t="str">
        <f t="shared" si="111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  <c r="AE610" t="e">
        <f>VLOOKUP(Q610,'[1]Consolidado Cierres'!$Q$2:$Q$1399,1,0)</f>
        <v>#N/A</v>
      </c>
    </row>
    <row r="611" spans="1:31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2"/>
        <v>0.96666666666666667</v>
      </c>
      <c r="N611" s="3">
        <f t="shared" si="113"/>
        <v>0.96666666666666667</v>
      </c>
      <c r="O611" s="3" t="s">
        <v>58</v>
      </c>
      <c r="P611" s="3" t="s">
        <v>58</v>
      </c>
      <c r="Q611" s="3" t="str">
        <f t="shared" si="111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  <c r="AE611" t="e">
        <f>VLOOKUP(Q611,'[1]Consolidado Cierres'!$Q$2:$Q$1399,1,0)</f>
        <v>#N/A</v>
      </c>
    </row>
    <row r="612" spans="1:31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2"/>
        <v>0.99</v>
      </c>
      <c r="N612" s="3">
        <f t="shared" si="113"/>
        <v>0.99</v>
      </c>
      <c r="O612" s="3" t="s">
        <v>58</v>
      </c>
      <c r="P612" s="3" t="s">
        <v>58</v>
      </c>
      <c r="Q612" s="3" t="str">
        <f t="shared" si="111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  <c r="AE612" t="e">
        <f>VLOOKUP(Q612,'[1]Consolidado Cierres'!$Q$2:$Q$1399,1,0)</f>
        <v>#N/A</v>
      </c>
    </row>
    <row r="613" spans="1:31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2"/>
        <v>1</v>
      </c>
      <c r="N613" s="3">
        <f t="shared" si="113"/>
        <v>1</v>
      </c>
      <c r="O613" s="3" t="s">
        <v>58</v>
      </c>
      <c r="P613" s="3" t="s">
        <v>58</v>
      </c>
      <c r="Q613" s="3" t="str">
        <f t="shared" si="111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  <c r="AE613" t="e">
        <f>VLOOKUP(Q613,'[1]Consolidado Cierres'!$Q$2:$Q$1399,1,0)</f>
        <v>#N/A</v>
      </c>
    </row>
    <row r="614" spans="1:31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2"/>
        <v>0.94444444444444442</v>
      </c>
      <c r="N614" s="3">
        <f t="shared" si="113"/>
        <v>0.94444444444444442</v>
      </c>
      <c r="O614" s="3" t="s">
        <v>58</v>
      </c>
      <c r="P614" s="3" t="s">
        <v>58</v>
      </c>
      <c r="Q614" s="3" t="str">
        <f t="shared" si="111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  <c r="AE614" t="e">
        <f>VLOOKUP(Q614,'[1]Consolidado Cierres'!$Q$2:$Q$1399,1,0)</f>
        <v>#N/A</v>
      </c>
    </row>
    <row r="615" spans="1:31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2"/>
        <v>1</v>
      </c>
      <c r="N615" s="3">
        <f t="shared" si="113"/>
        <v>1</v>
      </c>
      <c r="O615" s="3" t="s">
        <v>58</v>
      </c>
      <c r="P615" s="3" t="s">
        <v>58</v>
      </c>
      <c r="Q615" s="3" t="str">
        <f t="shared" si="111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  <c r="AE615" t="e">
        <f>VLOOKUP(Q615,'[1]Consolidado Cierres'!$Q$2:$Q$1399,1,0)</f>
        <v>#N/A</v>
      </c>
    </row>
    <row r="616" spans="1:31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2"/>
        <v>1</v>
      </c>
      <c r="N616" s="3">
        <f t="shared" si="113"/>
        <v>1</v>
      </c>
      <c r="O616" s="3">
        <v>0</v>
      </c>
      <c r="P616" s="3">
        <v>0</v>
      </c>
      <c r="Q616" s="3" t="str">
        <f t="shared" si="111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  <c r="AE616" t="e">
        <f>VLOOKUP(Q616,'[1]Consolidado Cierres'!$Q$2:$Q$1399,1,0)</f>
        <v>#N/A</v>
      </c>
    </row>
    <row r="617" spans="1:31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14">IF(L617/K617&gt;1,1,L617/K617)</f>
        <v>1</v>
      </c>
      <c r="N617" s="3">
        <f t="shared" ref="N617:N621" si="115">IF(L617/K617&gt;1,1,L617/K617)</f>
        <v>1</v>
      </c>
      <c r="O617" s="3">
        <v>0</v>
      </c>
      <c r="P617" s="3">
        <v>0</v>
      </c>
      <c r="Q617" s="3" t="str">
        <f t="shared" si="111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  <c r="AE617" t="e">
        <f>VLOOKUP(Q617,'[1]Consolidado Cierres'!$Q$2:$Q$1399,1,0)</f>
        <v>#N/A</v>
      </c>
    </row>
    <row r="618" spans="1:31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4"/>
        <v>1</v>
      </c>
      <c r="N618" s="3">
        <f t="shared" si="115"/>
        <v>1</v>
      </c>
      <c r="O618" s="3">
        <v>0</v>
      </c>
      <c r="P618" s="3">
        <v>0</v>
      </c>
      <c r="Q618" s="3" t="str">
        <f t="shared" si="111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  <c r="AE618" t="e">
        <f>VLOOKUP(Q618,'[1]Consolidado Cierres'!$Q$2:$Q$1399,1,0)</f>
        <v>#N/A</v>
      </c>
    </row>
    <row r="619" spans="1:31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4"/>
        <v>1</v>
      </c>
      <c r="N619" s="3">
        <f t="shared" si="115"/>
        <v>1</v>
      </c>
      <c r="O619" s="3"/>
      <c r="P619" s="3"/>
      <c r="Q619" s="3" t="str">
        <f t="shared" si="111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  <c r="AE619" t="e">
        <f>VLOOKUP(Q619,'[1]Consolidado Cierres'!$Q$2:$Q$1399,1,0)</f>
        <v>#N/A</v>
      </c>
    </row>
    <row r="620" spans="1:31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4"/>
        <v>1</v>
      </c>
      <c r="N620" s="3">
        <f t="shared" si="115"/>
        <v>1</v>
      </c>
      <c r="O620" s="3" t="s">
        <v>58</v>
      </c>
      <c r="P620" s="3" t="s">
        <v>58</v>
      </c>
      <c r="Q620" s="3" t="str">
        <f t="shared" si="111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  <c r="AE620" t="e">
        <f>VLOOKUP(Q620,'[1]Consolidado Cierres'!$Q$2:$Q$1399,1,0)</f>
        <v>#N/A</v>
      </c>
    </row>
    <row r="621" spans="1:31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4"/>
        <v>1</v>
      </c>
      <c r="N621" s="3">
        <f t="shared" si="115"/>
        <v>1</v>
      </c>
      <c r="O621" s="3" t="s">
        <v>58</v>
      </c>
      <c r="P621" s="3" t="s">
        <v>58</v>
      </c>
      <c r="Q621" s="3" t="str">
        <f t="shared" si="111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  <c r="AE621" t="e">
        <f>VLOOKUP(Q621,'[1]Consolidado Cierres'!$Q$2:$Q$1399,1,0)</f>
        <v>#N/A</v>
      </c>
    </row>
    <row r="622" spans="1:31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4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1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  <c r="AE622" t="e">
        <f>VLOOKUP(Q622,'[1]Consolidado Cierres'!$Q$2:$Q$1399,1,0)</f>
        <v>#N/A</v>
      </c>
    </row>
    <row r="623" spans="1:31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4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1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  <c r="AE623" t="e">
        <f>VLOOKUP(Q623,'[1]Consolidado Cierres'!$Q$2:$Q$1399,1,0)</f>
        <v>#N/A</v>
      </c>
    </row>
    <row r="624" spans="1:31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4"/>
        <v>1</v>
      </c>
      <c r="N624" s="3">
        <f t="shared" ref="N624" si="116">IF(L624/K624&gt;1,1,L624/K624)</f>
        <v>1</v>
      </c>
      <c r="O624" s="3" t="s">
        <v>58</v>
      </c>
      <c r="P624" s="3" t="s">
        <v>58</v>
      </c>
      <c r="Q624" s="3" t="str">
        <f t="shared" si="111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  <c r="AE624" t="e">
        <f>VLOOKUP(Q624,'[1]Consolidado Cierres'!$Q$2:$Q$1399,1,0)</f>
        <v>#N/A</v>
      </c>
    </row>
    <row r="625" spans="1:31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4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1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  <c r="AE625" t="e">
        <f>VLOOKUP(Q625,'[1]Consolidado Cierres'!$Q$2:$Q$1399,1,0)</f>
        <v>#N/A</v>
      </c>
    </row>
    <row r="626" spans="1:31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4"/>
        <v>1</v>
      </c>
      <c r="N626" s="3">
        <f t="shared" ref="N626:N631" si="117">IF(L626/K626&gt;1,1,L626/K626)</f>
        <v>1</v>
      </c>
      <c r="O626" s="3"/>
      <c r="P626" s="3"/>
      <c r="Q626" s="3" t="str">
        <f t="shared" si="111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  <c r="AE626" t="e">
        <f>VLOOKUP(Q626,'[1]Consolidado Cierres'!$Q$2:$Q$1399,1,0)</f>
        <v>#N/A</v>
      </c>
    </row>
    <row r="627" spans="1:31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4"/>
        <v>0.99</v>
      </c>
      <c r="N627" s="3">
        <f t="shared" si="117"/>
        <v>0.99</v>
      </c>
      <c r="O627" s="3" t="s">
        <v>58</v>
      </c>
      <c r="P627" s="3" t="s">
        <v>58</v>
      </c>
      <c r="Q627" s="3" t="str">
        <f t="shared" si="111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  <c r="AE627" t="str">
        <f>VLOOKUP(Q627,'[1]Consolidado Cierres'!$Q$2:$Q$1399,1,0)</f>
        <v>903-2026-01-01</v>
      </c>
    </row>
    <row r="628" spans="1:31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4"/>
        <v>0.93333333333333335</v>
      </c>
      <c r="N628" s="3">
        <f t="shared" si="117"/>
        <v>0.93333333333333335</v>
      </c>
      <c r="O628" s="3" t="s">
        <v>58</v>
      </c>
      <c r="P628" s="3" t="s">
        <v>58</v>
      </c>
      <c r="Q628" s="3" t="str">
        <f t="shared" si="111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  <c r="AE628" t="e">
        <f>VLOOKUP(Q628,'[1]Consolidado Cierres'!$Q$2:$Q$1399,1,0)</f>
        <v>#N/A</v>
      </c>
    </row>
    <row r="629" spans="1:31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4"/>
        <v>1</v>
      </c>
      <c r="N629" s="3">
        <f t="shared" si="117"/>
        <v>1</v>
      </c>
      <c r="O629" s="3" t="s">
        <v>58</v>
      </c>
      <c r="P629" s="3" t="s">
        <v>58</v>
      </c>
      <c r="Q629" s="3" t="str">
        <f t="shared" si="111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  <c r="AE629" t="e">
        <f>VLOOKUP(Q629,'[1]Consolidado Cierres'!$Q$2:$Q$1399,1,0)</f>
        <v>#N/A</v>
      </c>
    </row>
    <row r="630" spans="1:31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4"/>
        <v>1</v>
      </c>
      <c r="N630" s="3">
        <f t="shared" si="117"/>
        <v>1</v>
      </c>
      <c r="O630" s="3" t="s">
        <v>58</v>
      </c>
      <c r="P630" s="3" t="s">
        <v>58</v>
      </c>
      <c r="Q630" s="3" t="str">
        <f t="shared" si="111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  <c r="AE630" t="e">
        <f>VLOOKUP(Q630,'[1]Consolidado Cierres'!$Q$2:$Q$1399,1,0)</f>
        <v>#N/A</v>
      </c>
    </row>
    <row r="631" spans="1:31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4"/>
        <v>0.99</v>
      </c>
      <c r="N631" s="3">
        <f t="shared" si="117"/>
        <v>0.99</v>
      </c>
      <c r="O631" s="3" t="s">
        <v>58</v>
      </c>
      <c r="P631" s="3" t="s">
        <v>58</v>
      </c>
      <c r="Q631" s="3" t="str">
        <f t="shared" si="111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  <c r="AE631" t="e">
        <f>VLOOKUP(Q631,'[1]Consolidado Cierres'!$Q$2:$Q$1399,1,0)</f>
        <v>#N/A</v>
      </c>
    </row>
    <row r="632" spans="1:31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4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1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  <c r="AE632" t="e">
        <f>VLOOKUP(Q632,'[1]Consolidado Cierres'!$Q$2:$Q$1399,1,0)</f>
        <v>#N/A</v>
      </c>
    </row>
    <row r="633" spans="1:31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4"/>
        <v>0.94444444444444442</v>
      </c>
      <c r="N633" s="3">
        <f t="shared" ref="N633:N636" si="118">IF(L633/K633&gt;1,1,L633/K633)</f>
        <v>0.94444444444444442</v>
      </c>
      <c r="O633" s="3" t="s">
        <v>58</v>
      </c>
      <c r="P633" s="3" t="s">
        <v>58</v>
      </c>
      <c r="Q633" s="3" t="str">
        <f t="shared" si="111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  <c r="AE633" t="e">
        <f>VLOOKUP(Q633,'[1]Consolidado Cierres'!$Q$2:$Q$1399,1,0)</f>
        <v>#N/A</v>
      </c>
    </row>
    <row r="634" spans="1:31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4"/>
        <v>1</v>
      </c>
      <c r="N634" s="3">
        <f t="shared" si="118"/>
        <v>1</v>
      </c>
      <c r="O634" s="3" t="s">
        <v>58</v>
      </c>
      <c r="P634" s="3" t="s">
        <v>58</v>
      </c>
      <c r="Q634" s="3" t="str">
        <f t="shared" si="111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  <c r="AE634" t="e">
        <f>VLOOKUP(Q634,'[1]Consolidado Cierres'!$Q$2:$Q$1399,1,0)</f>
        <v>#N/A</v>
      </c>
    </row>
    <row r="635" spans="1:31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4"/>
        <v>0.96666666666666667</v>
      </c>
      <c r="N635" s="3">
        <f t="shared" si="118"/>
        <v>0.96666666666666667</v>
      </c>
      <c r="O635" s="3" t="s">
        <v>58</v>
      </c>
      <c r="P635" s="3" t="s">
        <v>58</v>
      </c>
      <c r="Q635" s="3" t="str">
        <f t="shared" si="111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  <c r="AE635" t="e">
        <f>VLOOKUP(Q635,'[1]Consolidado Cierres'!$Q$2:$Q$1399,1,0)</f>
        <v>#N/A</v>
      </c>
    </row>
    <row r="636" spans="1:31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4"/>
        <v>1</v>
      </c>
      <c r="N636" s="3">
        <f t="shared" si="118"/>
        <v>1</v>
      </c>
      <c r="O636" s="3" t="s">
        <v>58</v>
      </c>
      <c r="P636" s="3" t="s">
        <v>58</v>
      </c>
      <c r="Q636" s="3" t="str">
        <f t="shared" si="111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  <c r="AE636" t="e">
        <f>VLOOKUP(Q636,'[1]Consolidado Cierres'!$Q$2:$Q$1399,1,0)</f>
        <v>#N/A</v>
      </c>
    </row>
    <row r="637" spans="1:31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19">IF(L637/K637&gt;1,1,L637/K637)</f>
        <v>1</v>
      </c>
      <c r="N637" s="3">
        <f t="shared" ref="N637" si="120">IF(L637/K637&gt;1,1,L637/K637)</f>
        <v>1</v>
      </c>
      <c r="O637" s="3" t="s">
        <v>58</v>
      </c>
      <c r="P637" s="3" t="s">
        <v>58</v>
      </c>
      <c r="Q637" s="3" t="str">
        <f t="shared" si="111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  <c r="AE637" t="e">
        <f>VLOOKUP(Q637,'[1]Consolidado Cierres'!$Q$2:$Q$1399,1,0)</f>
        <v>#N/A</v>
      </c>
    </row>
    <row r="638" spans="1:31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1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  <c r="AE638" t="str">
        <f>VLOOKUP(Q638,'[1]Consolidado Cierres'!$Q$2:$Q$1399,1,0)</f>
        <v>Prov-1-2026-01-01</v>
      </c>
    </row>
    <row r="639" spans="1:31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1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  <c r="AE639" t="str">
        <f>VLOOKUP(Q639,'[1]Consolidado Cierres'!$Q$2:$Q$1399,1,0)</f>
        <v>Prov-2-2026-01-01</v>
      </c>
    </row>
    <row r="640" spans="1:31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1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  <c r="AE640" t="e">
        <f>VLOOKUP(Q640,'[1]Consolidado Cierres'!$Q$2:$Q$1399,1,0)</f>
        <v>#N/A</v>
      </c>
    </row>
    <row r="641" spans="1:31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1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  <c r="AE641" t="e">
        <f>VLOOKUP(Q641,'[1]Consolidado Cierres'!$Q$2:$Q$1399,1,0)</f>
        <v>#N/A</v>
      </c>
    </row>
    <row r="642" spans="1:31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1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  <c r="AE642" t="e">
        <f>VLOOKUP(Q642,'[1]Consolidado Cierres'!$Q$2:$Q$1399,1,0)</f>
        <v>#N/A</v>
      </c>
    </row>
    <row r="643" spans="1:31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21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  <c r="AE643" t="e">
        <f>VLOOKUP(Q643,'[1]Consolidado Cierres'!$Q$2:$Q$1399,1,0)</f>
        <v>#N/A</v>
      </c>
    </row>
    <row r="644" spans="1:31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1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  <c r="AE644" t="e">
        <f>VLOOKUP(Q644,'[1]Consolidado Cierres'!$Q$2:$Q$1399,1,0)</f>
        <v>#N/A</v>
      </c>
    </row>
    <row r="645" spans="1:31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1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  <c r="AE645" t="e">
        <f>VLOOKUP(Q645,'[1]Consolidado Cierres'!$Q$2:$Q$1399,1,0)</f>
        <v>#N/A</v>
      </c>
    </row>
    <row r="646" spans="1:31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1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  <c r="AE646" t="e">
        <f>VLOOKUP(Q646,'[1]Consolidado Cierres'!$Q$2:$Q$1399,1,0)</f>
        <v>#N/A</v>
      </c>
    </row>
    <row r="647" spans="1:31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1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  <c r="AE647" t="e">
        <f>VLOOKUP(Q647,'[1]Consolidado Cierres'!$Q$2:$Q$1399,1,0)</f>
        <v>#N/A</v>
      </c>
    </row>
    <row r="648" spans="1:31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1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  <c r="AE648" t="e">
        <f>VLOOKUP(Q648,'[1]Consolidado Cierres'!$Q$2:$Q$1399,1,0)</f>
        <v>#N/A</v>
      </c>
    </row>
    <row r="649" spans="1:31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1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  <c r="AE649" t="e">
        <f>VLOOKUP(Q649,'[1]Consolidado Cierres'!$Q$2:$Q$1399,1,0)</f>
        <v>#N/A</v>
      </c>
    </row>
    <row r="650" spans="1:31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1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  <c r="AE650" t="e">
        <f>VLOOKUP(Q650,'[1]Consolidado Cierres'!$Q$2:$Q$1399,1,0)</f>
        <v>#N/A</v>
      </c>
    </row>
    <row r="651" spans="1:31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1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1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1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1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1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sheetPr filterMode="1"/>
  <dimension ref="A1:AE658"/>
  <sheetViews>
    <sheetView tabSelected="1" topLeftCell="C1" workbookViewId="0">
      <pane ySplit="1" topLeftCell="A294" activePane="bottomLeft" state="frozen"/>
      <selection pane="bottomLeft" activeCell="T296" sqref="T296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  <c r="AE1" s="17" t="s">
        <v>587</v>
      </c>
    </row>
    <row r="2" spans="1:31" hidden="1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  <c r="AE2" t="e">
        <f>VLOOKUP(Q2,'[1]Consolidado Cierres'!$Q$2:$Q$1399,1,0)</f>
        <v>#N/A</v>
      </c>
    </row>
    <row r="3" spans="1:31" hidden="1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  <c r="AE3" t="e">
        <f>VLOOKUP(Q3,'[1]Consolidado Cierres'!$Q$2:$Q$1399,1,0)</f>
        <v>#N/A</v>
      </c>
    </row>
    <row r="4" spans="1:31" hidden="1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  <c r="AE4" t="e">
        <f>VLOOKUP(Q4,'[1]Consolidado Cierres'!$Q$2:$Q$1399,1,0)</f>
        <v>#N/A</v>
      </c>
    </row>
    <row r="5" spans="1:31" hidden="1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  <c r="AE5" t="e">
        <f>VLOOKUP(Q5,'[1]Consolidado Cierres'!$Q$2:$Q$1399,1,0)</f>
        <v>#N/A</v>
      </c>
    </row>
    <row r="6" spans="1:31" hidden="1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  <c r="AE6" t="e">
        <f>VLOOKUP(Q6,'[1]Consolidado Cierres'!$Q$2:$Q$1399,1,0)</f>
        <v>#N/A</v>
      </c>
    </row>
    <row r="7" spans="1:31" hidden="1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  <c r="AE7" t="e">
        <f>VLOOKUP(Q7,'[1]Consolidado Cierres'!$Q$2:$Q$1399,1,0)</f>
        <v>#N/A</v>
      </c>
    </row>
    <row r="8" spans="1:31" hidden="1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  <c r="AE8" t="e">
        <f>VLOOKUP(Q8,'[1]Consolidado Cierres'!$Q$2:$Q$1399,1,0)</f>
        <v>#N/A</v>
      </c>
    </row>
    <row r="9" spans="1:31" hidden="1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  <c r="AE9" t="e">
        <f>VLOOKUP(Q9,'[1]Consolidado Cierres'!$Q$2:$Q$1399,1,0)</f>
        <v>#N/A</v>
      </c>
    </row>
    <row r="10" spans="1:31" hidden="1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  <c r="AE10" t="e">
        <f>VLOOKUP(Q10,'[1]Consolidado Cierres'!$Q$2:$Q$1399,1,0)</f>
        <v>#N/A</v>
      </c>
    </row>
    <row r="11" spans="1:31" hidden="1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  <c r="AE11" t="e">
        <f>VLOOKUP(Q11,'[1]Consolidado Cierres'!$Q$2:$Q$1399,1,0)</f>
        <v>#N/A</v>
      </c>
    </row>
    <row r="12" spans="1:31" hidden="1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  <c r="AE12" t="e">
        <f>VLOOKUP(Q12,'[1]Consolidado Cierres'!$Q$2:$Q$1399,1,0)</f>
        <v>#N/A</v>
      </c>
    </row>
    <row r="13" spans="1:31" hidden="1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  <c r="AE13" t="e">
        <f>VLOOKUP(Q13,'[1]Consolidado Cierres'!$Q$2:$Q$1399,1,0)</f>
        <v>#N/A</v>
      </c>
    </row>
    <row r="14" spans="1:31" hidden="1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  <c r="AE14" t="e">
        <f>VLOOKUP(Q14,'[1]Consolidado Cierres'!$Q$2:$Q$1399,1,0)</f>
        <v>#N/A</v>
      </c>
    </row>
    <row r="15" spans="1:31" hidden="1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  <c r="AE15" t="str">
        <f>VLOOKUP(Q15,'[1]Consolidado Cierres'!$Q$2:$Q$1399,1,0)</f>
        <v>14-2022-12-31</v>
      </c>
    </row>
    <row r="16" spans="1:31" hidden="1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  <c r="AE16" t="str">
        <f>VLOOKUP(Q16,'[1]Consolidado Cierres'!$Q$2:$Q$1399,1,0)</f>
        <v>14-2022-12-31</v>
      </c>
    </row>
    <row r="17" spans="1:31" hidden="1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  <c r="AE17" t="e">
        <f>VLOOKUP(Q17,'[1]Consolidado Cierres'!$Q$2:$Q$1399,1,0)</f>
        <v>#N/A</v>
      </c>
    </row>
    <row r="18" spans="1:31" hidden="1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  <c r="AE18" t="str">
        <f>VLOOKUP(Q18,'[1]Consolidado Cierres'!$Q$2:$Q$1399,1,0)</f>
        <v>14-2023-12-31</v>
      </c>
    </row>
    <row r="19" spans="1:31" hidden="1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  <c r="AE19" t="str">
        <f>VLOOKUP(Q19,'[1]Consolidado Cierres'!$Q$2:$Q$1399,1,0)</f>
        <v>14-2023-12-31</v>
      </c>
    </row>
    <row r="20" spans="1:31" hidden="1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  <c r="AE20" t="e">
        <f>VLOOKUP(Q20,'[1]Consolidado Cierres'!$Q$2:$Q$1399,1,0)</f>
        <v>#N/A</v>
      </c>
    </row>
    <row r="21" spans="1:31" hidden="1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  <c r="AE21" t="str">
        <f>VLOOKUP(Q21,'[1]Consolidado Cierres'!$Q$2:$Q$1399,1,0)</f>
        <v>14-2024-12-31</v>
      </c>
    </row>
    <row r="22" spans="1:31" hidden="1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  <c r="AE22" t="str">
        <f>VLOOKUP(Q22,'[1]Consolidado Cierres'!$Q$2:$Q$1399,1,0)</f>
        <v>14-2024-12-31</v>
      </c>
    </row>
    <row r="23" spans="1:31" hidden="1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  <c r="AE23" t="str">
        <f>VLOOKUP(Q23,'[1]Consolidado Cierres'!$Q$2:$Q$1399,1,0)</f>
        <v>14-2025-06-30</v>
      </c>
    </row>
    <row r="24" spans="1:31" hidden="1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  <c r="AE24" t="e">
        <f>VLOOKUP(Q24,'[1]Consolidado Cierres'!$Q$2:$Q$1399,1,0)</f>
        <v>#N/A</v>
      </c>
    </row>
    <row r="25" spans="1:31" hidden="1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  <c r="AE25" t="e">
        <f>VLOOKUP(Q25,'[1]Consolidado Cierres'!$Q$2:$Q$1399,1,0)</f>
        <v>#N/A</v>
      </c>
    </row>
    <row r="26" spans="1:31" hidden="1" x14ac:dyDescent="0.3">
      <c r="A26" s="3" t="s">
        <v>588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  <c r="AE26" t="e">
        <f>VLOOKUP(Q26,'[1]Consolidado Cierres'!$Q$2:$Q$1399,1,0)</f>
        <v>#N/A</v>
      </c>
    </row>
    <row r="27" spans="1:31" hidden="1" x14ac:dyDescent="0.3">
      <c r="A27" s="3" t="s">
        <v>588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  <c r="AE27" t="e">
        <f>VLOOKUP(Q27,'[1]Consolidado Cierres'!$Q$2:$Q$1399,1,0)</f>
        <v>#N/A</v>
      </c>
    </row>
    <row r="28" spans="1:31" hidden="1" x14ac:dyDescent="0.3">
      <c r="A28" s="3" t="s">
        <v>588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  <c r="AE28" t="e">
        <f>VLOOKUP(Q28,'[1]Consolidado Cierres'!$Q$2:$Q$1399,1,0)</f>
        <v>#N/A</v>
      </c>
    </row>
    <row r="29" spans="1:31" hidden="1" x14ac:dyDescent="0.3">
      <c r="A29" s="3" t="s">
        <v>588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  <c r="AE29" t="e">
        <f>VLOOKUP(Q29,'[1]Consolidado Cierres'!$Q$2:$Q$1399,1,0)</f>
        <v>#N/A</v>
      </c>
    </row>
    <row r="30" spans="1:31" hidden="1" x14ac:dyDescent="0.3">
      <c r="A30" s="3" t="s">
        <v>588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  <c r="AE30" t="e">
        <f>VLOOKUP(Q30,'[1]Consolidado Cierres'!$Q$2:$Q$1399,1,0)</f>
        <v>#N/A</v>
      </c>
    </row>
    <row r="31" spans="1:31" hidden="1" x14ac:dyDescent="0.3">
      <c r="A31" s="3" t="s">
        <v>588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  <c r="AE31" t="e">
        <f>VLOOKUP(Q31,'[1]Consolidado Cierres'!$Q$2:$Q$1399,1,0)</f>
        <v>#N/A</v>
      </c>
    </row>
    <row r="32" spans="1:31" hidden="1" x14ac:dyDescent="0.3">
      <c r="A32" s="3" t="s">
        <v>588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  <c r="AE32" t="e">
        <f>VLOOKUP(Q32,'[1]Consolidado Cierres'!$Q$2:$Q$1399,1,0)</f>
        <v>#N/A</v>
      </c>
    </row>
    <row r="33" spans="1:31" hidden="1" x14ac:dyDescent="0.3">
      <c r="A33" s="3" t="s">
        <v>588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  <c r="AE33" t="e">
        <f>VLOOKUP(Q33,'[1]Consolidado Cierres'!$Q$2:$Q$1399,1,0)</f>
        <v>#N/A</v>
      </c>
    </row>
    <row r="34" spans="1:31" hidden="1" x14ac:dyDescent="0.3">
      <c r="A34" s="3" t="s">
        <v>588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  <c r="AE34" t="e">
        <f>VLOOKUP(Q34,'[1]Consolidado Cierres'!$Q$2:$Q$1399,1,0)</f>
        <v>#N/A</v>
      </c>
    </row>
    <row r="35" spans="1:31" hidden="1" x14ac:dyDescent="0.3">
      <c r="A35" s="3" t="s">
        <v>588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  <c r="AE35" t="e">
        <f>VLOOKUP(Q35,'[1]Consolidado Cierres'!$Q$2:$Q$1399,1,0)</f>
        <v>#N/A</v>
      </c>
    </row>
    <row r="36" spans="1:31" hidden="1" x14ac:dyDescent="0.3">
      <c r="A36" s="3" t="s">
        <v>588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  <c r="AE36" t="e">
        <f>VLOOKUP(Q36,'[1]Consolidado Cierres'!$Q$2:$Q$1399,1,0)</f>
        <v>#N/A</v>
      </c>
    </row>
    <row r="37" spans="1:31" hidden="1" x14ac:dyDescent="0.3">
      <c r="A37" s="3" t="s">
        <v>588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  <c r="AE37" t="e">
        <f>VLOOKUP(Q37,'[1]Consolidado Cierres'!$Q$2:$Q$1399,1,0)</f>
        <v>#N/A</v>
      </c>
    </row>
    <row r="38" spans="1:31" hidden="1" x14ac:dyDescent="0.3">
      <c r="A38" s="3" t="s">
        <v>588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  <c r="AE38" t="e">
        <f>VLOOKUP(Q38,'[1]Consolidado Cierres'!$Q$2:$Q$1399,1,0)</f>
        <v>#N/A</v>
      </c>
    </row>
    <row r="39" spans="1:31" hidden="1" x14ac:dyDescent="0.3">
      <c r="A39" s="3" t="s">
        <v>588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  <c r="AE39" t="str">
        <f>VLOOKUP(Q39,'[1]Consolidado Cierres'!$Q$2:$Q$1399,1,0)</f>
        <v>14.1-2022-12-31</v>
      </c>
    </row>
    <row r="40" spans="1:31" hidden="1" x14ac:dyDescent="0.3">
      <c r="A40" s="3" t="s">
        <v>588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  <c r="AE40" t="str">
        <f>VLOOKUP(Q40,'[1]Consolidado Cierres'!$Q$2:$Q$1399,1,0)</f>
        <v>14.1-2022-12-31</v>
      </c>
    </row>
    <row r="41" spans="1:31" hidden="1" x14ac:dyDescent="0.3">
      <c r="A41" s="3" t="s">
        <v>588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  <c r="AE41" t="e">
        <f>VLOOKUP(Q41,'[1]Consolidado Cierres'!$Q$2:$Q$1399,1,0)</f>
        <v>#N/A</v>
      </c>
    </row>
    <row r="42" spans="1:31" hidden="1" x14ac:dyDescent="0.3">
      <c r="A42" s="3" t="s">
        <v>588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  <c r="AE42" t="str">
        <f>VLOOKUP(Q42,'[1]Consolidado Cierres'!$Q$2:$Q$1399,1,0)</f>
        <v>14.1-2023-12-31</v>
      </c>
    </row>
    <row r="43" spans="1:31" hidden="1" x14ac:dyDescent="0.3">
      <c r="A43" s="3" t="s">
        <v>588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  <c r="AE43" t="str">
        <f>VLOOKUP(Q43,'[1]Consolidado Cierres'!$Q$2:$Q$1399,1,0)</f>
        <v>14.1-2023-12-31</v>
      </c>
    </row>
    <row r="44" spans="1:31" hidden="1" x14ac:dyDescent="0.3">
      <c r="A44" s="3" t="s">
        <v>588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  <c r="AE44" t="e">
        <f>VLOOKUP(Q44,'[1]Consolidado Cierres'!$Q$2:$Q$1399,1,0)</f>
        <v>#N/A</v>
      </c>
    </row>
    <row r="45" spans="1:31" hidden="1" x14ac:dyDescent="0.3">
      <c r="A45" s="3" t="s">
        <v>588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  <c r="AE45" t="str">
        <f>VLOOKUP(Q45,'[1]Consolidado Cierres'!$Q$2:$Q$1399,1,0)</f>
        <v>14.1-2024-12-31</v>
      </c>
    </row>
    <row r="46" spans="1:31" hidden="1" x14ac:dyDescent="0.3">
      <c r="A46" s="3" t="s">
        <v>588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  <c r="AE46" t="str">
        <f>VLOOKUP(Q46,'[1]Consolidado Cierres'!$Q$2:$Q$1399,1,0)</f>
        <v>14.1-2024-12-31</v>
      </c>
    </row>
    <row r="47" spans="1:31" hidden="1" x14ac:dyDescent="0.3">
      <c r="A47" s="3" t="s">
        <v>588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  <c r="AE47" t="str">
        <f>VLOOKUP(Q47,'[1]Consolidado Cierres'!$Q$2:$Q$1399,1,0)</f>
        <v>14.1-2025-06-30</v>
      </c>
    </row>
    <row r="48" spans="1:31" hidden="1" x14ac:dyDescent="0.3">
      <c r="A48" s="3" t="s">
        <v>588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  <c r="AE48" t="e">
        <f>VLOOKUP(Q48,'[1]Consolidado Cierres'!$Q$2:$Q$1399,1,0)</f>
        <v>#N/A</v>
      </c>
    </row>
    <row r="49" spans="1:31" hidden="1" x14ac:dyDescent="0.3">
      <c r="A49" s="3" t="s">
        <v>588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  <c r="AE49" t="e">
        <f>VLOOKUP(Q49,'[1]Consolidado Cierres'!$Q$2:$Q$1399,1,0)</f>
        <v>#N/A</v>
      </c>
    </row>
    <row r="50" spans="1:31" hidden="1" x14ac:dyDescent="0.3">
      <c r="A50" s="3" t="s">
        <v>589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  <c r="AE50" t="e">
        <f>VLOOKUP(Q50,'[1]Consolidado Cierres'!$Q$2:$Q$1399,1,0)</f>
        <v>#N/A</v>
      </c>
    </row>
    <row r="51" spans="1:31" hidden="1" x14ac:dyDescent="0.3">
      <c r="A51" s="3" t="s">
        <v>589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  <c r="AE51" t="e">
        <f>VLOOKUP(Q51,'[1]Consolidado Cierres'!$Q$2:$Q$1399,1,0)</f>
        <v>#N/A</v>
      </c>
    </row>
    <row r="52" spans="1:31" hidden="1" x14ac:dyDescent="0.3">
      <c r="A52" s="3" t="s">
        <v>589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  <c r="AE52" t="e">
        <f>VLOOKUP(Q52,'[1]Consolidado Cierres'!$Q$2:$Q$1399,1,0)</f>
        <v>#N/A</v>
      </c>
    </row>
    <row r="53" spans="1:31" hidden="1" x14ac:dyDescent="0.3">
      <c r="A53" s="3" t="s">
        <v>589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  <c r="AE53" t="e">
        <f>VLOOKUP(Q53,'[1]Consolidado Cierres'!$Q$2:$Q$1399,1,0)</f>
        <v>#N/A</v>
      </c>
    </row>
    <row r="54" spans="1:31" hidden="1" x14ac:dyDescent="0.3">
      <c r="A54" s="3" t="s">
        <v>589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  <c r="AE54" t="e">
        <f>VLOOKUP(Q54,'[1]Consolidado Cierres'!$Q$2:$Q$1399,1,0)</f>
        <v>#N/A</v>
      </c>
    </row>
    <row r="55" spans="1:31" hidden="1" x14ac:dyDescent="0.3">
      <c r="A55" s="3" t="s">
        <v>589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  <c r="AE55" t="e">
        <f>VLOOKUP(Q55,'[1]Consolidado Cierres'!$Q$2:$Q$1399,1,0)</f>
        <v>#N/A</v>
      </c>
    </row>
    <row r="56" spans="1:31" hidden="1" x14ac:dyDescent="0.3">
      <c r="A56" s="3" t="s">
        <v>589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  <c r="AE56" t="e">
        <f>VLOOKUP(Q56,'[1]Consolidado Cierres'!$Q$2:$Q$1399,1,0)</f>
        <v>#N/A</v>
      </c>
    </row>
    <row r="57" spans="1:31" hidden="1" x14ac:dyDescent="0.3">
      <c r="A57" s="3" t="s">
        <v>589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  <c r="AE57" t="e">
        <f>VLOOKUP(Q57,'[1]Consolidado Cierres'!$Q$2:$Q$1399,1,0)</f>
        <v>#N/A</v>
      </c>
    </row>
    <row r="58" spans="1:31" hidden="1" x14ac:dyDescent="0.3">
      <c r="A58" s="3" t="s">
        <v>589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  <c r="AE58" t="e">
        <f>VLOOKUP(Q58,'[1]Consolidado Cierres'!$Q$2:$Q$1399,1,0)</f>
        <v>#N/A</v>
      </c>
    </row>
    <row r="59" spans="1:31" hidden="1" x14ac:dyDescent="0.3">
      <c r="A59" s="3" t="s">
        <v>589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  <c r="AE59" t="e">
        <f>VLOOKUP(Q59,'[1]Consolidado Cierres'!$Q$2:$Q$1399,1,0)</f>
        <v>#N/A</v>
      </c>
    </row>
    <row r="60" spans="1:31" hidden="1" x14ac:dyDescent="0.3">
      <c r="A60" s="3" t="s">
        <v>589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  <c r="AE60" t="e">
        <f>VLOOKUP(Q60,'[1]Consolidado Cierres'!$Q$2:$Q$1399,1,0)</f>
        <v>#N/A</v>
      </c>
    </row>
    <row r="61" spans="1:31" hidden="1" x14ac:dyDescent="0.3">
      <c r="A61" s="3" t="s">
        <v>589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  <c r="AE61" t="e">
        <f>VLOOKUP(Q61,'[1]Consolidado Cierres'!$Q$2:$Q$1399,1,0)</f>
        <v>#N/A</v>
      </c>
    </row>
    <row r="62" spans="1:31" hidden="1" x14ac:dyDescent="0.3">
      <c r="A62" s="3" t="s">
        <v>589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  <c r="AE62" t="e">
        <f>VLOOKUP(Q62,'[1]Consolidado Cierres'!$Q$2:$Q$1399,1,0)</f>
        <v>#N/A</v>
      </c>
    </row>
    <row r="63" spans="1:31" hidden="1" x14ac:dyDescent="0.3">
      <c r="A63" s="3" t="s">
        <v>589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  <c r="AE63" t="str">
        <f>VLOOKUP(Q63,'[1]Consolidado Cierres'!$Q$2:$Q$1399,1,0)</f>
        <v>14.2-2022-12-31</v>
      </c>
    </row>
    <row r="64" spans="1:31" hidden="1" x14ac:dyDescent="0.3">
      <c r="A64" s="3" t="s">
        <v>589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  <c r="AE64" t="str">
        <f>VLOOKUP(Q64,'[1]Consolidado Cierres'!$Q$2:$Q$1399,1,0)</f>
        <v>14.2-2022-12-31</v>
      </c>
    </row>
    <row r="65" spans="1:31" hidden="1" x14ac:dyDescent="0.3">
      <c r="A65" s="3" t="s">
        <v>589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  <c r="AE65" t="e">
        <f>VLOOKUP(Q65,'[1]Consolidado Cierres'!$Q$2:$Q$1399,1,0)</f>
        <v>#N/A</v>
      </c>
    </row>
    <row r="66" spans="1:31" hidden="1" x14ac:dyDescent="0.3">
      <c r="A66" s="3" t="s">
        <v>589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  <c r="AE66" t="str">
        <f>VLOOKUP(Q66,'[1]Consolidado Cierres'!$Q$2:$Q$1399,1,0)</f>
        <v>14.2-2023-12-31</v>
      </c>
    </row>
    <row r="67" spans="1:31" hidden="1" x14ac:dyDescent="0.3">
      <c r="A67" s="3" t="s">
        <v>589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  <c r="AE67" t="str">
        <f>VLOOKUP(Q67,'[1]Consolidado Cierres'!$Q$2:$Q$1399,1,0)</f>
        <v>14.2-2023-12-31</v>
      </c>
    </row>
    <row r="68" spans="1:31" hidden="1" x14ac:dyDescent="0.3">
      <c r="A68" s="3" t="s">
        <v>589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  <c r="AE68" t="e">
        <f>VLOOKUP(Q68,'[1]Consolidado Cierres'!$Q$2:$Q$1399,1,0)</f>
        <v>#N/A</v>
      </c>
    </row>
    <row r="69" spans="1:31" hidden="1" x14ac:dyDescent="0.3">
      <c r="A69" s="3" t="s">
        <v>589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  <c r="AE69" t="str">
        <f>VLOOKUP(Q69,'[1]Consolidado Cierres'!$Q$2:$Q$1399,1,0)</f>
        <v>14.2-2024-12-31</v>
      </c>
    </row>
    <row r="70" spans="1:31" hidden="1" x14ac:dyDescent="0.3">
      <c r="A70" s="3" t="s">
        <v>589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  <c r="AE70" t="str">
        <f>VLOOKUP(Q70,'[1]Consolidado Cierres'!$Q$2:$Q$1399,1,0)</f>
        <v>14.2-2024-12-31</v>
      </c>
    </row>
    <row r="71" spans="1:31" hidden="1" x14ac:dyDescent="0.3">
      <c r="A71" s="3" t="s">
        <v>589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  <c r="AE71" t="str">
        <f>VLOOKUP(Q71,'[1]Consolidado Cierres'!$Q$2:$Q$1399,1,0)</f>
        <v>14.2-2025-06-30</v>
      </c>
    </row>
    <row r="72" spans="1:31" hidden="1" x14ac:dyDescent="0.3">
      <c r="A72" s="3" t="s">
        <v>589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  <c r="AE72" t="e">
        <f>VLOOKUP(Q72,'[1]Consolidado Cierres'!$Q$2:$Q$1399,1,0)</f>
        <v>#N/A</v>
      </c>
    </row>
    <row r="73" spans="1:31" hidden="1" x14ac:dyDescent="0.3">
      <c r="A73" s="3" t="s">
        <v>589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  <c r="AE73" t="e">
        <f>VLOOKUP(Q73,'[1]Consolidado Cierres'!$Q$2:$Q$1399,1,0)</f>
        <v>#N/A</v>
      </c>
    </row>
    <row r="74" spans="1:31" hidden="1" x14ac:dyDescent="0.3">
      <c r="A74" s="3" t="s">
        <v>590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  <c r="AE74" t="e">
        <f>VLOOKUP(Q74,'[1]Consolidado Cierres'!$Q$2:$Q$1399,1,0)</f>
        <v>#N/A</v>
      </c>
    </row>
    <row r="75" spans="1:31" hidden="1" x14ac:dyDescent="0.3">
      <c r="A75" s="3" t="s">
        <v>590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  <c r="AE75" t="e">
        <f>VLOOKUP(Q75,'[1]Consolidado Cierres'!$Q$2:$Q$1399,1,0)</f>
        <v>#N/A</v>
      </c>
    </row>
    <row r="76" spans="1:31" hidden="1" x14ac:dyDescent="0.3">
      <c r="A76" s="3" t="s">
        <v>590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  <c r="AE76" t="e">
        <f>VLOOKUP(Q76,'[1]Consolidado Cierres'!$Q$2:$Q$1399,1,0)</f>
        <v>#N/A</v>
      </c>
    </row>
    <row r="77" spans="1:31" hidden="1" x14ac:dyDescent="0.3">
      <c r="A77" s="3" t="s">
        <v>590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  <c r="AE77" t="e">
        <f>VLOOKUP(Q77,'[1]Consolidado Cierres'!$Q$2:$Q$1399,1,0)</f>
        <v>#N/A</v>
      </c>
    </row>
    <row r="78" spans="1:31" hidden="1" x14ac:dyDescent="0.3">
      <c r="A78" s="3" t="s">
        <v>590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  <c r="AE78" t="e">
        <f>VLOOKUP(Q78,'[1]Consolidado Cierres'!$Q$2:$Q$1399,1,0)</f>
        <v>#N/A</v>
      </c>
    </row>
    <row r="79" spans="1:31" hidden="1" x14ac:dyDescent="0.3">
      <c r="A79" s="3" t="s">
        <v>590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  <c r="AE79" t="e">
        <f>VLOOKUP(Q79,'[1]Consolidado Cierres'!$Q$2:$Q$1399,1,0)</f>
        <v>#N/A</v>
      </c>
    </row>
    <row r="80" spans="1:31" hidden="1" x14ac:dyDescent="0.3">
      <c r="A80" s="3" t="s">
        <v>590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  <c r="AE80" t="e">
        <f>VLOOKUP(Q80,'[1]Consolidado Cierres'!$Q$2:$Q$1399,1,0)</f>
        <v>#N/A</v>
      </c>
    </row>
    <row r="81" spans="1:31" hidden="1" x14ac:dyDescent="0.3">
      <c r="A81" s="3" t="s">
        <v>590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  <c r="AE81" t="e">
        <f>VLOOKUP(Q81,'[1]Consolidado Cierres'!$Q$2:$Q$1399,1,0)</f>
        <v>#N/A</v>
      </c>
    </row>
    <row r="82" spans="1:31" hidden="1" x14ac:dyDescent="0.3">
      <c r="A82" s="3" t="s">
        <v>590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  <c r="AE82" t="e">
        <f>VLOOKUP(Q82,'[1]Consolidado Cierres'!$Q$2:$Q$1399,1,0)</f>
        <v>#N/A</v>
      </c>
    </row>
    <row r="83" spans="1:31" hidden="1" x14ac:dyDescent="0.3">
      <c r="A83" s="3" t="s">
        <v>590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  <c r="AE83" t="e">
        <f>VLOOKUP(Q83,'[1]Consolidado Cierres'!$Q$2:$Q$1399,1,0)</f>
        <v>#N/A</v>
      </c>
    </row>
    <row r="84" spans="1:31" hidden="1" x14ac:dyDescent="0.3">
      <c r="A84" s="3" t="s">
        <v>590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  <c r="AE84" t="e">
        <f>VLOOKUP(Q84,'[1]Consolidado Cierres'!$Q$2:$Q$1399,1,0)</f>
        <v>#N/A</v>
      </c>
    </row>
    <row r="85" spans="1:31" hidden="1" x14ac:dyDescent="0.3">
      <c r="A85" s="3" t="s">
        <v>590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  <c r="AE85" t="e">
        <f>VLOOKUP(Q85,'[1]Consolidado Cierres'!$Q$2:$Q$1399,1,0)</f>
        <v>#N/A</v>
      </c>
    </row>
    <row r="86" spans="1:31" hidden="1" x14ac:dyDescent="0.3">
      <c r="A86" s="3" t="s">
        <v>590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  <c r="AE86" t="e">
        <f>VLOOKUP(Q86,'[1]Consolidado Cierres'!$Q$2:$Q$1399,1,0)</f>
        <v>#N/A</v>
      </c>
    </row>
    <row r="87" spans="1:31" hidden="1" x14ac:dyDescent="0.3">
      <c r="A87" s="3" t="s">
        <v>590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  <c r="AE87" t="str">
        <f>VLOOKUP(Q87,'[1]Consolidado Cierres'!$Q$2:$Q$1399,1,0)</f>
        <v>14.3-2022-12-31</v>
      </c>
    </row>
    <row r="88" spans="1:31" hidden="1" x14ac:dyDescent="0.3">
      <c r="A88" s="3" t="s">
        <v>590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  <c r="AE88" t="str">
        <f>VLOOKUP(Q88,'[1]Consolidado Cierres'!$Q$2:$Q$1399,1,0)</f>
        <v>14.3-2022-12-31</v>
      </c>
    </row>
    <row r="89" spans="1:31" hidden="1" x14ac:dyDescent="0.3">
      <c r="A89" s="3" t="s">
        <v>590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  <c r="AE89" t="e">
        <f>VLOOKUP(Q89,'[1]Consolidado Cierres'!$Q$2:$Q$1399,1,0)</f>
        <v>#N/A</v>
      </c>
    </row>
    <row r="90" spans="1:31" hidden="1" x14ac:dyDescent="0.3">
      <c r="A90" s="3" t="s">
        <v>590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  <c r="AE90" t="str">
        <f>VLOOKUP(Q90,'[1]Consolidado Cierres'!$Q$2:$Q$1399,1,0)</f>
        <v>14.3-2023-12-31</v>
      </c>
    </row>
    <row r="91" spans="1:31" hidden="1" x14ac:dyDescent="0.3">
      <c r="A91" s="3" t="s">
        <v>590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  <c r="AE91" t="str">
        <f>VLOOKUP(Q91,'[1]Consolidado Cierres'!$Q$2:$Q$1399,1,0)</f>
        <v>14.3-2023-12-31</v>
      </c>
    </row>
    <row r="92" spans="1:31" hidden="1" x14ac:dyDescent="0.3">
      <c r="A92" s="3" t="s">
        <v>590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  <c r="AE92" t="e">
        <f>VLOOKUP(Q92,'[1]Consolidado Cierres'!$Q$2:$Q$1399,1,0)</f>
        <v>#N/A</v>
      </c>
    </row>
    <row r="93" spans="1:31" hidden="1" x14ac:dyDescent="0.3">
      <c r="A93" s="3" t="s">
        <v>590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  <c r="AE93" t="str">
        <f>VLOOKUP(Q93,'[1]Consolidado Cierres'!$Q$2:$Q$1399,1,0)</f>
        <v>14.3-2024-12-31</v>
      </c>
    </row>
    <row r="94" spans="1:31" hidden="1" x14ac:dyDescent="0.3">
      <c r="A94" s="3" t="s">
        <v>590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  <c r="AE94" t="str">
        <f>VLOOKUP(Q94,'[1]Consolidado Cierres'!$Q$2:$Q$1399,1,0)</f>
        <v>14.3-2024-12-31</v>
      </c>
    </row>
    <row r="95" spans="1:31" hidden="1" x14ac:dyDescent="0.3">
      <c r="A95" s="3" t="s">
        <v>590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  <c r="AE95" t="str">
        <f>VLOOKUP(Q95,'[1]Consolidado Cierres'!$Q$2:$Q$1399,1,0)</f>
        <v>14.3-2025-06-30</v>
      </c>
    </row>
    <row r="96" spans="1:31" hidden="1" x14ac:dyDescent="0.3">
      <c r="A96" s="3" t="s">
        <v>590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  <c r="AE96" t="e">
        <f>VLOOKUP(Q96,'[1]Consolidado Cierres'!$Q$2:$Q$1399,1,0)</f>
        <v>#N/A</v>
      </c>
    </row>
    <row r="97" spans="1:31" hidden="1" x14ac:dyDescent="0.3">
      <c r="A97" s="3" t="s">
        <v>590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  <c r="AE97" t="e">
        <f>VLOOKUP(Q97,'[1]Consolidado Cierres'!$Q$2:$Q$1399,1,0)</f>
        <v>#N/A</v>
      </c>
    </row>
    <row r="98" spans="1:31" hidden="1" x14ac:dyDescent="0.3">
      <c r="A98" s="3" t="s">
        <v>591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  <c r="AE98" t="e">
        <f>VLOOKUP(Q98,'[1]Consolidado Cierres'!$Q$2:$Q$1399,1,0)</f>
        <v>#N/A</v>
      </c>
    </row>
    <row r="99" spans="1:31" hidden="1" x14ac:dyDescent="0.3">
      <c r="A99" s="3" t="s">
        <v>591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  <c r="AE99" t="e">
        <f>VLOOKUP(Q99,'[1]Consolidado Cierres'!$Q$2:$Q$1399,1,0)</f>
        <v>#N/A</v>
      </c>
    </row>
    <row r="100" spans="1:31" hidden="1" x14ac:dyDescent="0.3">
      <c r="A100" s="3" t="s">
        <v>591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  <c r="AE100" t="e">
        <f>VLOOKUP(Q100,'[1]Consolidado Cierres'!$Q$2:$Q$1399,1,0)</f>
        <v>#N/A</v>
      </c>
    </row>
    <row r="101" spans="1:31" hidden="1" x14ac:dyDescent="0.3">
      <c r="A101" s="3" t="s">
        <v>591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  <c r="AE101" t="e">
        <f>VLOOKUP(Q101,'[1]Consolidado Cierres'!$Q$2:$Q$1399,1,0)</f>
        <v>#N/A</v>
      </c>
    </row>
    <row r="102" spans="1:31" hidden="1" x14ac:dyDescent="0.3">
      <c r="A102" s="3" t="s">
        <v>591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  <c r="AE102" t="e">
        <f>VLOOKUP(Q102,'[1]Consolidado Cierres'!$Q$2:$Q$1399,1,0)</f>
        <v>#N/A</v>
      </c>
    </row>
    <row r="103" spans="1:31" hidden="1" x14ac:dyDescent="0.3">
      <c r="A103" s="3" t="s">
        <v>591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  <c r="AE103" t="e">
        <f>VLOOKUP(Q103,'[1]Consolidado Cierres'!$Q$2:$Q$1399,1,0)</f>
        <v>#N/A</v>
      </c>
    </row>
    <row r="104" spans="1:31" hidden="1" x14ac:dyDescent="0.3">
      <c r="A104" s="3" t="s">
        <v>591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  <c r="AE104" t="e">
        <f>VLOOKUP(Q104,'[1]Consolidado Cierres'!$Q$2:$Q$1399,1,0)</f>
        <v>#N/A</v>
      </c>
    </row>
    <row r="105" spans="1:31" hidden="1" x14ac:dyDescent="0.3">
      <c r="A105" s="3" t="s">
        <v>591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  <c r="AE105" t="e">
        <f>VLOOKUP(Q105,'[1]Consolidado Cierres'!$Q$2:$Q$1399,1,0)</f>
        <v>#N/A</v>
      </c>
    </row>
    <row r="106" spans="1:31" hidden="1" x14ac:dyDescent="0.3">
      <c r="A106" s="3" t="s">
        <v>591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  <c r="AE106" t="e">
        <f>VLOOKUP(Q106,'[1]Consolidado Cierres'!$Q$2:$Q$1399,1,0)</f>
        <v>#N/A</v>
      </c>
    </row>
    <row r="107" spans="1:31" hidden="1" x14ac:dyDescent="0.3">
      <c r="A107" s="3" t="s">
        <v>591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  <c r="AE107" t="e">
        <f>VLOOKUP(Q107,'[1]Consolidado Cierres'!$Q$2:$Q$1399,1,0)</f>
        <v>#N/A</v>
      </c>
    </row>
    <row r="108" spans="1:31" hidden="1" x14ac:dyDescent="0.3">
      <c r="A108" s="3" t="s">
        <v>591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  <c r="AE108" t="e">
        <f>VLOOKUP(Q108,'[1]Consolidado Cierres'!$Q$2:$Q$1399,1,0)</f>
        <v>#N/A</v>
      </c>
    </row>
    <row r="109" spans="1:31" hidden="1" x14ac:dyDescent="0.3">
      <c r="A109" s="3" t="s">
        <v>591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  <c r="AE109" t="e">
        <f>VLOOKUP(Q109,'[1]Consolidado Cierres'!$Q$2:$Q$1399,1,0)</f>
        <v>#N/A</v>
      </c>
    </row>
    <row r="110" spans="1:31" hidden="1" x14ac:dyDescent="0.3">
      <c r="A110" s="3" t="s">
        <v>591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  <c r="AE110" t="e">
        <f>VLOOKUP(Q110,'[1]Consolidado Cierres'!$Q$2:$Q$1399,1,0)</f>
        <v>#N/A</v>
      </c>
    </row>
    <row r="111" spans="1:31" hidden="1" x14ac:dyDescent="0.3">
      <c r="A111" s="3" t="s">
        <v>591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  <c r="AE111" t="str">
        <f>VLOOKUP(Q111,'[1]Consolidado Cierres'!$Q$2:$Q$1399,1,0)</f>
        <v>14.4-2022-12-30</v>
      </c>
    </row>
    <row r="112" spans="1:31" hidden="1" x14ac:dyDescent="0.3">
      <c r="A112" s="3" t="s">
        <v>591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  <c r="AE112" t="str">
        <f>VLOOKUP(Q112,'[1]Consolidado Cierres'!$Q$2:$Q$1399,1,0)</f>
        <v>14.4-2022-12-30</v>
      </c>
    </row>
    <row r="113" spans="1:31" hidden="1" x14ac:dyDescent="0.3">
      <c r="A113" s="3" t="s">
        <v>591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  <c r="AE113" t="e">
        <f>VLOOKUP(Q113,'[1]Consolidado Cierres'!$Q$2:$Q$1399,1,0)</f>
        <v>#N/A</v>
      </c>
    </row>
    <row r="114" spans="1:31" hidden="1" x14ac:dyDescent="0.3">
      <c r="A114" s="3" t="s">
        <v>591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  <c r="AE114" t="str">
        <f>VLOOKUP(Q114,'[1]Consolidado Cierres'!$Q$2:$Q$1399,1,0)</f>
        <v>14.4-2023-12-31</v>
      </c>
    </row>
    <row r="115" spans="1:31" hidden="1" x14ac:dyDescent="0.3">
      <c r="A115" s="3" t="s">
        <v>591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  <c r="AE115" t="str">
        <f>VLOOKUP(Q115,'[1]Consolidado Cierres'!$Q$2:$Q$1399,1,0)</f>
        <v>14.4-2023-12-31</v>
      </c>
    </row>
    <row r="116" spans="1:31" hidden="1" x14ac:dyDescent="0.3">
      <c r="A116" s="3" t="s">
        <v>591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  <c r="AE116" t="e">
        <f>VLOOKUP(Q116,'[1]Consolidado Cierres'!$Q$2:$Q$1399,1,0)</f>
        <v>#N/A</v>
      </c>
    </row>
    <row r="117" spans="1:31" hidden="1" x14ac:dyDescent="0.3">
      <c r="A117" s="3" t="s">
        <v>591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  <c r="AE117" t="str">
        <f>VLOOKUP(Q117,'[1]Consolidado Cierres'!$Q$2:$Q$1399,1,0)</f>
        <v>14.4-2024-12-31</v>
      </c>
    </row>
    <row r="118" spans="1:31" hidden="1" x14ac:dyDescent="0.3">
      <c r="A118" s="3" t="s">
        <v>591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  <c r="AE118" t="str">
        <f>VLOOKUP(Q118,'[1]Consolidado Cierres'!$Q$2:$Q$1399,1,0)</f>
        <v>14.4-2024-12-31</v>
      </c>
    </row>
    <row r="119" spans="1:31" hidden="1" x14ac:dyDescent="0.3">
      <c r="A119" s="3" t="s">
        <v>591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  <c r="AE119" t="str">
        <f>VLOOKUP(Q119,'[1]Consolidado Cierres'!$Q$2:$Q$1399,1,0)</f>
        <v>14.4-2025-06-30</v>
      </c>
    </row>
    <row r="120" spans="1:31" hidden="1" x14ac:dyDescent="0.3">
      <c r="A120" s="3" t="s">
        <v>591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  <c r="AE120" t="e">
        <f>VLOOKUP(Q120,'[1]Consolidado Cierres'!$Q$2:$Q$1399,1,0)</f>
        <v>#N/A</v>
      </c>
    </row>
    <row r="121" spans="1:31" hidden="1" x14ac:dyDescent="0.3">
      <c r="A121" s="3" t="s">
        <v>591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  <c r="AE121" t="e">
        <f>VLOOKUP(Q121,'[1]Consolidado Cierres'!$Q$2:$Q$1399,1,0)</f>
        <v>#N/A</v>
      </c>
    </row>
    <row r="122" spans="1:31" hidden="1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  <c r="AE122" t="e">
        <f>VLOOKUP(Q122,'[1]Consolidado Cierres'!$Q$2:$Q$1399,1,0)</f>
        <v>#N/A</v>
      </c>
    </row>
    <row r="123" spans="1:31" hidden="1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  <c r="AE123" t="str">
        <f>VLOOKUP(Q123,'[1]Consolidado Cierres'!$Q$2:$Q$1399,1,0)</f>
        <v>77-2022-12-31</v>
      </c>
    </row>
    <row r="124" spans="1:31" hidden="1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  <c r="AE124" t="str">
        <f>VLOOKUP(Q124,'[1]Consolidado Cierres'!$Q$2:$Q$1399,1,0)</f>
        <v>77-2022-12-31</v>
      </c>
    </row>
    <row r="125" spans="1:31" hidden="1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  <c r="AE125" t="e">
        <f>VLOOKUP(Q125,'[1]Consolidado Cierres'!$Q$2:$Q$1399,1,0)</f>
        <v>#N/A</v>
      </c>
    </row>
    <row r="126" spans="1:31" hidden="1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  <c r="AE126" t="str">
        <f>VLOOKUP(Q126,'[1]Consolidado Cierres'!$Q$2:$Q$1399,1,0)</f>
        <v>77-2023-12-31</v>
      </c>
    </row>
    <row r="127" spans="1:31" hidden="1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  <c r="AE127" t="str">
        <f>VLOOKUP(Q127,'[1]Consolidado Cierres'!$Q$2:$Q$1399,1,0)</f>
        <v>77-2023-12-31</v>
      </c>
    </row>
    <row r="128" spans="1:31" hidden="1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  <c r="AE128" t="e">
        <f>VLOOKUP(Q128,'[1]Consolidado Cierres'!$Q$2:$Q$1399,1,0)</f>
        <v>#N/A</v>
      </c>
    </row>
    <row r="129" spans="1:31" hidden="1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  <c r="AE129" t="str">
        <f>VLOOKUP(Q129,'[1]Consolidado Cierres'!$Q$2:$Q$1399,1,0)</f>
        <v>77-2024-12-31</v>
      </c>
    </row>
    <row r="130" spans="1:31" hidden="1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  <c r="AE130" t="str">
        <f>VLOOKUP(Q130,'[1]Consolidado Cierres'!$Q$2:$Q$1399,1,0)</f>
        <v>77-2024-12-31</v>
      </c>
    </row>
    <row r="131" spans="1:31" hidden="1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  <c r="AE131" t="str">
        <f>VLOOKUP(Q131,'[1]Consolidado Cierres'!$Q$2:$Q$1399,1,0)</f>
        <v>77-2025-06-30</v>
      </c>
    </row>
    <row r="132" spans="1:31" hidden="1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  <c r="AE132" t="e">
        <f>VLOOKUP(Q132,'[1]Consolidado Cierres'!$Q$2:$Q$1399,1,0)</f>
        <v>#N/A</v>
      </c>
    </row>
    <row r="133" spans="1:31" hidden="1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  <c r="AE133" t="str">
        <f>VLOOKUP(Q133,'[1]Consolidado Cierres'!$Q$2:$Q$1399,1,0)</f>
        <v>96-2022-12-31</v>
      </c>
    </row>
    <row r="134" spans="1:31" hidden="1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  <c r="AE134" t="str">
        <f>VLOOKUP(Q134,'[1]Consolidado Cierres'!$Q$2:$Q$1399,1,0)</f>
        <v>96-2022-12-31</v>
      </c>
    </row>
    <row r="135" spans="1:31" hidden="1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  <c r="AE135" t="str">
        <f>VLOOKUP(Q135,'[1]Consolidado Cierres'!$Q$2:$Q$1399,1,0)</f>
        <v>96-2023-12-31</v>
      </c>
    </row>
    <row r="136" spans="1:31" hidden="1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  <c r="AE136" t="str">
        <f>VLOOKUP(Q136,'[1]Consolidado Cierres'!$Q$2:$Q$1399,1,0)</f>
        <v>96-2023-12-31</v>
      </c>
    </row>
    <row r="137" spans="1:31" hidden="1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  <c r="AE137" t="str">
        <f>VLOOKUP(Q137,'[1]Consolidado Cierres'!$Q$2:$Q$1399,1,0)</f>
        <v>96-2024-12-31</v>
      </c>
    </row>
    <row r="138" spans="1:31" hidden="1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  <c r="AE138" t="str">
        <f>VLOOKUP(Q138,'[1]Consolidado Cierres'!$Q$2:$Q$1399,1,0)</f>
        <v>96-2024-12-31</v>
      </c>
    </row>
    <row r="139" spans="1:31" hidden="1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  <c r="AE139" t="e">
        <f>VLOOKUP(Q139,'[1]Consolidado Cierres'!$Q$2:$Q$1399,1,0)</f>
        <v>#N/A</v>
      </c>
    </row>
    <row r="140" spans="1:31" hidden="1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  <c r="AE140" t="str">
        <f>VLOOKUP(Q140,'[1]Consolidado Cierres'!$Q$2:$Q$1399,1,0)</f>
        <v>98-2022-12-31</v>
      </c>
    </row>
    <row r="141" spans="1:31" hidden="1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  <c r="AE141" t="str">
        <f>VLOOKUP(Q141,'[1]Consolidado Cierres'!$Q$2:$Q$1399,1,0)</f>
        <v>98-2022-12-31</v>
      </c>
    </row>
    <row r="142" spans="1:31" hidden="1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  <c r="AE142" t="e">
        <f>VLOOKUP(Q142,'[1]Consolidado Cierres'!$Q$2:$Q$1399,1,0)</f>
        <v>#N/A</v>
      </c>
    </row>
    <row r="143" spans="1:31" hidden="1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  <c r="AE143" t="str">
        <f>VLOOKUP(Q143,'[1]Consolidado Cierres'!$Q$2:$Q$1399,1,0)</f>
        <v>98-2023-12-31</v>
      </c>
    </row>
    <row r="144" spans="1:31" hidden="1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  <c r="AE144" t="str">
        <f>VLOOKUP(Q144,'[1]Consolidado Cierres'!$Q$2:$Q$1399,1,0)</f>
        <v>98-2023-12-31</v>
      </c>
    </row>
    <row r="145" spans="1:31" hidden="1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  <c r="AE145" t="e">
        <f>VLOOKUP(Q145,'[1]Consolidado Cierres'!$Q$2:$Q$1399,1,0)</f>
        <v>#N/A</v>
      </c>
    </row>
    <row r="146" spans="1:31" hidden="1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  <c r="AE146" t="str">
        <f>VLOOKUP(Q146,'[1]Consolidado Cierres'!$Q$2:$Q$1399,1,0)</f>
        <v>98-2024-12-31</v>
      </c>
    </row>
    <row r="147" spans="1:31" hidden="1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  <c r="AE147" t="str">
        <f>VLOOKUP(Q147,'[1]Consolidado Cierres'!$Q$2:$Q$1399,1,0)</f>
        <v>98-2024-12-31</v>
      </c>
    </row>
    <row r="148" spans="1:31" hidden="1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  <c r="AE148" t="str">
        <f>VLOOKUP(Q148,'[1]Consolidado Cierres'!$Q$2:$Q$1399,1,0)</f>
        <v>98-2025-06-30</v>
      </c>
    </row>
    <row r="149" spans="1:31" hidden="1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  <c r="AE149" t="e">
        <f>VLOOKUP(Q149,'[1]Consolidado Cierres'!$Q$2:$Q$1399,1,0)</f>
        <v>#N/A</v>
      </c>
    </row>
    <row r="150" spans="1:31" hidden="1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  <c r="AE150" t="str">
        <f>VLOOKUP(Q150,'[1]Consolidado Cierres'!$Q$2:$Q$1399,1,0)</f>
        <v>109-2023-12-31</v>
      </c>
    </row>
    <row r="151" spans="1:31" hidden="1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  <c r="AE151" t="str">
        <f>VLOOKUP(Q151,'[1]Consolidado Cierres'!$Q$2:$Q$1399,1,0)</f>
        <v>109-2023-12-31</v>
      </c>
    </row>
    <row r="152" spans="1:31" hidden="1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  <c r="AE152" t="str">
        <f>VLOOKUP(Q152,'[1]Consolidado Cierres'!$Q$2:$Q$1399,1,0)</f>
        <v>109-2024-12-31</v>
      </c>
    </row>
    <row r="153" spans="1:31" hidden="1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  <c r="AE153" t="str">
        <f>VLOOKUP(Q153,'[1]Consolidado Cierres'!$Q$2:$Q$1399,1,0)</f>
        <v>109-2024-12-31</v>
      </c>
    </row>
    <row r="154" spans="1:31" hidden="1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  <c r="AE154" t="e">
        <f>VLOOKUP(Q154,'[1]Consolidado Cierres'!$Q$2:$Q$1399,1,0)</f>
        <v>#N/A</v>
      </c>
    </row>
    <row r="155" spans="1:31" hidden="1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  <c r="AE155" t="str">
        <f>VLOOKUP(Q155,'[1]Consolidado Cierres'!$Q$2:$Q$1399,1,0)</f>
        <v>148-2022-12-31</v>
      </c>
    </row>
    <row r="156" spans="1:31" hidden="1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  <c r="AE156" t="e">
        <f>VLOOKUP(Q156,'[1]Consolidado Cierres'!$Q$2:$Q$1399,1,0)</f>
        <v>#N/A</v>
      </c>
    </row>
    <row r="157" spans="1:31" hidden="1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  <c r="AE157" t="str">
        <f>VLOOKUP(Q157,'[1]Consolidado Cierres'!$Q$2:$Q$1399,1,0)</f>
        <v>148-2023-12-31</v>
      </c>
    </row>
    <row r="158" spans="1:31" hidden="1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  <c r="AE158" t="str">
        <f>VLOOKUP(Q158,'[1]Consolidado Cierres'!$Q$2:$Q$1399,1,0)</f>
        <v>148-2023-12-31</v>
      </c>
    </row>
    <row r="159" spans="1:31" hidden="1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  <c r="AE159" t="e">
        <f>VLOOKUP(Q159,'[1]Consolidado Cierres'!$Q$2:$Q$1399,1,0)</f>
        <v>#N/A</v>
      </c>
    </row>
    <row r="160" spans="1:31" hidden="1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  <c r="AE160" t="str">
        <f>VLOOKUP(Q160,'[1]Consolidado Cierres'!$Q$2:$Q$1399,1,0)</f>
        <v>148-2024-12-31</v>
      </c>
    </row>
    <row r="161" spans="1:31" hidden="1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  <c r="AE161" t="str">
        <f>VLOOKUP(Q161,'[1]Consolidado Cierres'!$Q$2:$Q$1399,1,0)</f>
        <v>148-2024-12-31</v>
      </c>
    </row>
    <row r="162" spans="1:31" hidden="1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  <c r="AE162" t="str">
        <f>VLOOKUP(Q162,'[1]Consolidado Cierres'!$Q$2:$Q$1399,1,0)</f>
        <v>148-2025-06-30</v>
      </c>
    </row>
    <row r="163" spans="1:31" hidden="1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  <c r="AE163" t="e">
        <f>VLOOKUP(Q163,'[1]Consolidado Cierres'!$Q$2:$Q$1399,1,0)</f>
        <v>#N/A</v>
      </c>
    </row>
    <row r="164" spans="1:31" hidden="1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  <c r="AE164" t="e">
        <f>VLOOKUP(Q164,'[1]Consolidado Cierres'!$Q$2:$Q$1399,1,0)</f>
        <v>#N/A</v>
      </c>
    </row>
    <row r="165" spans="1:31" hidden="1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  <c r="AE165" t="str">
        <f>VLOOKUP(Q165,'[1]Consolidado Cierres'!$Q$2:$Q$1399,1,0)</f>
        <v>193-2022-12-31</v>
      </c>
    </row>
    <row r="166" spans="1:31" hidden="1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  <c r="AE166" t="str">
        <f>VLOOKUP(Q166,'[1]Consolidado Cierres'!$Q$2:$Q$1399,1,0)</f>
        <v>193-2022-12-31</v>
      </c>
    </row>
    <row r="167" spans="1:31" hidden="1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  <c r="AE167" t="e">
        <f>VLOOKUP(Q167,'[1]Consolidado Cierres'!$Q$2:$Q$1399,1,0)</f>
        <v>#N/A</v>
      </c>
    </row>
    <row r="168" spans="1:31" hidden="1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  <c r="AE168" t="str">
        <f>VLOOKUP(Q168,'[1]Consolidado Cierres'!$Q$2:$Q$1399,1,0)</f>
        <v>193-2023-12-31</v>
      </c>
    </row>
    <row r="169" spans="1:31" hidden="1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  <c r="AE169" t="str">
        <f>VLOOKUP(Q169,'[1]Consolidado Cierres'!$Q$2:$Q$1399,1,0)</f>
        <v>193-2023-12-31</v>
      </c>
    </row>
    <row r="170" spans="1:31" hidden="1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  <c r="AE170" t="e">
        <f>VLOOKUP(Q170,'[1]Consolidado Cierres'!$Q$2:$Q$1399,1,0)</f>
        <v>#N/A</v>
      </c>
    </row>
    <row r="171" spans="1:31" hidden="1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  <c r="AE171" t="str">
        <f>VLOOKUP(Q171,'[1]Consolidado Cierres'!$Q$2:$Q$1399,1,0)</f>
        <v>193-2024-12-31</v>
      </c>
    </row>
    <row r="172" spans="1:31" hidden="1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  <c r="AE172" t="str">
        <f>VLOOKUP(Q172,'[1]Consolidado Cierres'!$Q$2:$Q$1399,1,0)</f>
        <v>193-2024-12-31</v>
      </c>
    </row>
    <row r="173" spans="1:31" hidden="1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  <c r="AE173" t="str">
        <f>VLOOKUP(Q173,'[1]Consolidado Cierres'!$Q$2:$Q$1399,1,0)</f>
        <v>193-2025-06-30</v>
      </c>
    </row>
    <row r="174" spans="1:31" hidden="1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  <c r="AE174" t="e">
        <f>VLOOKUP(Q174,'[1]Consolidado Cierres'!$Q$2:$Q$1399,1,0)</f>
        <v>#N/A</v>
      </c>
    </row>
    <row r="175" spans="1:31" hidden="1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  <c r="AE175" t="e">
        <f>VLOOKUP(Q175,'[1]Consolidado Cierres'!$Q$2:$Q$1399,1,0)</f>
        <v>#N/A</v>
      </c>
    </row>
    <row r="176" spans="1:31" hidden="1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  <c r="AE176" t="str">
        <f>VLOOKUP(Q176,'[1]Consolidado Cierres'!$Q$2:$Q$1399,1,0)</f>
        <v>194-2022-12-31</v>
      </c>
    </row>
    <row r="177" spans="1:31" hidden="1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  <c r="AE177" t="str">
        <f>VLOOKUP(Q177,'[1]Consolidado Cierres'!$Q$2:$Q$1399,1,0)</f>
        <v>194-2022-12-31</v>
      </c>
    </row>
    <row r="178" spans="1:31" hidden="1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  <c r="AE178" t="e">
        <f>VLOOKUP(Q178,'[1]Consolidado Cierres'!$Q$2:$Q$1399,1,0)</f>
        <v>#N/A</v>
      </c>
    </row>
    <row r="179" spans="1:31" hidden="1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  <c r="AE179" t="str">
        <f>VLOOKUP(Q179,'[1]Consolidado Cierres'!$Q$2:$Q$1399,1,0)</f>
        <v>194-2023-12-31</v>
      </c>
    </row>
    <row r="180" spans="1:31" hidden="1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  <c r="AE180" t="str">
        <f>VLOOKUP(Q180,'[1]Consolidado Cierres'!$Q$2:$Q$1399,1,0)</f>
        <v>194-2023-12-31</v>
      </c>
    </row>
    <row r="181" spans="1:31" hidden="1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  <c r="AE181" t="str">
        <f>VLOOKUP(Q181,'[1]Consolidado Cierres'!$Q$2:$Q$1399,1,0)</f>
        <v>194-2024-06-30</v>
      </c>
    </row>
    <row r="182" spans="1:31" hidden="1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  <c r="AE182" t="str">
        <f>VLOOKUP(Q182,'[1]Consolidado Cierres'!$Q$2:$Q$1399,1,0)</f>
        <v>194-2024-12-31</v>
      </c>
    </row>
    <row r="183" spans="1:31" hidden="1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  <c r="AE183" t="str">
        <f>VLOOKUP(Q183,'[1]Consolidado Cierres'!$Q$2:$Q$1399,1,0)</f>
        <v>194-2024-12-31</v>
      </c>
    </row>
    <row r="184" spans="1:31" hidden="1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  <c r="AE184" t="str">
        <f>VLOOKUP(Q184,'[1]Consolidado Cierres'!$Q$2:$Q$1399,1,0)</f>
        <v>194-2025-06-30</v>
      </c>
    </row>
    <row r="185" spans="1:31" hidden="1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  <c r="AE185" t="e">
        <f>VLOOKUP(Q185,'[1]Consolidado Cierres'!$Q$2:$Q$1399,1,0)</f>
        <v>#N/A</v>
      </c>
    </row>
    <row r="186" spans="1:31" hidden="1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  <c r="AE186" t="str">
        <f>VLOOKUP(Q186,'[1]Consolidado Cierres'!$Q$2:$Q$1399,1,0)</f>
        <v>200-2023-12-31</v>
      </c>
    </row>
    <row r="187" spans="1:31" hidden="1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  <c r="AE187" t="str">
        <f>VLOOKUP(Q187,'[1]Consolidado Cierres'!$Q$2:$Q$1399,1,0)</f>
        <v>200-2023-12-31</v>
      </c>
    </row>
    <row r="188" spans="1:31" hidden="1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  <c r="AE188" t="str">
        <f>VLOOKUP(Q188,'[1]Consolidado Cierres'!$Q$2:$Q$1399,1,0)</f>
        <v>200-2024-12-31</v>
      </c>
    </row>
    <row r="189" spans="1:31" hidden="1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  <c r="AE189" t="str">
        <f>VLOOKUP(Q189,'[1]Consolidado Cierres'!$Q$2:$Q$1399,1,0)</f>
        <v>200-2024-12-31</v>
      </c>
    </row>
    <row r="190" spans="1:31" hidden="1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  <c r="AE190" t="str">
        <f>VLOOKUP(Q190,'[1]Consolidado Cierres'!$Q$2:$Q$1399,1,0)</f>
        <v>200-2025-06-30</v>
      </c>
    </row>
    <row r="191" spans="1:31" hidden="1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  <c r="AE191" t="e">
        <f>VLOOKUP(Q191,'[1]Consolidado Cierres'!$Q$2:$Q$1399,1,0)</f>
        <v>#N/A</v>
      </c>
    </row>
    <row r="192" spans="1:31" hidden="1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  <c r="AE192" t="e">
        <f>VLOOKUP(Q192,'[1]Consolidado Cierres'!$Q$2:$Q$1399,1,0)</f>
        <v>#N/A</v>
      </c>
    </row>
    <row r="193" spans="1:31" hidden="1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  <c r="AE193" t="e">
        <f>VLOOKUP(Q193,'[1]Consolidado Cierres'!$Q$2:$Q$1399,1,0)</f>
        <v>#N/A</v>
      </c>
    </row>
    <row r="194" spans="1:31" hidden="1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  <c r="AE194" t="e">
        <f>VLOOKUP(Q194,'[1]Consolidado Cierres'!$Q$2:$Q$1399,1,0)</f>
        <v>#N/A</v>
      </c>
    </row>
    <row r="195" spans="1:31" hidden="1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  <c r="AE195" t="e">
        <f>VLOOKUP(Q195,'[1]Consolidado Cierres'!$Q$2:$Q$1399,1,0)</f>
        <v>#N/A</v>
      </c>
    </row>
    <row r="196" spans="1:31" hidden="1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  <c r="AE196" t="e">
        <f>VLOOKUP(Q196,'[1]Consolidado Cierres'!$Q$2:$Q$1399,1,0)</f>
        <v>#N/A</v>
      </c>
    </row>
    <row r="197" spans="1:31" hidden="1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  <c r="AE197" t="str">
        <f>VLOOKUP(Q197,'[1]Consolidado Cierres'!$Q$2:$Q$1399,1,0)</f>
        <v>202-2023-12-31</v>
      </c>
    </row>
    <row r="198" spans="1:31" hidden="1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  <c r="AE198" t="str">
        <f>VLOOKUP(Q198,'[1]Consolidado Cierres'!$Q$2:$Q$1399,1,0)</f>
        <v>202-2023-12-31</v>
      </c>
    </row>
    <row r="199" spans="1:31" hidden="1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  <c r="AE199" t="str">
        <f>VLOOKUP(Q199,'[1]Consolidado Cierres'!$Q$2:$Q$1399,1,0)</f>
        <v>202-2025-06-30</v>
      </c>
    </row>
    <row r="200" spans="1:31" hidden="1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  <c r="AE200" t="str">
        <f>VLOOKUP(Q200,'[1]Consolidado Cierres'!$Q$2:$Q$1399,1,0)</f>
        <v>202-2025-12-31</v>
      </c>
    </row>
    <row r="201" spans="1:31" hidden="1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  <c r="AE201" t="e">
        <f>VLOOKUP(Q201,'[1]Consolidado Cierres'!$Q$2:$Q$1399,1,0)</f>
        <v>#N/A</v>
      </c>
    </row>
    <row r="202" spans="1:31" hidden="1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  <c r="AE202" t="str">
        <f>VLOOKUP(Q202,'[1]Consolidado Cierres'!$Q$2:$Q$1399,1,0)</f>
        <v>203-2022-12-31</v>
      </c>
    </row>
    <row r="203" spans="1:31" hidden="1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  <c r="AE203" t="str">
        <f>VLOOKUP(Q203,'[1]Consolidado Cierres'!$Q$2:$Q$1399,1,0)</f>
        <v>203-2022-12-31</v>
      </c>
    </row>
    <row r="204" spans="1:31" hidden="1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  <c r="AE204" t="e">
        <f>VLOOKUP(Q204,'[1]Consolidado Cierres'!$Q$2:$Q$1399,1,0)</f>
        <v>#N/A</v>
      </c>
    </row>
    <row r="205" spans="1:31" hidden="1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  <c r="AE205" t="str">
        <f>VLOOKUP(Q205,'[1]Consolidado Cierres'!$Q$2:$Q$1399,1,0)</f>
        <v>203-2023-12-31</v>
      </c>
    </row>
    <row r="206" spans="1:31" hidden="1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  <c r="AE206" t="str">
        <f>VLOOKUP(Q206,'[1]Consolidado Cierres'!$Q$2:$Q$1399,1,0)</f>
        <v>203-2023-12-31</v>
      </c>
    </row>
    <row r="207" spans="1:31" hidden="1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  <c r="AE207" t="e">
        <f>VLOOKUP(Q207,'[1]Consolidado Cierres'!$Q$2:$Q$1399,1,0)</f>
        <v>#N/A</v>
      </c>
    </row>
    <row r="208" spans="1:31" hidden="1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  <c r="AE208" t="str">
        <f>VLOOKUP(Q208,'[1]Consolidado Cierres'!$Q$2:$Q$1399,1,0)</f>
        <v>203-2024-12-31</v>
      </c>
    </row>
    <row r="209" spans="1:31" hidden="1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  <c r="AE209" t="str">
        <f>VLOOKUP(Q209,'[1]Consolidado Cierres'!$Q$2:$Q$1399,1,0)</f>
        <v>203-2024-12-31</v>
      </c>
    </row>
    <row r="210" spans="1:31" hidden="1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  <c r="AE210" t="str">
        <f>VLOOKUP(Q210,'[1]Consolidado Cierres'!$Q$2:$Q$1399,1,0)</f>
        <v>203-2025-06-30</v>
      </c>
    </row>
    <row r="211" spans="1:31" hidden="1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  <c r="AE211" t="str">
        <f>VLOOKUP(Q211,'[1]Consolidado Cierres'!$Q$2:$Q$1399,1,0)</f>
        <v>204-2023-12-31</v>
      </c>
    </row>
    <row r="212" spans="1:31" hidden="1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  <c r="AE212" t="str">
        <f>VLOOKUP(Q212,'[1]Consolidado Cierres'!$Q$2:$Q$1399,1,0)</f>
        <v>204-2023-12-31</v>
      </c>
    </row>
    <row r="213" spans="1:31" hidden="1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  <c r="AE213" t="str">
        <f>VLOOKUP(Q213,'[1]Consolidado Cierres'!$Q$2:$Q$1399,1,0)</f>
        <v>204-2024-12-31</v>
      </c>
    </row>
    <row r="214" spans="1:31" hidden="1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  <c r="AE214" t="str">
        <f>VLOOKUP(Q214,'[1]Consolidado Cierres'!$Q$2:$Q$1399,1,0)</f>
        <v>204-2024-12-31</v>
      </c>
    </row>
    <row r="215" spans="1:31" hidden="1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  <c r="AE215" t="e">
        <f>VLOOKUP(Q215,'[1]Consolidado Cierres'!$Q$2:$Q$1399,1,0)</f>
        <v>#N/A</v>
      </c>
    </row>
    <row r="216" spans="1:31" hidden="1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  <c r="AE216" t="e">
        <f>VLOOKUP(Q216,'[1]Consolidado Cierres'!$Q$2:$Q$1399,1,0)</f>
        <v>#N/A</v>
      </c>
    </row>
    <row r="217" spans="1:31" hidden="1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  <c r="AE217" t="str">
        <f>VLOOKUP(Q217,'[1]Consolidado Cierres'!$Q$2:$Q$1399,1,0)</f>
        <v>205-2022-12-31</v>
      </c>
    </row>
    <row r="218" spans="1:31" hidden="1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  <c r="AE218" t="str">
        <f>VLOOKUP(Q218,'[1]Consolidado Cierres'!$Q$2:$Q$1399,1,0)</f>
        <v>205-2022-12-31</v>
      </c>
    </row>
    <row r="219" spans="1:31" hidden="1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  <c r="AE219" t="e">
        <f>VLOOKUP(Q219,'[1]Consolidado Cierres'!$Q$2:$Q$1399,1,0)</f>
        <v>#N/A</v>
      </c>
    </row>
    <row r="220" spans="1:31" hidden="1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  <c r="AE220" t="str">
        <f>VLOOKUP(Q220,'[1]Consolidado Cierres'!$Q$2:$Q$1399,1,0)</f>
        <v>205-2023-12-31</v>
      </c>
    </row>
    <row r="221" spans="1:31" hidden="1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  <c r="AE221" t="str">
        <f>VLOOKUP(Q221,'[1]Consolidado Cierres'!$Q$2:$Q$1399,1,0)</f>
        <v>205-2023-12-31</v>
      </c>
    </row>
    <row r="222" spans="1:31" hidden="1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  <c r="AE222" t="e">
        <f>VLOOKUP(Q222,'[1]Consolidado Cierres'!$Q$2:$Q$1399,1,0)</f>
        <v>#N/A</v>
      </c>
    </row>
    <row r="223" spans="1:31" hidden="1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  <c r="AE223" t="str">
        <f>VLOOKUP(Q223,'[1]Consolidado Cierres'!$Q$2:$Q$1399,1,0)</f>
        <v>205-2024-12-31</v>
      </c>
    </row>
    <row r="224" spans="1:31" hidden="1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  <c r="AE224" t="str">
        <f>VLOOKUP(Q224,'[1]Consolidado Cierres'!$Q$2:$Q$1399,1,0)</f>
        <v>205-2024-12-31</v>
      </c>
    </row>
    <row r="225" spans="1:31" hidden="1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  <c r="AE225" t="str">
        <f>VLOOKUP(Q225,'[1]Consolidado Cierres'!$Q$2:$Q$1399,1,0)</f>
        <v>205-2025-06-30</v>
      </c>
    </row>
    <row r="226" spans="1:31" hidden="1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  <c r="AE226" t="e">
        <f>VLOOKUP(Q226,'[1]Consolidado Cierres'!$Q$2:$Q$1399,1,0)</f>
        <v>#N/A</v>
      </c>
    </row>
    <row r="227" spans="1:31" hidden="1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  <c r="AE227" t="e">
        <f>VLOOKUP(Q227,'[1]Consolidado Cierres'!$Q$2:$Q$1399,1,0)</f>
        <v>#N/A</v>
      </c>
    </row>
    <row r="228" spans="1:31" hidden="1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  <c r="AE228" t="str">
        <f>VLOOKUP(Q228,'[1]Consolidado Cierres'!$Q$2:$Q$1399,1,0)</f>
        <v>207-2023-12-31</v>
      </c>
    </row>
    <row r="229" spans="1:31" hidden="1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  <c r="AE229" t="str">
        <f>VLOOKUP(Q229,'[1]Consolidado Cierres'!$Q$2:$Q$1399,1,0)</f>
        <v>207-2023-12-31</v>
      </c>
    </row>
    <row r="230" spans="1:31" hidden="1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  <c r="AE230" t="e">
        <f>VLOOKUP(Q230,'[1]Consolidado Cierres'!$Q$2:$Q$1399,1,0)</f>
        <v>#N/A</v>
      </c>
    </row>
    <row r="231" spans="1:31" hidden="1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  <c r="AE231" t="str">
        <f>VLOOKUP(Q231,'[1]Consolidado Cierres'!$Q$2:$Q$1399,1,0)</f>
        <v>207-2024-12-31</v>
      </c>
    </row>
    <row r="232" spans="1:31" hidden="1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  <c r="AE232" t="str">
        <f>VLOOKUP(Q232,'[1]Consolidado Cierres'!$Q$2:$Q$1399,1,0)</f>
        <v>207-2024-12-31</v>
      </c>
    </row>
    <row r="233" spans="1:31" hidden="1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  <c r="AE233" t="str">
        <f>VLOOKUP(Q233,'[1]Consolidado Cierres'!$Q$2:$Q$1399,1,0)</f>
        <v>207-2025-06-30</v>
      </c>
    </row>
    <row r="234" spans="1:31" hidden="1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  <c r="AE234" t="e">
        <f>VLOOKUP(Q234,'[1]Consolidado Cierres'!$Q$2:$Q$1399,1,0)</f>
        <v>#N/A</v>
      </c>
    </row>
    <row r="235" spans="1:31" hidden="1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  <c r="AE235" t="str">
        <f>VLOOKUP(Q235,'[1]Consolidado Cierres'!$Q$2:$Q$1399,1,0)</f>
        <v>228-2022-12-31</v>
      </c>
    </row>
    <row r="236" spans="1:31" hidden="1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  <c r="AE236" t="str">
        <f>VLOOKUP(Q236,'[1]Consolidado Cierres'!$Q$2:$Q$1399,1,0)</f>
        <v>228-2022-12-31</v>
      </c>
    </row>
    <row r="237" spans="1:31" hidden="1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  <c r="AE237" t="str">
        <f>VLOOKUP(Q237,'[1]Consolidado Cierres'!$Q$2:$Q$1399,1,0)</f>
        <v>228-2023-12-31</v>
      </c>
    </row>
    <row r="238" spans="1:31" hidden="1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  <c r="AE238" t="str">
        <f>VLOOKUP(Q238,'[1]Consolidado Cierres'!$Q$2:$Q$1399,1,0)</f>
        <v>228-2024-12-31</v>
      </c>
    </row>
    <row r="239" spans="1:31" hidden="1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  <c r="AE239" t="str">
        <f>VLOOKUP(Q239,'[1]Consolidado Cierres'!$Q$2:$Q$1399,1,0)</f>
        <v>228-2024-12-31</v>
      </c>
    </row>
    <row r="240" spans="1:31" hidden="1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  <c r="AE240" t="str">
        <f>VLOOKUP(Q240,'[1]Consolidado Cierres'!$Q$2:$Q$1399,1,0)</f>
        <v>228-2024-12-31</v>
      </c>
    </row>
    <row r="241" spans="1:31" hidden="1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  <c r="AE241" t="str">
        <f>VLOOKUP(Q241,'[1]Consolidado Cierres'!$Q$2:$Q$1399,1,0)</f>
        <v>244-2022-12-31</v>
      </c>
    </row>
    <row r="242" spans="1:31" hidden="1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  <c r="AE242" t="str">
        <f>VLOOKUP(Q242,'[1]Consolidado Cierres'!$Q$2:$Q$1399,1,0)</f>
        <v>244-2022-12-31</v>
      </c>
    </row>
    <row r="243" spans="1:31" hidden="1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  <c r="AE243" t="str">
        <f>VLOOKUP(Q243,'[1]Consolidado Cierres'!$Q$2:$Q$1399,1,0)</f>
        <v>244-2023-12-31</v>
      </c>
    </row>
    <row r="244" spans="1:31" hidden="1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  <c r="AE244" t="str">
        <f>VLOOKUP(Q244,'[1]Consolidado Cierres'!$Q$2:$Q$1399,1,0)</f>
        <v>244-2023-12-31</v>
      </c>
    </row>
    <row r="245" spans="1:31" hidden="1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  <c r="AE245" t="str">
        <f>VLOOKUP(Q245,'[1]Consolidado Cierres'!$Q$2:$Q$1399,1,0)</f>
        <v>244-2024-12-31</v>
      </c>
    </row>
    <row r="246" spans="1:31" hidden="1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  <c r="AE246" t="str">
        <f>VLOOKUP(Q246,'[1]Consolidado Cierres'!$Q$2:$Q$1399,1,0)</f>
        <v>244-2024-12-31</v>
      </c>
    </row>
    <row r="247" spans="1:31" hidden="1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  <c r="AE247" t="e">
        <f>VLOOKUP(Q247,'[1]Consolidado Cierres'!$Q$2:$Q$1399,1,0)</f>
        <v>#N/A</v>
      </c>
    </row>
    <row r="248" spans="1:31" hidden="1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  <c r="AE248" t="e">
        <f>VLOOKUP(Q248,'[1]Consolidado Cierres'!$Q$2:$Q$1399,1,0)</f>
        <v>#N/A</v>
      </c>
    </row>
    <row r="249" spans="1:31" hidden="1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  <c r="AE249" t="str">
        <f>VLOOKUP(Q249,'[1]Consolidado Cierres'!$Q$2:$Q$1399,1,0)</f>
        <v>245-2022-12-31</v>
      </c>
    </row>
    <row r="250" spans="1:31" hidden="1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  <c r="AE250" t="str">
        <f>VLOOKUP(Q250,'[1]Consolidado Cierres'!$Q$2:$Q$1399,1,0)</f>
        <v>245-2022-12-31</v>
      </c>
    </row>
    <row r="251" spans="1:31" hidden="1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  <c r="AE251" t="e">
        <f>VLOOKUP(Q251,'[1]Consolidado Cierres'!$Q$2:$Q$1399,1,0)</f>
        <v>#N/A</v>
      </c>
    </row>
    <row r="252" spans="1:31" hidden="1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  <c r="AE252" t="str">
        <f>VLOOKUP(Q252,'[1]Consolidado Cierres'!$Q$2:$Q$1399,1,0)</f>
        <v>245-2023-12-31</v>
      </c>
    </row>
    <row r="253" spans="1:31" hidden="1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  <c r="AE253" t="str">
        <f>VLOOKUP(Q253,'[1]Consolidado Cierres'!$Q$2:$Q$1399,1,0)</f>
        <v>245-2023-12-31</v>
      </c>
    </row>
    <row r="254" spans="1:31" hidden="1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  <c r="AE254" t="e">
        <f>VLOOKUP(Q254,'[1]Consolidado Cierres'!$Q$2:$Q$1399,1,0)</f>
        <v>#N/A</v>
      </c>
    </row>
    <row r="255" spans="1:31" hidden="1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  <c r="AE255" t="str">
        <f>VLOOKUP(Q255,'[1]Consolidado Cierres'!$Q$2:$Q$1399,1,0)</f>
        <v>245-2024-12-31</v>
      </c>
    </row>
    <row r="256" spans="1:31" hidden="1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  <c r="AE256" t="str">
        <f>VLOOKUP(Q256,'[1]Consolidado Cierres'!$Q$2:$Q$1399,1,0)</f>
        <v>245-2024-12-31</v>
      </c>
    </row>
    <row r="257" spans="1:31" hidden="1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  <c r="AE257" t="str">
        <f>VLOOKUP(Q257,'[1]Consolidado Cierres'!$Q$2:$Q$1399,1,0)</f>
        <v>245-2025-06-30</v>
      </c>
    </row>
    <row r="258" spans="1:31" hidden="1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  <c r="AE258" t="e">
        <f>VLOOKUP(Q258,'[1]Consolidado Cierres'!$Q$2:$Q$1399,1,0)</f>
        <v>#N/A</v>
      </c>
    </row>
    <row r="259" spans="1:31" hidden="1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  <c r="AE259" t="e">
        <f>VLOOKUP(Q259,'[1]Consolidado Cierres'!$Q$2:$Q$1399,1,0)</f>
        <v>#N/A</v>
      </c>
    </row>
    <row r="260" spans="1:31" hidden="1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  <c r="AE260" t="e">
        <f>VLOOKUP(Q260,'[1]Consolidado Cierres'!$Q$2:$Q$1399,1,0)</f>
        <v>#N/A</v>
      </c>
    </row>
    <row r="261" spans="1:31" hidden="1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  <c r="AE261" t="e">
        <f>VLOOKUP(Q261,'[1]Consolidado Cierres'!$Q$2:$Q$1399,1,0)</f>
        <v>#N/A</v>
      </c>
    </row>
    <row r="262" spans="1:31" hidden="1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  <c r="AE262" t="e">
        <f>VLOOKUP(Q262,'[1]Consolidado Cierres'!$Q$2:$Q$1399,1,0)</f>
        <v>#N/A</v>
      </c>
    </row>
    <row r="263" spans="1:31" hidden="1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  <c r="AE263" t="e">
        <f>VLOOKUP(Q263,'[1]Consolidado Cierres'!$Q$2:$Q$1399,1,0)</f>
        <v>#N/A</v>
      </c>
    </row>
    <row r="264" spans="1:31" hidden="1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  <c r="AE264" t="e">
        <f>VLOOKUP(Q264,'[1]Consolidado Cierres'!$Q$2:$Q$1399,1,0)</f>
        <v>#N/A</v>
      </c>
    </row>
    <row r="265" spans="1:31" hidden="1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  <c r="AE265" t="e">
        <f>VLOOKUP(Q265,'[1]Consolidado Cierres'!$Q$2:$Q$1399,1,0)</f>
        <v>#N/A</v>
      </c>
    </row>
    <row r="266" spans="1:31" hidden="1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  <c r="AE266" t="e">
        <f>VLOOKUP(Q266,'[1]Consolidado Cierres'!$Q$2:$Q$1399,1,0)</f>
        <v>#N/A</v>
      </c>
    </row>
    <row r="267" spans="1:31" hidden="1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  <c r="AE267" t="e">
        <f>VLOOKUP(Q267,'[1]Consolidado Cierres'!$Q$2:$Q$1399,1,0)</f>
        <v>#N/A</v>
      </c>
    </row>
    <row r="268" spans="1:31" hidden="1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  <c r="AE268" t="e">
        <f>VLOOKUP(Q268,'[1]Consolidado Cierres'!$Q$2:$Q$1399,1,0)</f>
        <v>#N/A</v>
      </c>
    </row>
    <row r="269" spans="1:31" hidden="1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  <c r="AE269" t="e">
        <f>VLOOKUP(Q269,'[1]Consolidado Cierres'!$Q$2:$Q$1399,1,0)</f>
        <v>#N/A</v>
      </c>
    </row>
    <row r="270" spans="1:31" hidden="1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  <c r="AE270" t="e">
        <f>VLOOKUP(Q270,'[1]Consolidado Cierres'!$Q$2:$Q$1399,1,0)</f>
        <v>#N/A</v>
      </c>
    </row>
    <row r="271" spans="1:31" hidden="1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  <c r="AE271" t="e">
        <f>VLOOKUP(Q271,'[1]Consolidado Cierres'!$Q$2:$Q$1399,1,0)</f>
        <v>#N/A</v>
      </c>
    </row>
    <row r="272" spans="1:31" hidden="1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  <c r="AE272" t="str">
        <f>VLOOKUP(Q272,'[1]Consolidado Cierres'!$Q$2:$Q$1399,1,0)</f>
        <v>274-2022-12-31</v>
      </c>
    </row>
    <row r="273" spans="1:31" hidden="1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  <c r="AE273" t="str">
        <f>VLOOKUP(Q273,'[1]Consolidado Cierres'!$Q$2:$Q$1399,1,0)</f>
        <v>274-2022-12-31</v>
      </c>
    </row>
    <row r="274" spans="1:31" hidden="1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  <c r="AE274" t="e">
        <f>VLOOKUP(Q274,'[1]Consolidado Cierres'!$Q$2:$Q$1399,1,0)</f>
        <v>#N/A</v>
      </c>
    </row>
    <row r="275" spans="1:31" hidden="1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  <c r="AE275" t="str">
        <f>VLOOKUP(Q275,'[1]Consolidado Cierres'!$Q$2:$Q$1399,1,0)</f>
        <v>274-2023-12-31</v>
      </c>
    </row>
    <row r="276" spans="1:31" hidden="1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  <c r="AE276" t="str">
        <f>VLOOKUP(Q276,'[1]Consolidado Cierres'!$Q$2:$Q$1399,1,0)</f>
        <v>274-2023-12-31</v>
      </c>
    </row>
    <row r="277" spans="1:31" hidden="1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  <c r="AE277" t="e">
        <f>VLOOKUP(Q277,'[1]Consolidado Cierres'!$Q$2:$Q$1399,1,0)</f>
        <v>#N/A</v>
      </c>
    </row>
    <row r="278" spans="1:31" hidden="1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  <c r="AE278" t="str">
        <f>VLOOKUP(Q278,'[1]Consolidado Cierres'!$Q$2:$Q$1399,1,0)</f>
        <v>274-2024-12-31</v>
      </c>
    </row>
    <row r="279" spans="1:31" hidden="1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  <c r="AE279" t="str">
        <f>VLOOKUP(Q279,'[1]Consolidado Cierres'!$Q$2:$Q$1399,1,0)</f>
        <v>274-2024-12-31</v>
      </c>
    </row>
    <row r="280" spans="1:31" hidden="1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  <c r="AE280" t="str">
        <f>VLOOKUP(Q280,'[1]Consolidado Cierres'!$Q$2:$Q$1399,1,0)</f>
        <v>274-2025-06-30</v>
      </c>
    </row>
    <row r="281" spans="1:31" hidden="1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  <c r="AE281" t="e">
        <f>VLOOKUP(Q281,'[1]Consolidado Cierres'!$Q$2:$Q$1399,1,0)</f>
        <v>#N/A</v>
      </c>
    </row>
    <row r="282" spans="1:31" hidden="1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  <c r="AE282" t="e">
        <f>VLOOKUP(Q282,'[1]Consolidado Cierres'!$Q$2:$Q$1399,1,0)</f>
        <v>#N/A</v>
      </c>
    </row>
    <row r="283" spans="1:31" hidden="1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  <c r="AE283" t="e">
        <f>VLOOKUP(Q283,'[1]Consolidado Cierres'!$Q$2:$Q$1399,1,0)</f>
        <v>#N/A</v>
      </c>
    </row>
    <row r="284" spans="1:31" hidden="1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  <c r="AE284" t="str">
        <f>VLOOKUP(Q284,'[1]Consolidado Cierres'!$Q$2:$Q$1399,1,0)</f>
        <v>276-2022-12-31</v>
      </c>
    </row>
    <row r="285" spans="1:31" hidden="1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  <c r="AE285" t="str">
        <f>VLOOKUP(Q285,'[1]Consolidado Cierres'!$Q$2:$Q$1399,1,0)</f>
        <v>276-2022-12-31</v>
      </c>
    </row>
    <row r="286" spans="1:31" hidden="1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  <c r="AE286" t="e">
        <f>VLOOKUP(Q286,'[1]Consolidado Cierres'!$Q$2:$Q$1399,1,0)</f>
        <v>#N/A</v>
      </c>
    </row>
    <row r="287" spans="1:31" hidden="1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  <c r="AE287" t="str">
        <f>VLOOKUP(Q287,'[1]Consolidado Cierres'!$Q$2:$Q$1399,1,0)</f>
        <v>276-2023-12-31</v>
      </c>
    </row>
    <row r="288" spans="1:31" hidden="1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  <c r="AE288" t="str">
        <f>VLOOKUP(Q288,'[1]Consolidado Cierres'!$Q$2:$Q$1399,1,0)</f>
        <v>276-2023-12-31</v>
      </c>
    </row>
    <row r="289" spans="1:31" hidden="1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  <c r="AE289" t="e">
        <f>VLOOKUP(Q289,'[1]Consolidado Cierres'!$Q$2:$Q$1399,1,0)</f>
        <v>#N/A</v>
      </c>
    </row>
    <row r="290" spans="1:31" hidden="1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  <c r="AE290" t="str">
        <f>VLOOKUP(Q290,'[1]Consolidado Cierres'!$Q$2:$Q$1399,1,0)</f>
        <v>276-2024-12-31</v>
      </c>
    </row>
    <row r="291" spans="1:31" hidden="1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  <c r="AE291" t="str">
        <f>VLOOKUP(Q291,'[1]Consolidado Cierres'!$Q$2:$Q$1399,1,0)</f>
        <v>276-2024-12-31</v>
      </c>
    </row>
    <row r="292" spans="1:31" hidden="1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  <c r="AE292" t="str">
        <f>VLOOKUP(Q292,'[1]Consolidado Cierres'!$Q$2:$Q$1399,1,0)</f>
        <v>276-2025-06-30</v>
      </c>
    </row>
    <row r="293" spans="1:31" hidden="1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  <c r="AE293" t="e">
        <f>VLOOKUP(Q293,'[1]Consolidado Cierres'!$Q$2:$Q$1399,1,0)</f>
        <v>#N/A</v>
      </c>
    </row>
    <row r="294" spans="1:31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  <c r="AE294" t="e">
        <f>VLOOKUP(Q294,'[1]Consolidado Cierres'!$Q$2:$Q$1399,1,0)</f>
        <v>#N/A</v>
      </c>
    </row>
    <row r="295" spans="1:31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  <c r="AE295" t="str">
        <f>VLOOKUP(Q295,'[1]Consolidado Cierres'!$Q$2:$Q$1399,1,0)</f>
        <v>277-2023-12-31</v>
      </c>
    </row>
    <row r="296" spans="1:31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  <c r="AE296" t="str">
        <f>VLOOKUP(Q296,'[1]Consolidado Cierres'!$Q$2:$Q$1399,1,0)</f>
        <v>277-2023-12-31</v>
      </c>
    </row>
    <row r="297" spans="1:31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  <c r="AE297" t="e">
        <f>VLOOKUP(Q297,'[1]Consolidado Cierres'!$Q$2:$Q$1399,1,0)</f>
        <v>#N/A</v>
      </c>
    </row>
    <row r="298" spans="1:31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  <c r="AE298" t="str">
        <f>VLOOKUP(Q298,'[1]Consolidado Cierres'!$Q$2:$Q$1399,1,0)</f>
        <v>277-2024-12-31</v>
      </c>
    </row>
    <row r="299" spans="1:31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  <c r="AE299" t="str">
        <f>VLOOKUP(Q299,'[1]Consolidado Cierres'!$Q$2:$Q$1399,1,0)</f>
        <v>277-2024-12-31</v>
      </c>
    </row>
    <row r="300" spans="1:31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  <c r="AE300" t="str">
        <f>VLOOKUP(Q300,'[1]Consolidado Cierres'!$Q$2:$Q$1399,1,0)</f>
        <v>277-2025-06-30</v>
      </c>
    </row>
    <row r="301" spans="1:31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  <c r="AE301" t="e">
        <f>VLOOKUP(Q301,'[1]Consolidado Cierres'!$Q$2:$Q$1399,1,0)</f>
        <v>#N/A</v>
      </c>
    </row>
    <row r="302" spans="1:31" hidden="1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  <c r="AE302" t="str">
        <f>VLOOKUP(Q302,'[1]Consolidado Cierres'!$Q$2:$Q$1399,1,0)</f>
        <v>323-2022-12-31</v>
      </c>
    </row>
    <row r="303" spans="1:31" hidden="1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  <c r="AE303" t="str">
        <f>VLOOKUP(Q303,'[1]Consolidado Cierres'!$Q$2:$Q$1399,1,0)</f>
        <v>323-2022-12-31</v>
      </c>
    </row>
    <row r="304" spans="1:31" hidden="1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  <c r="AE304" t="e">
        <f>VLOOKUP(Q304,'[1]Consolidado Cierres'!$Q$2:$Q$1399,1,0)</f>
        <v>#N/A</v>
      </c>
    </row>
    <row r="305" spans="1:31" hidden="1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  <c r="AE305" t="str">
        <f>VLOOKUP(Q305,'[1]Consolidado Cierres'!$Q$2:$Q$1399,1,0)</f>
        <v>323-2023-12-31</v>
      </c>
    </row>
    <row r="306" spans="1:31" hidden="1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  <c r="AE306" t="str">
        <f>VLOOKUP(Q306,'[1]Consolidado Cierres'!$Q$2:$Q$1399,1,0)</f>
        <v>323-2023-12-31</v>
      </c>
    </row>
    <row r="307" spans="1:31" hidden="1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  <c r="AE307" t="e">
        <f>VLOOKUP(Q307,'[1]Consolidado Cierres'!$Q$2:$Q$1399,1,0)</f>
        <v>#N/A</v>
      </c>
    </row>
    <row r="308" spans="1:31" hidden="1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  <c r="AE308" t="str">
        <f>VLOOKUP(Q308,'[1]Consolidado Cierres'!$Q$2:$Q$1399,1,0)</f>
        <v>323-2024-12-31</v>
      </c>
    </row>
    <row r="309" spans="1:31" hidden="1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  <c r="AE309" t="str">
        <f>VLOOKUP(Q309,'[1]Consolidado Cierres'!$Q$2:$Q$1399,1,0)</f>
        <v>323-2024-12-31</v>
      </c>
    </row>
    <row r="310" spans="1:31" hidden="1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  <c r="AE310" t="str">
        <f>VLOOKUP(Q310,'[1]Consolidado Cierres'!$Q$2:$Q$1399,1,0)</f>
        <v>323-2025-06-30</v>
      </c>
    </row>
    <row r="311" spans="1:31" hidden="1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  <c r="AE311" t="str">
        <f>VLOOKUP(Q311,'[1]Consolidado Cierres'!$Q$2:$Q$1399,1,0)</f>
        <v>323-2025-06-30</v>
      </c>
    </row>
    <row r="312" spans="1:31" hidden="1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  <c r="AE312" t="e">
        <f>VLOOKUP(Q312,'[1]Consolidado Cierres'!$Q$2:$Q$1399,1,0)</f>
        <v>#N/A</v>
      </c>
    </row>
    <row r="313" spans="1:31" hidden="1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  <c r="AE313" t="str">
        <f>VLOOKUP(Q313,'[1]Consolidado Cierres'!$Q$2:$Q$1399,1,0)</f>
        <v>325-2022-12-31</v>
      </c>
    </row>
    <row r="314" spans="1:31" hidden="1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  <c r="AE314" t="str">
        <f>VLOOKUP(Q314,'[1]Consolidado Cierres'!$Q$2:$Q$1399,1,0)</f>
        <v>325-2022-12-31</v>
      </c>
    </row>
    <row r="315" spans="1:31" hidden="1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  <c r="AE315" t="e">
        <f>VLOOKUP(Q315,'[1]Consolidado Cierres'!$Q$2:$Q$1399,1,0)</f>
        <v>#N/A</v>
      </c>
    </row>
    <row r="316" spans="1:31" hidden="1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  <c r="AE316" t="str">
        <f>VLOOKUP(Q316,'[1]Consolidado Cierres'!$Q$2:$Q$1399,1,0)</f>
        <v>325-2023-12-31</v>
      </c>
    </row>
    <row r="317" spans="1:31" hidden="1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  <c r="AE317" t="str">
        <f>VLOOKUP(Q317,'[1]Consolidado Cierres'!$Q$2:$Q$1399,1,0)</f>
        <v>325-2023-12-31</v>
      </c>
    </row>
    <row r="318" spans="1:31" hidden="1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  <c r="AE318" t="e">
        <f>VLOOKUP(Q318,'[1]Consolidado Cierres'!$Q$2:$Q$1399,1,0)</f>
        <v>#N/A</v>
      </c>
    </row>
    <row r="319" spans="1:31" hidden="1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  <c r="AE319" t="str">
        <f>VLOOKUP(Q319,'[1]Consolidado Cierres'!$Q$2:$Q$1399,1,0)</f>
        <v>325-2024-12-31</v>
      </c>
    </row>
    <row r="320" spans="1:31" hidden="1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  <c r="AE320" t="str">
        <f>VLOOKUP(Q320,'[1]Consolidado Cierres'!$Q$2:$Q$1399,1,0)</f>
        <v>325-2024-12-31</v>
      </c>
    </row>
    <row r="321" spans="1:31" hidden="1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  <c r="AE321" t="str">
        <f>VLOOKUP(Q321,'[1]Consolidado Cierres'!$Q$2:$Q$1399,1,0)</f>
        <v>325-2025-06-30</v>
      </c>
    </row>
    <row r="322" spans="1:31" hidden="1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  <c r="AE322" t="str">
        <f>VLOOKUP(Q322,'[1]Consolidado Cierres'!$Q$2:$Q$1399,1,0)</f>
        <v>325-2025-06-30</v>
      </c>
    </row>
    <row r="323" spans="1:31" hidden="1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  <c r="AE323" t="str">
        <f>VLOOKUP(Q323,'[1]Consolidado Cierres'!$Q$2:$Q$1399,1,0)</f>
        <v>331-2023-12-31</v>
      </c>
    </row>
    <row r="324" spans="1:31" hidden="1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  <c r="AE324" t="str">
        <f>VLOOKUP(Q324,'[1]Consolidado Cierres'!$Q$2:$Q$1399,1,0)</f>
        <v>331-2023-12-31</v>
      </c>
    </row>
    <row r="325" spans="1:31" hidden="1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  <c r="AE325" t="str">
        <f>VLOOKUP(Q325,'[1]Consolidado Cierres'!$Q$2:$Q$1399,1,0)</f>
        <v>331-2024-12-31</v>
      </c>
    </row>
    <row r="326" spans="1:31" hidden="1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  <c r="AE326" t="str">
        <f>VLOOKUP(Q326,'[1]Consolidado Cierres'!$Q$2:$Q$1399,1,0)</f>
        <v>331-2024-12-31</v>
      </c>
    </row>
    <row r="327" spans="1:31" hidden="1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  <c r="AE327" t="str">
        <f>VLOOKUP(Q327,'[1]Consolidado Cierres'!$Q$2:$Q$1399,1,0)</f>
        <v>331-2025-06-30</v>
      </c>
    </row>
    <row r="328" spans="1:31" hidden="1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  <c r="AE328" t="str">
        <f>VLOOKUP(Q328,'[1]Consolidado Cierres'!$Q$2:$Q$1399,1,0)</f>
        <v>331-2025-06-30</v>
      </c>
    </row>
    <row r="329" spans="1:31" hidden="1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  <c r="AE329" t="e">
        <f>VLOOKUP(Q329,'[1]Consolidado Cierres'!$Q$2:$Q$1399,1,0)</f>
        <v>#N/A</v>
      </c>
    </row>
    <row r="330" spans="1:31" hidden="1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  <c r="AE330" t="str">
        <f>VLOOKUP(Q330,'[1]Consolidado Cierres'!$Q$2:$Q$1399,1,0)</f>
        <v>332-2022-12-31</v>
      </c>
    </row>
    <row r="331" spans="1:31" hidden="1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  <c r="AE331" t="str">
        <f>VLOOKUP(Q331,'[1]Consolidado Cierres'!$Q$2:$Q$1399,1,0)</f>
        <v>332-2022-12-31</v>
      </c>
    </row>
    <row r="332" spans="1:31" hidden="1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  <c r="AE332" t="e">
        <f>VLOOKUP(Q332,'[1]Consolidado Cierres'!$Q$2:$Q$1399,1,0)</f>
        <v>#N/A</v>
      </c>
    </row>
    <row r="333" spans="1:31" hidden="1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  <c r="AE333" t="str">
        <f>VLOOKUP(Q333,'[1]Consolidado Cierres'!$Q$2:$Q$1399,1,0)</f>
        <v>332-2023-12-31</v>
      </c>
    </row>
    <row r="334" spans="1:31" hidden="1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  <c r="AE334" t="str">
        <f>VLOOKUP(Q334,'[1]Consolidado Cierres'!$Q$2:$Q$1399,1,0)</f>
        <v>332-2023-12-31</v>
      </c>
    </row>
    <row r="335" spans="1:31" hidden="1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  <c r="AE335" t="e">
        <f>VLOOKUP(Q335,'[1]Consolidado Cierres'!$Q$2:$Q$1399,1,0)</f>
        <v>#N/A</v>
      </c>
    </row>
    <row r="336" spans="1:31" hidden="1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  <c r="AE336" t="str">
        <f>VLOOKUP(Q336,'[1]Consolidado Cierres'!$Q$2:$Q$1399,1,0)</f>
        <v>332-2024-12-31</v>
      </c>
    </row>
    <row r="337" spans="1:31" hidden="1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  <c r="AE337" t="str">
        <f>VLOOKUP(Q337,'[1]Consolidado Cierres'!$Q$2:$Q$1399,1,0)</f>
        <v>332-2024-12-31</v>
      </c>
    </row>
    <row r="338" spans="1:31" hidden="1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  <c r="AE338" t="str">
        <f>VLOOKUP(Q338,'[1]Consolidado Cierres'!$Q$2:$Q$1399,1,0)</f>
        <v>332-2025-06-30</v>
      </c>
    </row>
    <row r="339" spans="1:31" hidden="1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  <c r="AE339" t="str">
        <f>VLOOKUP(Q339,'[1]Consolidado Cierres'!$Q$2:$Q$1399,1,0)</f>
        <v>332-2025-06-30</v>
      </c>
    </row>
    <row r="340" spans="1:31" hidden="1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  <c r="AE340" t="str">
        <f>VLOOKUP(Q340,'[1]Consolidado Cierres'!$Q$2:$Q$1399,1,0)</f>
        <v>334-2022-12-31</v>
      </c>
    </row>
    <row r="341" spans="1:31" hidden="1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  <c r="AE341" t="str">
        <f>VLOOKUP(Q341,'[1]Consolidado Cierres'!$Q$2:$Q$1399,1,0)</f>
        <v>334-2023-12-31</v>
      </c>
    </row>
    <row r="342" spans="1:31" hidden="1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  <c r="AE342" t="str">
        <f>VLOOKUP(Q342,'[1]Consolidado Cierres'!$Q$2:$Q$1399,1,0)</f>
        <v>334-2023-12-31</v>
      </c>
    </row>
    <row r="343" spans="1:31" hidden="1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  <c r="AE343" t="str">
        <f>VLOOKUP(Q343,'[1]Consolidado Cierres'!$Q$2:$Q$1399,1,0)</f>
        <v>334-2024-12-31</v>
      </c>
    </row>
    <row r="344" spans="1:31" hidden="1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  <c r="AE344" t="str">
        <f>VLOOKUP(Q344,'[1]Consolidado Cierres'!$Q$2:$Q$1399,1,0)</f>
        <v>334-2024-12-31</v>
      </c>
    </row>
    <row r="345" spans="1:31" hidden="1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  <c r="AE345" t="e">
        <f>VLOOKUP(Q345,'[1]Consolidado Cierres'!$Q$2:$Q$1399,1,0)</f>
        <v>#N/A</v>
      </c>
    </row>
    <row r="346" spans="1:31" hidden="1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  <c r="AE346" t="str">
        <f>VLOOKUP(Q346,'[1]Consolidado Cierres'!$Q$2:$Q$1399,1,0)</f>
        <v>335-2023-12-31</v>
      </c>
    </row>
    <row r="347" spans="1:31" hidden="1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  <c r="AE347" t="str">
        <f>VLOOKUP(Q347,'[1]Consolidado Cierres'!$Q$2:$Q$1399,1,0)</f>
        <v>335-2023-12-31</v>
      </c>
    </row>
    <row r="348" spans="1:31" hidden="1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  <c r="AE348" t="str">
        <f>VLOOKUP(Q348,'[1]Consolidado Cierres'!$Q$2:$Q$1399,1,0)</f>
        <v>335-2024-12-31</v>
      </c>
    </row>
    <row r="349" spans="1:31" hidden="1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  <c r="AE349" t="str">
        <f>VLOOKUP(Q349,'[1]Consolidado Cierres'!$Q$2:$Q$1399,1,0)</f>
        <v>335-2024-12-31</v>
      </c>
    </row>
    <row r="350" spans="1:31" hidden="1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  <c r="AE350" t="str">
        <f>VLOOKUP(Q350,'[1]Consolidado Cierres'!$Q$2:$Q$1399,1,0)</f>
        <v>335-2025-12-31</v>
      </c>
    </row>
    <row r="351" spans="1:31" hidden="1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  <c r="AE351" t="e">
        <f>VLOOKUP(Q351,'[1]Consolidado Cierres'!$Q$2:$Q$1399,1,0)</f>
        <v>#N/A</v>
      </c>
    </row>
    <row r="352" spans="1:31" hidden="1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  <c r="AE352" t="e">
        <f>VLOOKUP(Q352,'[1]Consolidado Cierres'!$Q$2:$Q$1399,1,0)</f>
        <v>#N/A</v>
      </c>
    </row>
    <row r="353" spans="1:31" hidden="1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  <c r="AE353" t="str">
        <f>VLOOKUP(Q353,'[1]Consolidado Cierres'!$Q$2:$Q$1399,1,0)</f>
        <v>339-2023-12-31</v>
      </c>
    </row>
    <row r="354" spans="1:31" hidden="1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  <c r="AE354" t="str">
        <f>VLOOKUP(Q354,'[1]Consolidado Cierres'!$Q$2:$Q$1399,1,0)</f>
        <v>339-2023-12-31</v>
      </c>
    </row>
    <row r="355" spans="1:31" hidden="1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  <c r="AE355" t="str">
        <f>VLOOKUP(Q355,'[1]Consolidado Cierres'!$Q$2:$Q$1399,1,0)</f>
        <v>339-2024-12-31</v>
      </c>
    </row>
    <row r="356" spans="1:31" hidden="1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  <c r="AE356" t="str">
        <f>VLOOKUP(Q356,'[1]Consolidado Cierres'!$Q$2:$Q$1399,1,0)</f>
        <v>339-2024-12-31</v>
      </c>
    </row>
    <row r="357" spans="1:31" hidden="1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  <c r="AE357" t="str">
        <f>VLOOKUP(Q357,'[1]Consolidado Cierres'!$Q$2:$Q$1399,1,0)</f>
        <v>339-2025-06-30</v>
      </c>
    </row>
    <row r="358" spans="1:31" hidden="1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  <c r="AE358" t="str">
        <f>VLOOKUP(Q358,'[1]Consolidado Cierres'!$Q$2:$Q$1399,1,0)</f>
        <v>339-2025-06-30</v>
      </c>
    </row>
    <row r="359" spans="1:31" hidden="1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  <c r="AE359" t="e">
        <f>VLOOKUP(Q359,'[1]Consolidado Cierres'!$Q$2:$Q$1399,1,0)</f>
        <v>#N/A</v>
      </c>
    </row>
    <row r="360" spans="1:31" hidden="1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  <c r="AE360" t="str">
        <f>VLOOKUP(Q360,'[1]Consolidado Cierres'!$Q$2:$Q$1399,1,0)</f>
        <v>361-2023-12-31</v>
      </c>
    </row>
    <row r="361" spans="1:31" hidden="1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  <c r="AE361" t="str">
        <f>VLOOKUP(Q361,'[1]Consolidado Cierres'!$Q$2:$Q$1399,1,0)</f>
        <v>361-2023-12-31</v>
      </c>
    </row>
    <row r="362" spans="1:31" hidden="1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  <c r="AE362" t="str">
        <f>VLOOKUP(Q362,'[1]Consolidado Cierres'!$Q$2:$Q$1399,1,0)</f>
        <v>361-2025-12-31</v>
      </c>
    </row>
    <row r="363" spans="1:31" hidden="1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  <c r="AE363" t="str">
        <f>VLOOKUP(Q363,'[1]Consolidado Cierres'!$Q$2:$Q$1399,1,0)</f>
        <v>361-2025-12-31</v>
      </c>
    </row>
    <row r="364" spans="1:31" hidden="1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  <c r="AE364" t="e">
        <f>VLOOKUP(Q364,'[1]Consolidado Cierres'!$Q$2:$Q$1399,1,0)</f>
        <v>#N/A</v>
      </c>
    </row>
    <row r="365" spans="1:31" hidden="1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  <c r="AE365" t="str">
        <f>VLOOKUP(Q365,'[1]Consolidado Cierres'!$Q$2:$Q$1399,1,0)</f>
        <v>364-2023-12-31</v>
      </c>
    </row>
    <row r="366" spans="1:31" hidden="1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  <c r="AE366" t="str">
        <f>VLOOKUP(Q366,'[1]Consolidado Cierres'!$Q$2:$Q$1399,1,0)</f>
        <v>364-2023-12-31</v>
      </c>
    </row>
    <row r="367" spans="1:31" hidden="1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  <c r="AE367" t="e">
        <f>VLOOKUP(Q367,'[1]Consolidado Cierres'!$Q$2:$Q$1399,1,0)</f>
        <v>#N/A</v>
      </c>
    </row>
    <row r="368" spans="1:31" hidden="1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  <c r="AE368" t="str">
        <f>VLOOKUP(Q368,'[1]Consolidado Cierres'!$Q$2:$Q$1399,1,0)</f>
        <v>364-2024-12-31</v>
      </c>
    </row>
    <row r="369" spans="1:31" hidden="1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  <c r="AE369" t="str">
        <f>VLOOKUP(Q369,'[1]Consolidado Cierres'!$Q$2:$Q$1399,1,0)</f>
        <v>364-2024-12-31</v>
      </c>
    </row>
    <row r="370" spans="1:31" hidden="1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  <c r="AE370" t="str">
        <f>VLOOKUP(Q370,'[1]Consolidado Cierres'!$Q$2:$Q$1399,1,0)</f>
        <v>364-2025-06-30</v>
      </c>
    </row>
    <row r="371" spans="1:31" hidden="1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  <c r="AE371" t="e">
        <f>VLOOKUP(Q371,'[1]Consolidado Cierres'!$Q$2:$Q$1399,1,0)</f>
        <v>#N/A</v>
      </c>
    </row>
    <row r="372" spans="1:31" hidden="1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  <c r="AE372" t="str">
        <f>VLOOKUP(Q372,'[1]Consolidado Cierres'!$Q$2:$Q$1399,1,0)</f>
        <v>367-2022-12-31</v>
      </c>
    </row>
    <row r="373" spans="1:31" hidden="1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  <c r="AE373" t="str">
        <f>VLOOKUP(Q373,'[1]Consolidado Cierres'!$Q$2:$Q$1399,1,0)</f>
        <v>367-2023-12-31</v>
      </c>
    </row>
    <row r="374" spans="1:31" hidden="1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  <c r="AE374" t="str">
        <f>VLOOKUP(Q374,'[1]Consolidado Cierres'!$Q$2:$Q$1399,1,0)</f>
        <v>367-2023-12-31</v>
      </c>
    </row>
    <row r="375" spans="1:31" hidden="1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  <c r="AE375" t="str">
        <f>VLOOKUP(Q375,'[1]Consolidado Cierres'!$Q$2:$Q$1399,1,0)</f>
        <v>367-2024-12-31</v>
      </c>
    </row>
    <row r="376" spans="1:31" hidden="1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  <c r="AE376" t="str">
        <f>VLOOKUP(Q376,'[1]Consolidado Cierres'!$Q$2:$Q$1399,1,0)</f>
        <v>367-2024-12-31</v>
      </c>
    </row>
    <row r="377" spans="1:31" hidden="1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  <c r="AE377" t="e">
        <f>VLOOKUP(Q377,'[1]Consolidado Cierres'!$Q$2:$Q$1399,1,0)</f>
        <v>#N/A</v>
      </c>
    </row>
    <row r="378" spans="1:31" hidden="1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  <c r="AE378" t="e">
        <f>VLOOKUP(Q378,'[1]Consolidado Cierres'!$Q$2:$Q$1399,1,0)</f>
        <v>#N/A</v>
      </c>
    </row>
    <row r="379" spans="1:31" hidden="1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  <c r="AE379" t="str">
        <f>VLOOKUP(Q379,'[1]Consolidado Cierres'!$Q$2:$Q$1399,1,0)</f>
        <v>369-2023-12-31</v>
      </c>
    </row>
    <row r="380" spans="1:31" hidden="1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  <c r="AE380" t="str">
        <f>VLOOKUP(Q380,'[1]Consolidado Cierres'!$Q$2:$Q$1399,1,0)</f>
        <v>369-2023-12-31</v>
      </c>
    </row>
    <row r="381" spans="1:31" hidden="1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  <c r="AE381" t="e">
        <f>VLOOKUP(Q381,'[1]Consolidado Cierres'!$Q$2:$Q$1399,1,0)</f>
        <v>#N/A</v>
      </c>
    </row>
    <row r="382" spans="1:31" hidden="1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  <c r="AE382" t="str">
        <f>VLOOKUP(Q382,'[1]Consolidado Cierres'!$Q$2:$Q$1399,1,0)</f>
        <v>369-2024-12-31</v>
      </c>
    </row>
    <row r="383" spans="1:31" hidden="1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  <c r="AE383" t="str">
        <f>VLOOKUP(Q383,'[1]Consolidado Cierres'!$Q$2:$Q$1399,1,0)</f>
        <v>369-2024-12-31</v>
      </c>
    </row>
    <row r="384" spans="1:31" hidden="1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  <c r="AE384" t="str">
        <f>VLOOKUP(Q384,'[1]Consolidado Cierres'!$Q$2:$Q$1399,1,0)</f>
        <v>369-2025-06-30</v>
      </c>
    </row>
    <row r="385" spans="1:31" hidden="1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  <c r="AE385" t="e">
        <f>VLOOKUP(Q385,'[1]Consolidado Cierres'!$Q$2:$Q$1399,1,0)</f>
        <v>#N/A</v>
      </c>
    </row>
    <row r="386" spans="1:31" hidden="1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  <c r="AE386" t="str">
        <f>VLOOKUP(Q386,'[1]Consolidado Cierres'!$Q$2:$Q$1399,1,0)</f>
        <v>376-2022-12-30</v>
      </c>
    </row>
    <row r="387" spans="1:31" hidden="1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  <c r="AE387" t="str">
        <f>VLOOKUP(Q387,'[1]Consolidado Cierres'!$Q$2:$Q$1399,1,0)</f>
        <v>376-2022-12-30</v>
      </c>
    </row>
    <row r="388" spans="1:31" hidden="1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  <c r="AE388" t="str">
        <f>VLOOKUP(Q388,'[1]Consolidado Cierres'!$Q$2:$Q$1399,1,0)</f>
        <v>376-2023-12-31</v>
      </c>
    </row>
    <row r="389" spans="1:31" hidden="1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  <c r="AE389" t="str">
        <f>VLOOKUP(Q389,'[1]Consolidado Cierres'!$Q$2:$Q$1399,1,0)</f>
        <v>376-2023-12-31</v>
      </c>
    </row>
    <row r="390" spans="1:31" hidden="1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  <c r="AE390" t="str">
        <f>VLOOKUP(Q390,'[1]Consolidado Cierres'!$Q$2:$Q$1399,1,0)</f>
        <v>376-2024-12-31</v>
      </c>
    </row>
    <row r="391" spans="1:31" hidden="1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  <c r="AE391" t="str">
        <f>VLOOKUP(Q391,'[1]Consolidado Cierres'!$Q$2:$Q$1399,1,0)</f>
        <v>376-2024-12-31</v>
      </c>
    </row>
    <row r="392" spans="1:31" hidden="1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  <c r="AE392" t="e">
        <f>VLOOKUP(Q392,'[1]Consolidado Cierres'!$Q$2:$Q$1399,1,0)</f>
        <v>#N/A</v>
      </c>
    </row>
    <row r="393" spans="1:31" hidden="1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  <c r="AE393" t="e">
        <f>VLOOKUP(Q393,'[1]Consolidado Cierres'!$Q$2:$Q$1399,1,0)</f>
        <v>#N/A</v>
      </c>
    </row>
    <row r="394" spans="1:31" hidden="1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  <c r="AE394" t="str">
        <f>VLOOKUP(Q394,'[1]Consolidado Cierres'!$Q$2:$Q$1399,1,0)</f>
        <v>377-2023-12-31</v>
      </c>
    </row>
    <row r="395" spans="1:31" hidden="1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  <c r="AE395" t="str">
        <f>VLOOKUP(Q395,'[1]Consolidado Cierres'!$Q$2:$Q$1399,1,0)</f>
        <v>377-2023-12-31</v>
      </c>
    </row>
    <row r="396" spans="1:31" hidden="1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  <c r="AE396" t="str">
        <f>VLOOKUP(Q396,'[1]Consolidado Cierres'!$Q$2:$Q$1399,1,0)</f>
        <v>377-2024-12-31</v>
      </c>
    </row>
    <row r="397" spans="1:31" hidden="1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  <c r="AE397" t="str">
        <f>VLOOKUP(Q397,'[1]Consolidado Cierres'!$Q$2:$Q$1399,1,0)</f>
        <v>377-2024-12-31</v>
      </c>
    </row>
    <row r="398" spans="1:31" hidden="1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  <c r="AE398" t="e">
        <f>VLOOKUP(Q398,'[1]Consolidado Cierres'!$Q$2:$Q$1399,1,0)</f>
        <v>#N/A</v>
      </c>
    </row>
    <row r="399" spans="1:31" hidden="1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  <c r="AE399" t="e">
        <f>VLOOKUP(Q399,'[1]Consolidado Cierres'!$Q$2:$Q$1399,1,0)</f>
        <v>#N/A</v>
      </c>
    </row>
    <row r="400" spans="1:31" hidden="1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  <c r="AE400" t="e">
        <f>VLOOKUP(Q400,'[1]Consolidado Cierres'!$Q$2:$Q$1399,1,0)</f>
        <v>#N/A</v>
      </c>
    </row>
    <row r="401" spans="1:31" hidden="1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  <c r="AE401" t="e">
        <f>VLOOKUP(Q401,'[1]Consolidado Cierres'!$Q$2:$Q$1399,1,0)</f>
        <v>#N/A</v>
      </c>
    </row>
    <row r="402" spans="1:31" hidden="1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  <c r="AE402" t="e">
        <f>VLOOKUP(Q402,'[1]Consolidado Cierres'!$Q$2:$Q$1399,1,0)</f>
        <v>#N/A</v>
      </c>
    </row>
    <row r="403" spans="1:31" hidden="1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  <c r="AE403" t="e">
        <f>VLOOKUP(Q403,'[1]Consolidado Cierres'!$Q$2:$Q$1399,1,0)</f>
        <v>#N/A</v>
      </c>
    </row>
    <row r="404" spans="1:31" hidden="1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  <c r="AE404" t="e">
        <f>VLOOKUP(Q404,'[1]Consolidado Cierres'!$Q$2:$Q$1399,1,0)</f>
        <v>#N/A</v>
      </c>
    </row>
    <row r="405" spans="1:31" hidden="1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  <c r="AE405" t="e">
        <f>VLOOKUP(Q405,'[1]Consolidado Cierres'!$Q$2:$Q$1399,1,0)</f>
        <v>#N/A</v>
      </c>
    </row>
    <row r="406" spans="1:31" hidden="1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  <c r="AE406" t="e">
        <f>VLOOKUP(Q406,'[1]Consolidado Cierres'!$Q$2:$Q$1399,1,0)</f>
        <v>#N/A</v>
      </c>
    </row>
    <row r="407" spans="1:31" hidden="1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  <c r="AE407" t="e">
        <f>VLOOKUP(Q407,'[1]Consolidado Cierres'!$Q$2:$Q$1399,1,0)</f>
        <v>#N/A</v>
      </c>
    </row>
    <row r="408" spans="1:31" hidden="1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  <c r="AE408" t="e">
        <f>VLOOKUP(Q408,'[1]Consolidado Cierres'!$Q$2:$Q$1399,1,0)</f>
        <v>#N/A</v>
      </c>
    </row>
    <row r="409" spans="1:31" hidden="1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  <c r="AE409" t="e">
        <f>VLOOKUP(Q409,'[1]Consolidado Cierres'!$Q$2:$Q$1399,1,0)</f>
        <v>#N/A</v>
      </c>
    </row>
    <row r="410" spans="1:31" hidden="1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  <c r="AE410" t="e">
        <f>VLOOKUP(Q410,'[1]Consolidado Cierres'!$Q$2:$Q$1399,1,0)</f>
        <v>#N/A</v>
      </c>
    </row>
    <row r="411" spans="1:31" hidden="1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  <c r="AE411" t="e">
        <f>VLOOKUP(Q411,'[1]Consolidado Cierres'!$Q$2:$Q$1399,1,0)</f>
        <v>#N/A</v>
      </c>
    </row>
    <row r="412" spans="1:31" hidden="1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  <c r="AE412" t="str">
        <f>VLOOKUP(Q412,'[1]Consolidado Cierres'!$Q$2:$Q$1399,1,0)</f>
        <v>379-2022-12-31</v>
      </c>
    </row>
    <row r="413" spans="1:31" hidden="1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  <c r="AE413" t="str">
        <f>VLOOKUP(Q413,'[1]Consolidado Cierres'!$Q$2:$Q$1399,1,0)</f>
        <v>379-2022-12-31</v>
      </c>
    </row>
    <row r="414" spans="1:31" hidden="1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  <c r="AE414" t="e">
        <f>VLOOKUP(Q414,'[1]Consolidado Cierres'!$Q$2:$Q$1399,1,0)</f>
        <v>#N/A</v>
      </c>
    </row>
    <row r="415" spans="1:31" hidden="1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  <c r="AE415" t="str">
        <f>VLOOKUP(Q415,'[1]Consolidado Cierres'!$Q$2:$Q$1399,1,0)</f>
        <v>379-2023-12-31</v>
      </c>
    </row>
    <row r="416" spans="1:31" hidden="1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  <c r="AE416" t="str">
        <f>VLOOKUP(Q416,'[1]Consolidado Cierres'!$Q$2:$Q$1399,1,0)</f>
        <v>379-2023-12-31</v>
      </c>
    </row>
    <row r="417" spans="1:31" hidden="1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  <c r="AE417" t="e">
        <f>VLOOKUP(Q417,'[1]Consolidado Cierres'!$Q$2:$Q$1399,1,0)</f>
        <v>#N/A</v>
      </c>
    </row>
    <row r="418" spans="1:31" hidden="1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  <c r="AE418" t="str">
        <f>VLOOKUP(Q418,'[1]Consolidado Cierres'!$Q$2:$Q$1399,1,0)</f>
        <v>379-2024-12-31</v>
      </c>
    </row>
    <row r="419" spans="1:31" hidden="1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  <c r="AE419" t="str">
        <f>VLOOKUP(Q419,'[1]Consolidado Cierres'!$Q$2:$Q$1399,1,0)</f>
        <v>379-2024-12-31</v>
      </c>
    </row>
    <row r="420" spans="1:31" hidden="1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  <c r="AE420" t="str">
        <f>VLOOKUP(Q420,'[1]Consolidado Cierres'!$Q$2:$Q$1399,1,0)</f>
        <v>379-2025-06-30</v>
      </c>
    </row>
    <row r="421" spans="1:31" hidden="1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  <c r="AE421" t="e">
        <f>VLOOKUP(Q421,'[1]Consolidado Cierres'!$Q$2:$Q$1399,1,0)</f>
        <v>#N/A</v>
      </c>
    </row>
    <row r="422" spans="1:31" hidden="1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  <c r="AE422" t="str">
        <f>VLOOKUP(Q422,'[1]Consolidado Cierres'!$Q$2:$Q$1399,1,0)</f>
        <v>385-2022-12-31</v>
      </c>
    </row>
    <row r="423" spans="1:31" hidden="1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  <c r="AE423" t="str">
        <f>VLOOKUP(Q423,'[1]Consolidado Cierres'!$Q$2:$Q$1399,1,0)</f>
        <v>385-2022-12-31</v>
      </c>
    </row>
    <row r="424" spans="1:31" hidden="1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  <c r="AE424" t="str">
        <f>VLOOKUP(Q424,'[1]Consolidado Cierres'!$Q$2:$Q$1399,1,0)</f>
        <v>385-2023-12-31</v>
      </c>
    </row>
    <row r="425" spans="1:31" hidden="1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  <c r="AE425" t="str">
        <f>VLOOKUP(Q425,'[1]Consolidado Cierres'!$Q$2:$Q$1399,1,0)</f>
        <v>385-2023-12-31</v>
      </c>
    </row>
    <row r="426" spans="1:31" hidden="1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  <c r="AE426" t="str">
        <f>VLOOKUP(Q426,'[1]Consolidado Cierres'!$Q$2:$Q$1399,1,0)</f>
        <v>385-2024-12-31</v>
      </c>
    </row>
    <row r="427" spans="1:31" hidden="1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  <c r="AE427" t="str">
        <f>VLOOKUP(Q427,'[1]Consolidado Cierres'!$Q$2:$Q$1399,1,0)</f>
        <v>385-2024-12-31</v>
      </c>
    </row>
    <row r="428" spans="1:31" hidden="1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  <c r="AE428" t="e">
        <f>VLOOKUP(Q428,'[1]Consolidado Cierres'!$Q$2:$Q$1399,1,0)</f>
        <v>#N/A</v>
      </c>
    </row>
    <row r="429" spans="1:31" hidden="1" x14ac:dyDescent="0.3">
      <c r="A429" s="3" t="s">
        <v>592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  <c r="AE429" t="e">
        <f>VLOOKUP(Q429,'[1]Consolidado Cierres'!$Q$2:$Q$1399,1,0)</f>
        <v>#N/A</v>
      </c>
    </row>
    <row r="430" spans="1:31" hidden="1" x14ac:dyDescent="0.3">
      <c r="A430" s="3" t="s">
        <v>592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  <c r="AE430" t="e">
        <f>VLOOKUP(Q430,'[1]Consolidado Cierres'!$Q$2:$Q$1399,1,0)</f>
        <v>#N/A</v>
      </c>
    </row>
    <row r="431" spans="1:31" hidden="1" x14ac:dyDescent="0.3">
      <c r="A431" s="3" t="s">
        <v>592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  <c r="AE431" t="str">
        <f>VLOOKUP(Q431,'[1]Consolidado Cierres'!$Q$2:$Q$1399,1,0)</f>
        <v>386.1-2023-12-31</v>
      </c>
    </row>
    <row r="432" spans="1:31" hidden="1" x14ac:dyDescent="0.3">
      <c r="A432" s="3" t="s">
        <v>592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  <c r="AE432" t="str">
        <f>VLOOKUP(Q432,'[1]Consolidado Cierres'!$Q$2:$Q$1399,1,0)</f>
        <v>386.1-2023-12-31</v>
      </c>
    </row>
    <row r="433" spans="1:31" hidden="1" x14ac:dyDescent="0.3">
      <c r="A433" s="3" t="s">
        <v>592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  <c r="AE433" t="str">
        <f>VLOOKUP(Q433,'[1]Consolidado Cierres'!$Q$2:$Q$1399,1,0)</f>
        <v>386.1-2024-12-31</v>
      </c>
    </row>
    <row r="434" spans="1:31" hidden="1" x14ac:dyDescent="0.3">
      <c r="A434" s="3" t="s">
        <v>592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  <c r="AE434" t="str">
        <f>VLOOKUP(Q434,'[1]Consolidado Cierres'!$Q$2:$Q$1399,1,0)</f>
        <v>386.1-2024-12-31</v>
      </c>
    </row>
    <row r="435" spans="1:31" hidden="1" x14ac:dyDescent="0.3">
      <c r="A435" s="3" t="s">
        <v>592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  <c r="AE435" t="e">
        <f>VLOOKUP(Q435,'[1]Consolidado Cierres'!$Q$2:$Q$1399,1,0)</f>
        <v>#N/A</v>
      </c>
    </row>
    <row r="436" spans="1:31" hidden="1" x14ac:dyDescent="0.3">
      <c r="A436" s="3" t="s">
        <v>593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  <c r="AE436" t="e">
        <f>VLOOKUP(Q436,'[1]Consolidado Cierres'!$Q$2:$Q$1399,1,0)</f>
        <v>#N/A</v>
      </c>
    </row>
    <row r="437" spans="1:31" hidden="1" x14ac:dyDescent="0.3">
      <c r="A437" s="3" t="s">
        <v>593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  <c r="AE437" t="e">
        <f>VLOOKUP(Q437,'[1]Consolidado Cierres'!$Q$2:$Q$1399,1,0)</f>
        <v>#N/A</v>
      </c>
    </row>
    <row r="438" spans="1:31" hidden="1" x14ac:dyDescent="0.3">
      <c r="A438" s="3" t="s">
        <v>593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  <c r="AE438" t="str">
        <f>VLOOKUP(Q438,'[1]Consolidado Cierres'!$Q$2:$Q$1399,1,0)</f>
        <v>386.2-2023-12-31</v>
      </c>
    </row>
    <row r="439" spans="1:31" hidden="1" x14ac:dyDescent="0.3">
      <c r="A439" s="3" t="s">
        <v>593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  <c r="AE439" t="str">
        <f>VLOOKUP(Q439,'[1]Consolidado Cierres'!$Q$2:$Q$1399,1,0)</f>
        <v>386.2-2023-12-31</v>
      </c>
    </row>
    <row r="440" spans="1:31" hidden="1" x14ac:dyDescent="0.3">
      <c r="A440" s="3" t="s">
        <v>593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  <c r="AE440" t="str">
        <f>VLOOKUP(Q440,'[1]Consolidado Cierres'!$Q$2:$Q$1399,1,0)</f>
        <v>386.2-2024-12-31</v>
      </c>
    </row>
    <row r="441" spans="1:31" hidden="1" x14ac:dyDescent="0.3">
      <c r="A441" s="3" t="s">
        <v>593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  <c r="AE441" t="str">
        <f>VLOOKUP(Q441,'[1]Consolidado Cierres'!$Q$2:$Q$1399,1,0)</f>
        <v>386.2-2024-12-31</v>
      </c>
    </row>
    <row r="442" spans="1:31" hidden="1" x14ac:dyDescent="0.3">
      <c r="A442" s="3" t="s">
        <v>593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  <c r="AE442" t="e">
        <f>VLOOKUP(Q442,'[1]Consolidado Cierres'!$Q$2:$Q$1399,1,0)</f>
        <v>#N/A</v>
      </c>
    </row>
    <row r="443" spans="1:31" hidden="1" x14ac:dyDescent="0.3">
      <c r="A443" s="3" t="s">
        <v>593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  <c r="AE443" t="e">
        <f>VLOOKUP(Q443,'[1]Consolidado Cierres'!$Q$2:$Q$1399,1,0)</f>
        <v>#N/A</v>
      </c>
    </row>
    <row r="444" spans="1:31" hidden="1" x14ac:dyDescent="0.3">
      <c r="A444" s="3" t="s">
        <v>594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  <c r="AE444" t="e">
        <f>VLOOKUP(Q444,'[1]Consolidado Cierres'!$Q$2:$Q$1399,1,0)</f>
        <v>#N/A</v>
      </c>
    </row>
    <row r="445" spans="1:31" hidden="1" x14ac:dyDescent="0.3">
      <c r="A445" s="3" t="s">
        <v>594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  <c r="AE445" t="e">
        <f>VLOOKUP(Q445,'[1]Consolidado Cierres'!$Q$2:$Q$1399,1,0)</f>
        <v>#N/A</v>
      </c>
    </row>
    <row r="446" spans="1:31" hidden="1" x14ac:dyDescent="0.3">
      <c r="A446" s="3" t="s">
        <v>594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  <c r="AE446" t="str">
        <f>VLOOKUP(Q446,'[1]Consolidado Cierres'!$Q$2:$Q$1399,1,0)</f>
        <v>386.3-2023-12-31</v>
      </c>
    </row>
    <row r="447" spans="1:31" hidden="1" x14ac:dyDescent="0.3">
      <c r="A447" s="3" t="s">
        <v>594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  <c r="AE447" t="str">
        <f>VLOOKUP(Q447,'[1]Consolidado Cierres'!$Q$2:$Q$1399,1,0)</f>
        <v>386.3-2023-12-31</v>
      </c>
    </row>
    <row r="448" spans="1:31" hidden="1" x14ac:dyDescent="0.3">
      <c r="A448" s="3" t="s">
        <v>594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  <c r="AE448" t="str">
        <f>VLOOKUP(Q448,'[1]Consolidado Cierres'!$Q$2:$Q$1399,1,0)</f>
        <v>386.3-2024-12-31</v>
      </c>
    </row>
    <row r="449" spans="1:31" hidden="1" x14ac:dyDescent="0.3">
      <c r="A449" s="3" t="s">
        <v>594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  <c r="AE449" t="str">
        <f>VLOOKUP(Q449,'[1]Consolidado Cierres'!$Q$2:$Q$1399,1,0)</f>
        <v>386.3-2024-12-31</v>
      </c>
    </row>
    <row r="450" spans="1:31" hidden="1" x14ac:dyDescent="0.3">
      <c r="A450" s="3" t="s">
        <v>594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  <c r="AE450" t="e">
        <f>VLOOKUP(Q450,'[1]Consolidado Cierres'!$Q$2:$Q$1399,1,0)</f>
        <v>#N/A</v>
      </c>
    </row>
    <row r="451" spans="1:31" hidden="1" x14ac:dyDescent="0.3">
      <c r="A451" s="3" t="s">
        <v>594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  <c r="AE451" t="e">
        <f>VLOOKUP(Q451,'[1]Consolidado Cierres'!$Q$2:$Q$1399,1,0)</f>
        <v>#N/A</v>
      </c>
    </row>
    <row r="452" spans="1:31" hidden="1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  <c r="AE452" t="str">
        <f>VLOOKUP(Q452,'[1]Consolidado Cierres'!$Q$2:$Q$1399,1,0)</f>
        <v>423-2022-12-31</v>
      </c>
    </row>
    <row r="453" spans="1:31" hidden="1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  <c r="AE453" t="str">
        <f>VLOOKUP(Q453,'[1]Consolidado Cierres'!$Q$2:$Q$1399,1,0)</f>
        <v>423-2022-12-31</v>
      </c>
    </row>
    <row r="454" spans="1:31" hidden="1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  <c r="AE454" t="str">
        <f>VLOOKUP(Q454,'[1]Consolidado Cierres'!$Q$2:$Q$1399,1,0)</f>
        <v>423-2023-12-31</v>
      </c>
    </row>
    <row r="455" spans="1:31" hidden="1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  <c r="AE455" t="str">
        <f>VLOOKUP(Q455,'[1]Consolidado Cierres'!$Q$2:$Q$1399,1,0)</f>
        <v>423-2023-12-31</v>
      </c>
    </row>
    <row r="456" spans="1:31" hidden="1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  <c r="AE456" t="str">
        <f>VLOOKUP(Q456,'[1]Consolidado Cierres'!$Q$2:$Q$1399,1,0)</f>
        <v>423-2024-12-31</v>
      </c>
    </row>
    <row r="457" spans="1:31" hidden="1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  <c r="AE457" t="str">
        <f>VLOOKUP(Q457,'[1]Consolidado Cierres'!$Q$2:$Q$1399,1,0)</f>
        <v>423-2024-12-31</v>
      </c>
    </row>
    <row r="458" spans="1:31" hidden="1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  <c r="AE458" t="e">
        <f>VLOOKUP(Q458,'[1]Consolidado Cierres'!$Q$2:$Q$1399,1,0)</f>
        <v>#N/A</v>
      </c>
    </row>
    <row r="459" spans="1:31" hidden="1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  <c r="AE459" t="str">
        <f>VLOOKUP(Q459,'[1]Consolidado Cierres'!$Q$2:$Q$1399,1,0)</f>
        <v>424-2022-12-31</v>
      </c>
    </row>
    <row r="460" spans="1:31" hidden="1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  <c r="AE460" t="str">
        <f>VLOOKUP(Q460,'[1]Consolidado Cierres'!$Q$2:$Q$1399,1,0)</f>
        <v>424-2022-12-31</v>
      </c>
    </row>
    <row r="461" spans="1:31" hidden="1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  <c r="AE461" t="str">
        <f>VLOOKUP(Q461,'[1]Consolidado Cierres'!$Q$2:$Q$1399,1,0)</f>
        <v>424-2023-12-31</v>
      </c>
    </row>
    <row r="462" spans="1:31" hidden="1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  <c r="AE462" t="str">
        <f>VLOOKUP(Q462,'[1]Consolidado Cierres'!$Q$2:$Q$1399,1,0)</f>
        <v>424-2023-12-31</v>
      </c>
    </row>
    <row r="463" spans="1:31" hidden="1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  <c r="AE463" t="str">
        <f>VLOOKUP(Q463,'[1]Consolidado Cierres'!$Q$2:$Q$1399,1,0)</f>
        <v>424-2024-12-31</v>
      </c>
    </row>
    <row r="464" spans="1:31" hidden="1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  <c r="AE464" t="str">
        <f>VLOOKUP(Q464,'[1]Consolidado Cierres'!$Q$2:$Q$1399,1,0)</f>
        <v>424-2024-12-31</v>
      </c>
    </row>
    <row r="465" spans="1:31" hidden="1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  <c r="AE465" t="e">
        <f>VLOOKUP(Q465,'[1]Consolidado Cierres'!$Q$2:$Q$1399,1,0)</f>
        <v>#N/A</v>
      </c>
    </row>
    <row r="466" spans="1:31" hidden="1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  <c r="AE466" t="str">
        <f>VLOOKUP(Q466,'[1]Consolidado Cierres'!$Q$2:$Q$1399,1,0)</f>
        <v>460-2023-12-31</v>
      </c>
    </row>
    <row r="467" spans="1:31" hidden="1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  <c r="AE467" t="str">
        <f>VLOOKUP(Q467,'[1]Consolidado Cierres'!$Q$2:$Q$1399,1,0)</f>
        <v>460-2023-12-31</v>
      </c>
    </row>
    <row r="468" spans="1:31" hidden="1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  <c r="AE468" t="str">
        <f>VLOOKUP(Q468,'[1]Consolidado Cierres'!$Q$2:$Q$1399,1,0)</f>
        <v>460-2024-12-31</v>
      </c>
    </row>
    <row r="469" spans="1:31" hidden="1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  <c r="AE469" t="str">
        <f>VLOOKUP(Q469,'[1]Consolidado Cierres'!$Q$2:$Q$1399,1,0)</f>
        <v>460-2024-12-31</v>
      </c>
    </row>
    <row r="470" spans="1:31" hidden="1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  <c r="AE470" t="str">
        <f>VLOOKUP(Q470,'[1]Consolidado Cierres'!$Q$2:$Q$1399,1,0)</f>
        <v>460-2025-06-30</v>
      </c>
    </row>
    <row r="471" spans="1:31" hidden="1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  <c r="AE471" t="str">
        <f>VLOOKUP(Q471,'[1]Consolidado Cierres'!$Q$2:$Q$1399,1,0)</f>
        <v>466-2022-12-31</v>
      </c>
    </row>
    <row r="472" spans="1:31" hidden="1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  <c r="AE472" t="str">
        <f>VLOOKUP(Q472,'[1]Consolidado Cierres'!$Q$2:$Q$1399,1,0)</f>
        <v>466-2022-12-31</v>
      </c>
    </row>
    <row r="473" spans="1:31" hidden="1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  <c r="AE473" t="str">
        <f>VLOOKUP(Q473,'[1]Consolidado Cierres'!$Q$2:$Q$1399,1,0)</f>
        <v>466-2023-12-31</v>
      </c>
    </row>
    <row r="474" spans="1:31" hidden="1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  <c r="AE474" t="str">
        <f>VLOOKUP(Q474,'[1]Consolidado Cierres'!$Q$2:$Q$1399,1,0)</f>
        <v>466-2023-12-31</v>
      </c>
    </row>
    <row r="475" spans="1:31" hidden="1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  <c r="AE475" t="str">
        <f>VLOOKUP(Q475,'[1]Consolidado Cierres'!$Q$2:$Q$1399,1,0)</f>
        <v>466-2024-12-31</v>
      </c>
    </row>
    <row r="476" spans="1:31" hidden="1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  <c r="AE476" t="str">
        <f>VLOOKUP(Q476,'[1]Consolidado Cierres'!$Q$2:$Q$1399,1,0)</f>
        <v>466-2024-12-31</v>
      </c>
    </row>
    <row r="477" spans="1:31" hidden="1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  <c r="AE477" t="e">
        <f>VLOOKUP(Q477,'[1]Consolidado Cierres'!$Q$2:$Q$1399,1,0)</f>
        <v>#N/A</v>
      </c>
    </row>
    <row r="478" spans="1:31" hidden="1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  <c r="AE478" t="e">
        <f>VLOOKUP(Q478,'[1]Consolidado Cierres'!$Q$2:$Q$1399,1,0)</f>
        <v>#N/A</v>
      </c>
    </row>
    <row r="479" spans="1:31" hidden="1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  <c r="AE479" t="e">
        <f>VLOOKUP(Q479,'[1]Consolidado Cierres'!$Q$2:$Q$1399,1,0)</f>
        <v>#N/A</v>
      </c>
    </row>
    <row r="480" spans="1:31" hidden="1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  <c r="AE480" t="e">
        <f>VLOOKUP(Q480,'[1]Consolidado Cierres'!$Q$2:$Q$1399,1,0)</f>
        <v>#N/A</v>
      </c>
    </row>
    <row r="481" spans="1:31" hidden="1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  <c r="AE481" t="e">
        <f>VLOOKUP(Q481,'[1]Consolidado Cierres'!$Q$2:$Q$1399,1,0)</f>
        <v>#N/A</v>
      </c>
    </row>
    <row r="482" spans="1:31" hidden="1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  <c r="AE482" t="e">
        <f>VLOOKUP(Q482,'[1]Consolidado Cierres'!$Q$2:$Q$1399,1,0)</f>
        <v>#N/A</v>
      </c>
    </row>
    <row r="483" spans="1:31" hidden="1" x14ac:dyDescent="0.3">
      <c r="A483" s="3" t="s">
        <v>592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  <c r="AE483" t="e">
        <f>VLOOKUP(Q483,'[1]Consolidado Cierres'!$Q$2:$Q$1399,1,0)</f>
        <v>#N/A</v>
      </c>
    </row>
    <row r="484" spans="1:31" hidden="1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  <c r="AE484" t="e">
        <f>VLOOKUP(Q484,'[1]Consolidado Cierres'!$Q$2:$Q$1399,1,0)</f>
        <v>#N/A</v>
      </c>
    </row>
    <row r="485" spans="1:31" hidden="1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  <c r="AE485" t="e">
        <f>VLOOKUP(Q485,'[1]Consolidado Cierres'!$Q$2:$Q$1399,1,0)</f>
        <v>#N/A</v>
      </c>
    </row>
    <row r="486" spans="1:31" hidden="1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  <c r="AE486" t="e">
        <f>VLOOKUP(Q486,'[1]Consolidado Cierres'!$Q$2:$Q$1399,1,0)</f>
        <v>#N/A</v>
      </c>
    </row>
    <row r="487" spans="1:31" hidden="1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  <c r="AE487" t="e">
        <f>VLOOKUP(Q487,'[1]Consolidado Cierres'!$Q$2:$Q$1399,1,0)</f>
        <v>#N/A</v>
      </c>
    </row>
    <row r="488" spans="1:31" hidden="1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  <c r="AE488" t="e">
        <f>VLOOKUP(Q488,'[1]Consolidado Cierres'!$Q$2:$Q$1399,1,0)</f>
        <v>#N/A</v>
      </c>
    </row>
    <row r="489" spans="1:31" hidden="1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  <c r="AE489" t="e">
        <f>VLOOKUP(Q489,'[1]Consolidado Cierres'!$Q$2:$Q$1399,1,0)</f>
        <v>#N/A</v>
      </c>
    </row>
    <row r="490" spans="1:31" hidden="1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  <c r="AE490" t="e">
        <f>VLOOKUP(Q490,'[1]Consolidado Cierres'!$Q$2:$Q$1399,1,0)</f>
        <v>#N/A</v>
      </c>
    </row>
    <row r="491" spans="1:31" hidden="1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  <c r="AE491" t="e">
        <f>VLOOKUP(Q491,'[1]Consolidado Cierres'!$Q$2:$Q$1399,1,0)</f>
        <v>#N/A</v>
      </c>
    </row>
    <row r="492" spans="1:31" hidden="1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  <c r="AE492" t="e">
        <f>VLOOKUP(Q492,'[1]Consolidado Cierres'!$Q$2:$Q$1399,1,0)</f>
        <v>#N/A</v>
      </c>
    </row>
    <row r="493" spans="1:31" hidden="1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  <c r="AE493" t="e">
        <f>VLOOKUP(Q493,'[1]Consolidado Cierres'!$Q$2:$Q$1399,1,0)</f>
        <v>#N/A</v>
      </c>
    </row>
    <row r="494" spans="1:31" hidden="1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  <c r="AE494" t="e">
        <f>VLOOKUP(Q494,'[1]Consolidado Cierres'!$Q$2:$Q$1399,1,0)</f>
        <v>#N/A</v>
      </c>
    </row>
    <row r="495" spans="1:31" hidden="1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  <c r="AE495" t="e">
        <f>VLOOKUP(Q495,'[1]Consolidado Cierres'!$Q$2:$Q$1399,1,0)</f>
        <v>#N/A</v>
      </c>
    </row>
    <row r="496" spans="1:31" hidden="1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  <c r="AE496" t="e">
        <f>VLOOKUP(Q496,'[1]Consolidado Cierres'!$Q$2:$Q$1399,1,0)</f>
        <v>#N/A</v>
      </c>
    </row>
    <row r="497" spans="1:31" hidden="1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  <c r="AE497" t="e">
        <f>VLOOKUP(Q497,'[1]Consolidado Cierres'!$Q$2:$Q$1399,1,0)</f>
        <v>#N/A</v>
      </c>
    </row>
    <row r="498" spans="1:31" hidden="1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  <c r="AE498" t="e">
        <f>VLOOKUP(Q498,'[1]Consolidado Cierres'!$Q$2:$Q$1399,1,0)</f>
        <v>#N/A</v>
      </c>
    </row>
    <row r="499" spans="1:31" hidden="1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  <c r="AE499" t="e">
        <f>VLOOKUP(Q499,'[1]Consolidado Cierres'!$Q$2:$Q$1399,1,0)</f>
        <v>#N/A</v>
      </c>
    </row>
    <row r="500" spans="1:31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  <c r="AE500" t="e">
        <f>VLOOKUP(Q500,'[1]Consolidado Cierres'!$Q$2:$Q$1399,1,0)</f>
        <v>#N/A</v>
      </c>
    </row>
    <row r="501" spans="1:31" hidden="1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  <c r="AE501" t="e">
        <f>VLOOKUP(Q501,'[1]Consolidado Cierres'!$Q$2:$Q$1399,1,0)</f>
        <v>#N/A</v>
      </c>
    </row>
    <row r="502" spans="1:31" hidden="1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  <c r="AE502" t="e">
        <f>VLOOKUP(Q502,'[1]Consolidado Cierres'!$Q$2:$Q$1399,1,0)</f>
        <v>#N/A</v>
      </c>
    </row>
    <row r="503" spans="1:31" hidden="1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  <c r="AE503" t="e">
        <f>VLOOKUP(Q503,'[1]Consolidado Cierres'!$Q$2:$Q$1399,1,0)</f>
        <v>#N/A</v>
      </c>
    </row>
    <row r="504" spans="1:31" hidden="1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  <c r="AE504" t="str">
        <f>VLOOKUP(Q504,'[1]Consolidado Cierres'!$Q$2:$Q$1399,1,0)</f>
        <v>14-2026-01-01</v>
      </c>
    </row>
    <row r="505" spans="1:31" hidden="1" x14ac:dyDescent="0.3">
      <c r="A505" s="3" t="s">
        <v>588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  <c r="AE505" t="str">
        <f>VLOOKUP(Q505,'[1]Consolidado Cierres'!$Q$2:$Q$1399,1,0)</f>
        <v>14.1-2026-01-01</v>
      </c>
    </row>
    <row r="506" spans="1:31" hidden="1" x14ac:dyDescent="0.3">
      <c r="A506" s="3" t="s">
        <v>589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  <c r="AE506" t="str">
        <f>VLOOKUP(Q506,'[1]Consolidado Cierres'!$Q$2:$Q$1399,1,0)</f>
        <v>14.2-2026-01-01</v>
      </c>
    </row>
    <row r="507" spans="1:31" hidden="1" x14ac:dyDescent="0.3">
      <c r="A507" s="3" t="s">
        <v>590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  <c r="AE507" t="str">
        <f>VLOOKUP(Q507,'[1]Consolidado Cierres'!$Q$2:$Q$1399,1,0)</f>
        <v>14.3-2026-01-01</v>
      </c>
    </row>
    <row r="508" spans="1:31" hidden="1" x14ac:dyDescent="0.3">
      <c r="A508" s="3" t="s">
        <v>591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  <c r="AE508" t="str">
        <f>VLOOKUP(Q508,'[1]Consolidado Cierres'!$Q$2:$Q$1399,1,0)</f>
        <v>14.4-2026-01-01</v>
      </c>
    </row>
    <row r="509" spans="1:31" hidden="1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  <c r="AE509" t="str">
        <f>VLOOKUP(Q509,'[1]Consolidado Cierres'!$Q$2:$Q$1399,1,0)</f>
        <v>77-2026-01-01</v>
      </c>
    </row>
    <row r="510" spans="1:31" hidden="1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  <c r="AE510" t="str">
        <f>VLOOKUP(Q510,'[1]Consolidado Cierres'!$Q$2:$Q$1399,1,0)</f>
        <v>96-2026-01-01</v>
      </c>
    </row>
    <row r="511" spans="1:31" hidden="1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  <c r="AE511" t="e">
        <f>VLOOKUP(Q511,'[1]Consolidado Cierres'!$Q$2:$Q$1399,1,0)</f>
        <v>#N/A</v>
      </c>
    </row>
    <row r="512" spans="1:31" hidden="1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  <c r="AE512" t="str">
        <f>VLOOKUP(Q512,'[1]Consolidado Cierres'!$Q$2:$Q$1399,1,0)</f>
        <v>98-2026-01-01</v>
      </c>
    </row>
    <row r="513" spans="1:31" hidden="1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  <c r="AE513" t="str">
        <f>VLOOKUP(Q513,'[1]Consolidado Cierres'!$Q$2:$Q$1399,1,0)</f>
        <v>109-2026-01-01</v>
      </c>
    </row>
    <row r="514" spans="1:31" hidden="1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  <c r="AE514" t="str">
        <f>VLOOKUP(Q514,'[1]Consolidado Cierres'!$Q$2:$Q$1399,1,0)</f>
        <v>148-2026-01-01</v>
      </c>
    </row>
    <row r="515" spans="1:31" hidden="1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  <c r="AE515" t="str">
        <f>VLOOKUP(Q515,'[1]Consolidado Cierres'!$Q$2:$Q$1399,1,0)</f>
        <v>193-2026-01-01</v>
      </c>
    </row>
    <row r="516" spans="1:31" hidden="1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  <c r="AE516" t="str">
        <f>VLOOKUP(Q516,'[1]Consolidado Cierres'!$Q$2:$Q$1399,1,0)</f>
        <v>194-2026-01-01</v>
      </c>
    </row>
    <row r="517" spans="1:31" hidden="1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  <c r="AE517" t="str">
        <f>VLOOKUP(Q517,'[1]Consolidado Cierres'!$Q$2:$Q$1399,1,0)</f>
        <v>200-2026-01-01</v>
      </c>
    </row>
    <row r="518" spans="1:31" hidden="1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  <c r="AE518" t="str">
        <f>VLOOKUP(Q518,'[1]Consolidado Cierres'!$Q$2:$Q$1399,1,0)</f>
        <v>202-2026-01-01</v>
      </c>
    </row>
    <row r="519" spans="1:31" hidden="1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  <c r="AE519" t="e">
        <f>VLOOKUP(Q519,'[1]Consolidado Cierres'!$Q$2:$Q$1399,1,0)</f>
        <v>#N/A</v>
      </c>
    </row>
    <row r="520" spans="1:31" hidden="1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  <c r="AE520" t="e">
        <f>VLOOKUP(Q520,'[1]Consolidado Cierres'!$Q$2:$Q$1399,1,0)</f>
        <v>#N/A</v>
      </c>
    </row>
    <row r="521" spans="1:31" hidden="1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  <c r="AE521" t="e">
        <f>VLOOKUP(Q521,'[1]Consolidado Cierres'!$Q$2:$Q$1399,1,0)</f>
        <v>#N/A</v>
      </c>
    </row>
    <row r="522" spans="1:31" hidden="1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  <c r="AE522" t="str">
        <f>VLOOKUP(Q522,'[1]Consolidado Cierres'!$Q$2:$Q$1399,1,0)</f>
        <v>244-2026-01-01</v>
      </c>
    </row>
    <row r="523" spans="1:31" hidden="1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  <c r="AE523" t="str">
        <f>VLOOKUP(Q523,'[1]Consolidado Cierres'!$Q$2:$Q$1399,1,0)</f>
        <v>245-2026-01-01</v>
      </c>
    </row>
    <row r="524" spans="1:31" hidden="1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  <c r="AE524" t="str">
        <f>VLOOKUP(Q524,'[1]Consolidado Cierres'!$Q$2:$Q$1399,1,0)</f>
        <v>274-2026-01-01</v>
      </c>
    </row>
    <row r="525" spans="1:31" hidden="1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  <c r="AE525" t="str">
        <f>VLOOKUP(Q525,'[1]Consolidado Cierres'!$Q$2:$Q$1399,1,0)</f>
        <v>276-2026-01-01</v>
      </c>
    </row>
    <row r="526" spans="1:31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  <c r="AE526" t="e">
        <f>VLOOKUP(Q526,'[1]Consolidado Cierres'!$Q$2:$Q$1399,1,0)</f>
        <v>#N/A</v>
      </c>
    </row>
    <row r="527" spans="1:31" hidden="1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  <c r="AE527" t="str">
        <f>VLOOKUP(Q527,'[1]Consolidado Cierres'!$Q$2:$Q$1399,1,0)</f>
        <v>332-2026-01-01</v>
      </c>
    </row>
    <row r="528" spans="1:31" hidden="1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  <c r="AE528" t="str">
        <f>VLOOKUP(Q528,'[1]Consolidado Cierres'!$Q$2:$Q$1399,1,0)</f>
        <v>364-2026-01-01</v>
      </c>
    </row>
    <row r="529" spans="1:31" hidden="1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  <c r="AE529" t="str">
        <f>VLOOKUP(Q529,'[1]Consolidado Cierres'!$Q$2:$Q$1399,1,0)</f>
        <v>367-2026-01-01</v>
      </c>
    </row>
    <row r="530" spans="1:31" hidden="1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  <c r="AE530" t="str">
        <f>VLOOKUP(Q530,'[1]Consolidado Cierres'!$Q$2:$Q$1399,1,0)</f>
        <v>369-2026-01-01</v>
      </c>
    </row>
    <row r="531" spans="1:31" hidden="1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  <c r="AE531" t="e">
        <f>VLOOKUP(Q531,'[1]Consolidado Cierres'!$Q$2:$Q$1399,1,0)</f>
        <v>#N/A</v>
      </c>
    </row>
    <row r="532" spans="1:31" hidden="1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  <c r="AE532" t="str">
        <f>VLOOKUP(Q532,'[1]Consolidado Cierres'!$Q$2:$Q$1399,1,0)</f>
        <v>379-2026-01-01</v>
      </c>
    </row>
    <row r="533" spans="1:31" hidden="1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  <c r="AE533" t="e">
        <f>VLOOKUP(Q533,'[1]Consolidado Cierres'!$Q$2:$Q$1399,1,0)</f>
        <v>#N/A</v>
      </c>
    </row>
    <row r="534" spans="1:31" hidden="1" x14ac:dyDescent="0.3">
      <c r="A534" s="3" t="s">
        <v>592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  <c r="AE534" t="e">
        <f>VLOOKUP(Q534,'[1]Consolidado Cierres'!$Q$2:$Q$1399,1,0)</f>
        <v>#N/A</v>
      </c>
    </row>
    <row r="535" spans="1:31" hidden="1" x14ac:dyDescent="0.3">
      <c r="A535" s="3" t="s">
        <v>593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  <c r="AE535" t="e">
        <f>VLOOKUP(Q535,'[1]Consolidado Cierres'!$Q$2:$Q$1399,1,0)</f>
        <v>#N/A</v>
      </c>
    </row>
    <row r="536" spans="1:31" hidden="1" x14ac:dyDescent="0.3">
      <c r="A536" s="3" t="s">
        <v>594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  <c r="AE536" t="e">
        <f>VLOOKUP(Q536,'[1]Consolidado Cierres'!$Q$2:$Q$1399,1,0)</f>
        <v>#N/A</v>
      </c>
    </row>
    <row r="537" spans="1:31" hidden="1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  <c r="AE537" t="str">
        <f>VLOOKUP(Q537,'[1]Consolidado Cierres'!$Q$2:$Q$1399,1,0)</f>
        <v>423-2026-01-01</v>
      </c>
    </row>
    <row r="538" spans="1:31" hidden="1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  <c r="AE538" t="str">
        <f>VLOOKUP(Q538,'[1]Consolidado Cierres'!$Q$2:$Q$1399,1,0)</f>
        <v>424-2026-01-01</v>
      </c>
    </row>
    <row r="539" spans="1:31" hidden="1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  <c r="AE539" t="str">
        <f>VLOOKUP(Q539,'[1]Consolidado Cierres'!$Q$2:$Q$1399,1,0)</f>
        <v>466-2026-01-01</v>
      </c>
    </row>
    <row r="540" spans="1:31" hidden="1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  <c r="AE540" t="str">
        <f>VLOOKUP(Q540,'[1]Consolidado Cierres'!$Q$2:$Q$1399,1,0)</f>
        <v>1-2023-12-31</v>
      </c>
    </row>
    <row r="541" spans="1:31" hidden="1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  <c r="AE541" t="str">
        <f>VLOOKUP(Q541,'[1]Consolidado Cierres'!$Q$2:$Q$1399,1,0)</f>
        <v>2-2022-12-31</v>
      </c>
    </row>
    <row r="542" spans="1:31" hidden="1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  <c r="AE542" t="str">
        <f>VLOOKUP(Q542,'[1]Consolidado Cierres'!$Q$2:$Q$1399,1,0)</f>
        <v>2-2023-12-31</v>
      </c>
    </row>
    <row r="543" spans="1:31" hidden="1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  <c r="AE543" t="str">
        <f>VLOOKUP(Q543,'[1]Consolidado Cierres'!$Q$2:$Q$1399,1,0)</f>
        <v>3-2023-12-31</v>
      </c>
    </row>
    <row r="544" spans="1:31" hidden="1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  <c r="AE544" t="str">
        <f>VLOOKUP(Q544,'[1]Consolidado Cierres'!$Q$2:$Q$1399,1,0)</f>
        <v>4-2022-12-31</v>
      </c>
    </row>
    <row r="545" spans="1:31" hidden="1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  <c r="AE545" t="str">
        <f>VLOOKUP(Q545,'[1]Consolidado Cierres'!$Q$2:$Q$1399,1,0)</f>
        <v>4-2023-12-31</v>
      </c>
    </row>
    <row r="546" spans="1:31" hidden="1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  <c r="AE546" t="str">
        <f>VLOOKUP(Q546,'[1]Consolidado Cierres'!$Q$2:$Q$1399,1,0)</f>
        <v>5-2023-12-31</v>
      </c>
    </row>
    <row r="547" spans="1:31" hidden="1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  <c r="AE547" t="str">
        <f>VLOOKUP(Q547,'[1]Consolidado Cierres'!$Q$2:$Q$1399,1,0)</f>
        <v>5-2024-12-31</v>
      </c>
    </row>
    <row r="548" spans="1:31" hidden="1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  <c r="AE548" t="str">
        <f>VLOOKUP(Q548,'[1]Consolidado Cierres'!$Q$2:$Q$1399,1,0)</f>
        <v>6-2023-12-31</v>
      </c>
    </row>
    <row r="549" spans="1:31" hidden="1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  <c r="AE549" t="str">
        <f>VLOOKUP(Q549,'[1]Consolidado Cierres'!$Q$2:$Q$1399,1,0)</f>
        <v>6-2024-12-31</v>
      </c>
    </row>
    <row r="550" spans="1:31" hidden="1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  <c r="AE550" t="str">
        <f>VLOOKUP(Q550,'[1]Consolidado Cierres'!$Q$2:$Q$1399,1,0)</f>
        <v>7-2023-12-31</v>
      </c>
    </row>
    <row r="551" spans="1:31" hidden="1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  <c r="AE551" t="str">
        <f>VLOOKUP(Q551,'[1]Consolidado Cierres'!$Q$2:$Q$1399,1,0)</f>
        <v>7-2024-12-31</v>
      </c>
    </row>
    <row r="552" spans="1:31" hidden="1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  <c r="AE552" t="str">
        <f>VLOOKUP(Q552,'[1]Consolidado Cierres'!$Q$2:$Q$1399,1,0)</f>
        <v>8-2023-12-31</v>
      </c>
    </row>
    <row r="553" spans="1:31" hidden="1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  <c r="AE553" t="str">
        <f>VLOOKUP(Q553,'[1]Consolidado Cierres'!$Q$2:$Q$1399,1,0)</f>
        <v>9-2023-12-31</v>
      </c>
    </row>
    <row r="554" spans="1:31" hidden="1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  <c r="AE554" t="e">
        <f>VLOOKUP(Q554,'[1]Consolidado Cierres'!$Q$2:$Q$1399,1,0)</f>
        <v>#N/A</v>
      </c>
    </row>
    <row r="555" spans="1:31" hidden="1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  <c r="AE555" t="str">
        <f>VLOOKUP(Q555,'[1]Consolidado Cierres'!$Q$2:$Q$1399,1,0)</f>
        <v>10-2023-12-31</v>
      </c>
    </row>
    <row r="556" spans="1:31" hidden="1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  <c r="AE556" t="str">
        <f>VLOOKUP(Q556,'[1]Consolidado Cierres'!$Q$2:$Q$1399,1,0)</f>
        <v>10-2024-12-31</v>
      </c>
    </row>
    <row r="557" spans="1:31" hidden="1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  <c r="AE557" t="str">
        <f>VLOOKUP(Q557,'[1]Consolidado Cierres'!$Q$2:$Q$1399,1,0)</f>
        <v>11-2024-12-31</v>
      </c>
    </row>
    <row r="558" spans="1:31" hidden="1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  <c r="AE558" t="str">
        <f>VLOOKUP(Q558,'[1]Consolidado Cierres'!$Q$2:$Q$1399,1,0)</f>
        <v>12-2023-12-31</v>
      </c>
    </row>
    <row r="559" spans="1:31" hidden="1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  <c r="AE559" t="str">
        <f>VLOOKUP(Q559,'[1]Consolidado Cierres'!$Q$2:$Q$1399,1,0)</f>
        <v>12-2024-12-31</v>
      </c>
    </row>
    <row r="560" spans="1:31" hidden="1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  <c r="AE560" t="str">
        <f>VLOOKUP(Q560,'[1]Consolidado Cierres'!$Q$2:$Q$1399,1,0)</f>
        <v>13-2023-12-31</v>
      </c>
    </row>
    <row r="561" spans="1:31" hidden="1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  <c r="AE561" t="str">
        <f>VLOOKUP(Q561,'[1]Consolidado Cierres'!$Q$2:$Q$1399,1,0)</f>
        <v>13-2024-12-31</v>
      </c>
    </row>
    <row r="562" spans="1:31" hidden="1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  <c r="AE562" t="str">
        <f>VLOOKUP(Q562,'[1]Consolidado Cierres'!$Q$2:$Q$1399,1,0)</f>
        <v>900-2024-12-31</v>
      </c>
    </row>
    <row r="563" spans="1:31" hidden="1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  <c r="AE563" t="str">
        <f>VLOOKUP(Q563,'[1]Consolidado Cierres'!$Q$2:$Q$1399,1,0)</f>
        <v>901-2024-12-31</v>
      </c>
    </row>
    <row r="564" spans="1:31" hidden="1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  <c r="AE564" t="str">
        <f>VLOOKUP(Q564,'[1]Consolidado Cierres'!$Q$2:$Q$1399,1,0)</f>
        <v>902-2024-12-31</v>
      </c>
    </row>
    <row r="565" spans="1:31" hidden="1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  <c r="AE565" t="str">
        <f>VLOOKUP(Q565,'[1]Consolidado Cierres'!$Q$2:$Q$1399,1,0)</f>
        <v>903-2024-12-31</v>
      </c>
    </row>
    <row r="566" spans="1:31" hidden="1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  <c r="AE566" t="str">
        <f>VLOOKUP(Q566,'[1]Consolidado Cierres'!$Q$2:$Q$1399,1,0)</f>
        <v>905-2024-12-31</v>
      </c>
    </row>
    <row r="567" spans="1:31" hidden="1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  <c r="AE567" t="str">
        <f>VLOOKUP(Q567,'[1]Consolidado Cierres'!$Q$2:$Q$1399,1,0)</f>
        <v>906-2024-12-31</v>
      </c>
    </row>
    <row r="568" spans="1:31" hidden="1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  <c r="AE568" t="str">
        <f>VLOOKUP(Q568,'[1]Consolidado Cierres'!$Q$2:$Q$1399,1,0)</f>
        <v>907-2024-12-31</v>
      </c>
    </row>
    <row r="569" spans="1:31" hidden="1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  <c r="AE569" t="str">
        <f>VLOOKUP(Q569,'[1]Consolidado Cierres'!$Q$2:$Q$1399,1,0)</f>
        <v>908-2024-12-31</v>
      </c>
    </row>
    <row r="570" spans="1:31" hidden="1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  <c r="AE570" t="e">
        <f>VLOOKUP(Q570,'[1]Consolidado Cierres'!$Q$2:$Q$1399,1,0)</f>
        <v>#N/A</v>
      </c>
    </row>
    <row r="571" spans="1:31" hidden="1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  <c r="AE571" t="str">
        <f>VLOOKUP(Q571,'[1]Consolidado Cierres'!$Q$2:$Q$1399,1,0)</f>
        <v>10.1-2023-12-31</v>
      </c>
    </row>
    <row r="572" spans="1:31" hidden="1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  <c r="AE572" t="str">
        <f>VLOOKUP(Q572,'[1]Consolidado Cierres'!$Q$2:$Q$1399,1,0)</f>
        <v>13.1-2022-12-31</v>
      </c>
    </row>
    <row r="573" spans="1:31" hidden="1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  <c r="AE573" t="e">
        <f>VLOOKUP(Q573,'[1]Consolidado Cierres'!$Q$2:$Q$1399,1,0)</f>
        <v>#N/A</v>
      </c>
    </row>
    <row r="574" spans="1:31" hidden="1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  <c r="AE574" t="str">
        <f>VLOOKUP(Q574,'[1]Consolidado Cierres'!$Q$2:$Q$1399,1,0)</f>
        <v>1-2026-01-01</v>
      </c>
    </row>
    <row r="575" spans="1:31" hidden="1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  <c r="AE575" t="str">
        <f>VLOOKUP(Q575,'[1]Consolidado Cierres'!$Q$2:$Q$1399,1,0)</f>
        <v>2-2026-01-01</v>
      </c>
    </row>
    <row r="576" spans="1:31" hidden="1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  <c r="AE576" t="str">
        <f>VLOOKUP(Q576,'[1]Consolidado Cierres'!$Q$2:$Q$1399,1,0)</f>
        <v>3-2026-01-01</v>
      </c>
    </row>
    <row r="577" spans="1:31" hidden="1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  <c r="AE577" t="str">
        <f>VLOOKUP(Q577,'[1]Consolidado Cierres'!$Q$2:$Q$1399,1,0)</f>
        <v>4-2026-01-01</v>
      </c>
    </row>
    <row r="578" spans="1:31" hidden="1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  <c r="AE578" t="str">
        <f>VLOOKUP(Q578,'[1]Consolidado Cierres'!$Q$2:$Q$1399,1,0)</f>
        <v>6-2026-01-01</v>
      </c>
    </row>
    <row r="579" spans="1:31" hidden="1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  <c r="AE579" t="str">
        <f>VLOOKUP(Q579,'[1]Consolidado Cierres'!$Q$2:$Q$1399,1,0)</f>
        <v>7-2026-01-01</v>
      </c>
    </row>
    <row r="580" spans="1:31" hidden="1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  <c r="AE580" t="str">
        <f>VLOOKUP(Q580,'[1]Consolidado Cierres'!$Q$2:$Q$1399,1,0)</f>
        <v>9-2026-01-01</v>
      </c>
    </row>
    <row r="581" spans="1:31" hidden="1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  <c r="AE581" t="str">
        <f>VLOOKUP(Q581,'[1]Consolidado Cierres'!$Q$2:$Q$1399,1,0)</f>
        <v>10-2026-01-01</v>
      </c>
    </row>
    <row r="582" spans="1:31" hidden="1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  <c r="AE582" t="str">
        <f>VLOOKUP(Q582,'[1]Consolidado Cierres'!$Q$2:$Q$1399,1,0)</f>
        <v>11-2026-01-01</v>
      </c>
    </row>
    <row r="583" spans="1:31" hidden="1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  <c r="AE583" t="e">
        <f>VLOOKUP(Q583,'[1]Consolidado Cierres'!$Q$2:$Q$1399,1,0)</f>
        <v>#N/A</v>
      </c>
    </row>
    <row r="584" spans="1:31" hidden="1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  <c r="AE584" t="str">
        <f>VLOOKUP(Q584,'[1]Consolidado Cierres'!$Q$2:$Q$1399,1,0)</f>
        <v>12-2026-01-01</v>
      </c>
    </row>
    <row r="585" spans="1:31" hidden="1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  <c r="AE585" t="str">
        <f>VLOOKUP(Q585,'[1]Consolidado Cierres'!$Q$2:$Q$1399,1,0)</f>
        <v>13-2026-01-01</v>
      </c>
    </row>
    <row r="586" spans="1:31" hidden="1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  <c r="AE586" t="str">
        <f>VLOOKUP(Q586,'[1]Consolidado Cierres'!$Q$2:$Q$1399,1,0)</f>
        <v>10.1-2026-01-01</v>
      </c>
    </row>
    <row r="587" spans="1:31" hidden="1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  <c r="AE587" t="str">
        <f>VLOOKUP(Q587,'[1]Consolidado Cierres'!$Q$2:$Q$1399,1,0)</f>
        <v>13.1-2026-01-01</v>
      </c>
    </row>
    <row r="588" spans="1:31" hidden="1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  <c r="AE588" t="str">
        <f>VLOOKUP(Q588,'[1]Consolidado Cierres'!$Q$2:$Q$1399,1,0)</f>
        <v>900-2026-01-01</v>
      </c>
    </row>
    <row r="589" spans="1:31" hidden="1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  <c r="AE589" t="str">
        <f>VLOOKUP(Q589,'[1]Consolidado Cierres'!$Q$2:$Q$1399,1,0)</f>
        <v>901-2026-01-01</v>
      </c>
    </row>
    <row r="590" spans="1:31" hidden="1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  <c r="AE590" t="str">
        <f>VLOOKUP(Q590,'[1]Consolidado Cierres'!$Q$2:$Q$1399,1,0)</f>
        <v>902-2026-01-01</v>
      </c>
    </row>
    <row r="591" spans="1:31" hidden="1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  <c r="AE591" t="str">
        <f>VLOOKUP(Q591,'[1]Consolidado Cierres'!$Q$2:$Q$1399,1,0)</f>
        <v>903-2026-01-01</v>
      </c>
    </row>
    <row r="592" spans="1:31" hidden="1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  <c r="AE592" t="str">
        <f>VLOOKUP(Q592,'[1]Consolidado Cierres'!$Q$2:$Q$1399,1,0)</f>
        <v>904-2026-01-01</v>
      </c>
    </row>
    <row r="593" spans="1:31" hidden="1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  <c r="AE593" t="str">
        <f>VLOOKUP(Q593,'[1]Consolidado Cierres'!$Q$2:$Q$1399,1,0)</f>
        <v>905-2026-01-01</v>
      </c>
    </row>
    <row r="594" spans="1:31" hidden="1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  <c r="AE594" t="str">
        <f>VLOOKUP(Q594,'[1]Consolidado Cierres'!$Q$2:$Q$1399,1,0)</f>
        <v>906-2026-01-01</v>
      </c>
    </row>
    <row r="595" spans="1:31" hidden="1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  <c r="AE595" t="str">
        <f>VLOOKUP(Q595,'[1]Consolidado Cierres'!$Q$2:$Q$1399,1,0)</f>
        <v>907-2026-01-01</v>
      </c>
    </row>
    <row r="596" spans="1:31" hidden="1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  <c r="AE596" t="str">
        <f>VLOOKUP(Q596,'[1]Consolidado Cierres'!$Q$2:$Q$1399,1,0)</f>
        <v>908-2026-01-01</v>
      </c>
    </row>
    <row r="597" spans="1:31" hidden="1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  <c r="AE597" t="e">
        <f>VLOOKUP(Q597,'[1]Consolidado Cierres'!$Q$2:$Q$1399,1,0)</f>
        <v>#N/A</v>
      </c>
    </row>
    <row r="598" spans="1:31" hidden="1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  <c r="AE598" t="e">
        <f>VLOOKUP(Q598,'[1]Consolidado Cierres'!$Q$2:$Q$1399,1,0)</f>
        <v>#N/A</v>
      </c>
    </row>
    <row r="599" spans="1:31" hidden="1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  <c r="AE599" t="e">
        <f>VLOOKUP(Q599,'[1]Consolidado Cierres'!$Q$2:$Q$1399,1,0)</f>
        <v>#N/A</v>
      </c>
    </row>
    <row r="600" spans="1:31" hidden="1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  <c r="AE600" t="e">
        <f>VLOOKUP(Q600,'[1]Consolidado Cierres'!$Q$2:$Q$1399,1,0)</f>
        <v>#N/A</v>
      </c>
    </row>
    <row r="601" spans="1:31" hidden="1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  <c r="AE601" t="e">
        <f>VLOOKUP(Q601,'[1]Consolidado Cierres'!$Q$2:$Q$1399,1,0)</f>
        <v>#N/A</v>
      </c>
    </row>
    <row r="602" spans="1:31" hidden="1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  <c r="AE602" t="e">
        <f>VLOOKUP(Q602,'[1]Consolidado Cierres'!$Q$2:$Q$1399,1,0)</f>
        <v>#N/A</v>
      </c>
    </row>
    <row r="603" spans="1:31" hidden="1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  <c r="AE603" t="e">
        <f>VLOOKUP(Q603,'[1]Consolidado Cierres'!$Q$2:$Q$1399,1,0)</f>
        <v>#N/A</v>
      </c>
    </row>
    <row r="604" spans="1:31" hidden="1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  <c r="AE604" t="e">
        <f>VLOOKUP(Q604,'[1]Consolidado Cierres'!$Q$2:$Q$1399,1,0)</f>
        <v>#N/A</v>
      </c>
    </row>
    <row r="605" spans="1:31" hidden="1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  <c r="AE605" t="e">
        <f>VLOOKUP(Q605,'[1]Consolidado Cierres'!$Q$2:$Q$1399,1,0)</f>
        <v>#N/A</v>
      </c>
    </row>
    <row r="606" spans="1:31" hidden="1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  <c r="AE606" t="e">
        <f>VLOOKUP(Q606,'[1]Consolidado Cierres'!$Q$2:$Q$1399,1,0)</f>
        <v>#N/A</v>
      </c>
    </row>
    <row r="607" spans="1:31" hidden="1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  <c r="AE607" t="e">
        <f>VLOOKUP(Q607,'[1]Consolidado Cierres'!$Q$2:$Q$1399,1,0)</f>
        <v>#N/A</v>
      </c>
    </row>
    <row r="608" spans="1:31" hidden="1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  <c r="AE608" t="e">
        <f>VLOOKUP(Q608,'[1]Consolidado Cierres'!$Q$2:$Q$1399,1,0)</f>
        <v>#N/A</v>
      </c>
    </row>
    <row r="609" spans="1:31" hidden="1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  <c r="AE609" t="e">
        <f>VLOOKUP(Q609,'[1]Consolidado Cierres'!$Q$2:$Q$1399,1,0)</f>
        <v>#N/A</v>
      </c>
    </row>
    <row r="610" spans="1:31" hidden="1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  <c r="AE610" t="e">
        <f>VLOOKUP(Q610,'[1]Consolidado Cierres'!$Q$2:$Q$1399,1,0)</f>
        <v>#N/A</v>
      </c>
    </row>
    <row r="611" spans="1:31" hidden="1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  <c r="AE611" t="e">
        <f>VLOOKUP(Q611,'[1]Consolidado Cierres'!$Q$2:$Q$1399,1,0)</f>
        <v>#N/A</v>
      </c>
    </row>
    <row r="612" spans="1:31" hidden="1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  <c r="AE612" t="e">
        <f>VLOOKUP(Q612,'[1]Consolidado Cierres'!$Q$2:$Q$1399,1,0)</f>
        <v>#N/A</v>
      </c>
    </row>
    <row r="613" spans="1:31" hidden="1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  <c r="AE613" t="e">
        <f>VLOOKUP(Q613,'[1]Consolidado Cierres'!$Q$2:$Q$1399,1,0)</f>
        <v>#N/A</v>
      </c>
    </row>
    <row r="614" spans="1:31" hidden="1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  <c r="AE614" t="e">
        <f>VLOOKUP(Q614,'[1]Consolidado Cierres'!$Q$2:$Q$1399,1,0)</f>
        <v>#N/A</v>
      </c>
    </row>
    <row r="615" spans="1:31" hidden="1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  <c r="AE615" t="e">
        <f>VLOOKUP(Q615,'[1]Consolidado Cierres'!$Q$2:$Q$1399,1,0)</f>
        <v>#N/A</v>
      </c>
    </row>
    <row r="616" spans="1:31" hidden="1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  <c r="AE616" t="e">
        <f>VLOOKUP(Q616,'[1]Consolidado Cierres'!$Q$2:$Q$1399,1,0)</f>
        <v>#N/A</v>
      </c>
    </row>
    <row r="617" spans="1:31" hidden="1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  <c r="AE617" t="e">
        <f>VLOOKUP(Q617,'[1]Consolidado Cierres'!$Q$2:$Q$1399,1,0)</f>
        <v>#N/A</v>
      </c>
    </row>
    <row r="618" spans="1:31" hidden="1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  <c r="AE618" t="e">
        <f>VLOOKUP(Q618,'[1]Consolidado Cierres'!$Q$2:$Q$1399,1,0)</f>
        <v>#N/A</v>
      </c>
    </row>
    <row r="619" spans="1:31" hidden="1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  <c r="AE619" t="e">
        <f>VLOOKUP(Q619,'[1]Consolidado Cierres'!$Q$2:$Q$1399,1,0)</f>
        <v>#N/A</v>
      </c>
    </row>
    <row r="620" spans="1:31" hidden="1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  <c r="AE620" t="e">
        <f>VLOOKUP(Q620,'[1]Consolidado Cierres'!$Q$2:$Q$1399,1,0)</f>
        <v>#N/A</v>
      </c>
    </row>
    <row r="621" spans="1:31" hidden="1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  <c r="AE621" t="e">
        <f>VLOOKUP(Q621,'[1]Consolidado Cierres'!$Q$2:$Q$1399,1,0)</f>
        <v>#N/A</v>
      </c>
    </row>
    <row r="622" spans="1:31" hidden="1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  <c r="AE622" t="e">
        <f>VLOOKUP(Q622,'[1]Consolidado Cierres'!$Q$2:$Q$1399,1,0)</f>
        <v>#N/A</v>
      </c>
    </row>
    <row r="623" spans="1:31" hidden="1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  <c r="AE623" t="e">
        <f>VLOOKUP(Q623,'[1]Consolidado Cierres'!$Q$2:$Q$1399,1,0)</f>
        <v>#N/A</v>
      </c>
    </row>
    <row r="624" spans="1:31" hidden="1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  <c r="AE624" t="e">
        <f>VLOOKUP(Q624,'[1]Consolidado Cierres'!$Q$2:$Q$1399,1,0)</f>
        <v>#N/A</v>
      </c>
    </row>
    <row r="625" spans="1:31" hidden="1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  <c r="AE625" t="e">
        <f>VLOOKUP(Q625,'[1]Consolidado Cierres'!$Q$2:$Q$1399,1,0)</f>
        <v>#N/A</v>
      </c>
    </row>
    <row r="626" spans="1:31" hidden="1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  <c r="AE626" t="e">
        <f>VLOOKUP(Q626,'[1]Consolidado Cierres'!$Q$2:$Q$1399,1,0)</f>
        <v>#N/A</v>
      </c>
    </row>
    <row r="627" spans="1:31" hidden="1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  <c r="AE627" t="str">
        <f>VLOOKUP(Q627,'[1]Consolidado Cierres'!$Q$2:$Q$1399,1,0)</f>
        <v>903-2026-01-01</v>
      </c>
    </row>
    <row r="628" spans="1:31" hidden="1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  <c r="AE628" t="e">
        <f>VLOOKUP(Q628,'[1]Consolidado Cierres'!$Q$2:$Q$1399,1,0)</f>
        <v>#N/A</v>
      </c>
    </row>
    <row r="629" spans="1:31" hidden="1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  <c r="AE629" t="e">
        <f>VLOOKUP(Q629,'[1]Consolidado Cierres'!$Q$2:$Q$1399,1,0)</f>
        <v>#N/A</v>
      </c>
    </row>
    <row r="630" spans="1:31" hidden="1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  <c r="AE630" t="e">
        <f>VLOOKUP(Q630,'[1]Consolidado Cierres'!$Q$2:$Q$1399,1,0)</f>
        <v>#N/A</v>
      </c>
    </row>
    <row r="631" spans="1:31" hidden="1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  <c r="AE631" t="e">
        <f>VLOOKUP(Q631,'[1]Consolidado Cierres'!$Q$2:$Q$1399,1,0)</f>
        <v>#N/A</v>
      </c>
    </row>
    <row r="632" spans="1:31" hidden="1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  <c r="AE632" t="e">
        <f>VLOOKUP(Q632,'[1]Consolidado Cierres'!$Q$2:$Q$1399,1,0)</f>
        <v>#N/A</v>
      </c>
    </row>
    <row r="633" spans="1:31" hidden="1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  <c r="AE633" t="e">
        <f>VLOOKUP(Q633,'[1]Consolidado Cierres'!$Q$2:$Q$1399,1,0)</f>
        <v>#N/A</v>
      </c>
    </row>
    <row r="634" spans="1:31" hidden="1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  <c r="AE634" t="e">
        <f>VLOOKUP(Q634,'[1]Consolidado Cierres'!$Q$2:$Q$1399,1,0)</f>
        <v>#N/A</v>
      </c>
    </row>
    <row r="635" spans="1:31" hidden="1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  <c r="AE635" t="e">
        <f>VLOOKUP(Q635,'[1]Consolidado Cierres'!$Q$2:$Q$1399,1,0)</f>
        <v>#N/A</v>
      </c>
    </row>
    <row r="636" spans="1:31" hidden="1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  <c r="AE636" t="e">
        <f>VLOOKUP(Q636,'[1]Consolidado Cierres'!$Q$2:$Q$1399,1,0)</f>
        <v>#N/A</v>
      </c>
    </row>
    <row r="637" spans="1:31" hidden="1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  <c r="AE637" t="e">
        <f>VLOOKUP(Q637,'[1]Consolidado Cierres'!$Q$2:$Q$1399,1,0)</f>
        <v>#N/A</v>
      </c>
    </row>
    <row r="638" spans="1:31" hidden="1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  <c r="AE638" t="str">
        <f>VLOOKUP(Q638,'[1]Consolidado Cierres'!$Q$2:$Q$1399,1,0)</f>
        <v>Prov-1-2026-01-01</v>
      </c>
    </row>
    <row r="639" spans="1:31" hidden="1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  <c r="AE639" t="str">
        <f>VLOOKUP(Q639,'[1]Consolidado Cierres'!$Q$2:$Q$1399,1,0)</f>
        <v>Prov-2-2026-01-01</v>
      </c>
    </row>
    <row r="640" spans="1:31" hidden="1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  <c r="AE640" t="e">
        <f>VLOOKUP(Q640,'[1]Consolidado Cierres'!$Q$2:$Q$1399,1,0)</f>
        <v>#N/A</v>
      </c>
    </row>
    <row r="641" spans="1:31" hidden="1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  <c r="AE641" t="e">
        <f>VLOOKUP(Q641,'[1]Consolidado Cierres'!$Q$2:$Q$1399,1,0)</f>
        <v>#N/A</v>
      </c>
    </row>
    <row r="642" spans="1:31" hidden="1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  <c r="AE642" t="e">
        <f>VLOOKUP(Q642,'[1]Consolidado Cierres'!$Q$2:$Q$1399,1,0)</f>
        <v>#N/A</v>
      </c>
    </row>
    <row r="643" spans="1:31" hidden="1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  <c r="AE643" t="e">
        <f>VLOOKUP(Q643,'[1]Consolidado Cierres'!$Q$2:$Q$1399,1,0)</f>
        <v>#N/A</v>
      </c>
    </row>
    <row r="644" spans="1:31" hidden="1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  <c r="AE644" t="e">
        <f>VLOOKUP(Q644,'[1]Consolidado Cierres'!$Q$2:$Q$1399,1,0)</f>
        <v>#N/A</v>
      </c>
    </row>
    <row r="645" spans="1:31" hidden="1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  <c r="AE645" t="e">
        <f>VLOOKUP(Q645,'[1]Consolidado Cierres'!$Q$2:$Q$1399,1,0)</f>
        <v>#N/A</v>
      </c>
    </row>
    <row r="646" spans="1:31" hidden="1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  <c r="AE646" t="e">
        <f>VLOOKUP(Q646,'[1]Consolidado Cierres'!$Q$2:$Q$1399,1,0)</f>
        <v>#N/A</v>
      </c>
    </row>
    <row r="647" spans="1:31" hidden="1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  <c r="AE647" t="e">
        <f>VLOOKUP(Q647,'[1]Consolidado Cierres'!$Q$2:$Q$1399,1,0)</f>
        <v>#N/A</v>
      </c>
    </row>
    <row r="648" spans="1:31" hidden="1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  <c r="AE648" t="e">
        <f>VLOOKUP(Q648,'[1]Consolidado Cierres'!$Q$2:$Q$1399,1,0)</f>
        <v>#N/A</v>
      </c>
    </row>
    <row r="649" spans="1:31" hidden="1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  <c r="AE649" t="e">
        <f>VLOOKUP(Q649,'[1]Consolidado Cierres'!$Q$2:$Q$1399,1,0)</f>
        <v>#N/A</v>
      </c>
    </row>
    <row r="650" spans="1:31" hidden="1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  <c r="AE650" t="e">
        <f>VLOOKUP(Q650,'[1]Consolidado Cierres'!$Q$2:$Q$1399,1,0)</f>
        <v>#N/A</v>
      </c>
    </row>
    <row r="651" spans="1:31" hidden="1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1" hidden="1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1" hidden="1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1" hidden="1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1" hidden="1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1" hidden="1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hidden="1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hidden="1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E658" xr:uid="{81204473-508B-4912-9C6F-0C18486752FA}">
    <filterColumn colId="1">
      <filters>
        <filter val="Relación estudiante docente Tiempo Completo Equivalente"/>
      </filters>
    </filterColumn>
  </autoFilter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2026-02-19T03:28:35Z</dcterms:modified>
</cp:coreProperties>
</file>