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PDI_2022_2025/Data/"/>
    </mc:Choice>
  </mc:AlternateContent>
  <xr:revisionPtr revIDLastSave="3121" documentId="11_C54DB9D477E07092D1C9E253F65DD242EE9209D1" xr6:coauthVersionLast="47" xr6:coauthVersionMax="47" xr10:uidLastSave="{17638199-8A2B-4399-BB8F-0E06C35F2FBA}"/>
  <bookViews>
    <workbookView xWindow="-108" yWindow="-108" windowWidth="23256" windowHeight="12456" xr2:uid="{00000000-000D-0000-FFFF-FFFF00000000}"/>
  </bookViews>
  <sheets>
    <sheet name="Unificado" sheetId="1" r:id="rId1"/>
    <sheet name="Unificado (2)" sheetId="5" r:id="rId2"/>
    <sheet name="Semestral_Original" sheetId="3" r:id="rId3"/>
    <sheet name="Base_Indicadores" sheetId="2" r:id="rId4"/>
    <sheet name="Cierres_Original" sheetId="4" r:id="rId5"/>
  </sheets>
  <definedNames>
    <definedName name="_xlnm._FilterDatabase" localSheetId="3" hidden="1">Base_Indicadores!$A$1:$M$58</definedName>
    <definedName name="_xlnm._FilterDatabase" localSheetId="4" hidden="1">Cierres_Original!$A$1:$T$180</definedName>
    <definedName name="_xlnm._FilterDatabase" localSheetId="2" hidden="1">Semestral_Original!$A$1:$T$248</definedName>
    <definedName name="_xlnm._FilterDatabase" localSheetId="0" hidden="1">Unificado!$A$1:$AD$658</definedName>
    <definedName name="_xlnm._FilterDatabase" localSheetId="1" hidden="1">'Unificado (2)'!$A$1:$AD$658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84" i="1" l="1"/>
  <c r="L428" i="1"/>
  <c r="L451" i="1"/>
  <c r="L450" i="1"/>
  <c r="L443" i="1"/>
  <c r="L442" i="1"/>
  <c r="L483" i="1"/>
  <c r="L435" i="1"/>
  <c r="Q650" i="5" l="1"/>
  <c r="Q649" i="5"/>
  <c r="Q648" i="5"/>
  <c r="Q647" i="5"/>
  <c r="Q646" i="5"/>
  <c r="Q645" i="5"/>
  <c r="Q644" i="5"/>
  <c r="Q643" i="5"/>
  <c r="Q642" i="5"/>
  <c r="Q641" i="5"/>
  <c r="Q640" i="5"/>
  <c r="Q639" i="5"/>
  <c r="Q638" i="5"/>
  <c r="Q637" i="5"/>
  <c r="N637" i="5"/>
  <c r="M637" i="5"/>
  <c r="Q636" i="5"/>
  <c r="N636" i="5"/>
  <c r="M636" i="5"/>
  <c r="Q635" i="5"/>
  <c r="N635" i="5"/>
  <c r="M635" i="5"/>
  <c r="Q634" i="5"/>
  <c r="N634" i="5"/>
  <c r="M634" i="5"/>
  <c r="Q633" i="5"/>
  <c r="N633" i="5"/>
  <c r="M633" i="5"/>
  <c r="Q632" i="5"/>
  <c r="N632" i="5"/>
  <c r="M632" i="5"/>
  <c r="Q631" i="5"/>
  <c r="N631" i="5"/>
  <c r="M631" i="5"/>
  <c r="Q630" i="5"/>
  <c r="N630" i="5"/>
  <c r="M630" i="5"/>
  <c r="Q629" i="5"/>
  <c r="N629" i="5"/>
  <c r="M629" i="5"/>
  <c r="Q628" i="5"/>
  <c r="N628" i="5"/>
  <c r="M628" i="5"/>
  <c r="Q627" i="5"/>
  <c r="N627" i="5"/>
  <c r="M627" i="5"/>
  <c r="Q626" i="5"/>
  <c r="N626" i="5"/>
  <c r="M626" i="5"/>
  <c r="Q625" i="5"/>
  <c r="N625" i="5"/>
  <c r="M625" i="5"/>
  <c r="Q624" i="5"/>
  <c r="N624" i="5"/>
  <c r="M624" i="5"/>
  <c r="Q623" i="5"/>
  <c r="N623" i="5"/>
  <c r="M623" i="5"/>
  <c r="Q622" i="5"/>
  <c r="N622" i="5"/>
  <c r="M622" i="5"/>
  <c r="Q621" i="5"/>
  <c r="N621" i="5"/>
  <c r="M621" i="5"/>
  <c r="Q620" i="5"/>
  <c r="N620" i="5"/>
  <c r="M620" i="5"/>
  <c r="Q619" i="5"/>
  <c r="N619" i="5"/>
  <c r="M619" i="5"/>
  <c r="Q618" i="5"/>
  <c r="N618" i="5"/>
  <c r="M618" i="5"/>
  <c r="Q617" i="5"/>
  <c r="N617" i="5"/>
  <c r="M617" i="5"/>
  <c r="Q616" i="5"/>
  <c r="N616" i="5"/>
  <c r="M616" i="5"/>
  <c r="Q615" i="5"/>
  <c r="N615" i="5"/>
  <c r="M615" i="5"/>
  <c r="Q614" i="5"/>
  <c r="N614" i="5"/>
  <c r="M614" i="5"/>
  <c r="Q613" i="5"/>
  <c r="N613" i="5"/>
  <c r="M613" i="5"/>
  <c r="Q612" i="5"/>
  <c r="N612" i="5"/>
  <c r="M612" i="5"/>
  <c r="Q611" i="5"/>
  <c r="N611" i="5"/>
  <c r="M611" i="5"/>
  <c r="Q610" i="5"/>
  <c r="N610" i="5"/>
  <c r="M610" i="5"/>
  <c r="Q609" i="5"/>
  <c r="N609" i="5"/>
  <c r="M609" i="5"/>
  <c r="Q608" i="5"/>
  <c r="N608" i="5"/>
  <c r="M608" i="5"/>
  <c r="Q607" i="5"/>
  <c r="N607" i="5"/>
  <c r="M607" i="5"/>
  <c r="Q606" i="5"/>
  <c r="N606" i="5"/>
  <c r="M606" i="5"/>
  <c r="Q605" i="5"/>
  <c r="N605" i="5"/>
  <c r="M605" i="5"/>
  <c r="Q604" i="5"/>
  <c r="N604" i="5"/>
  <c r="M604" i="5"/>
  <c r="Q603" i="5"/>
  <c r="N603" i="5"/>
  <c r="M603" i="5"/>
  <c r="Q602" i="5"/>
  <c r="N602" i="5"/>
  <c r="M602" i="5"/>
  <c r="Q601" i="5"/>
  <c r="N601" i="5"/>
  <c r="M601" i="5"/>
  <c r="Q600" i="5"/>
  <c r="N600" i="5"/>
  <c r="M600" i="5"/>
  <c r="Q599" i="5"/>
  <c r="N599" i="5"/>
  <c r="M599" i="5"/>
  <c r="Q598" i="5"/>
  <c r="N598" i="5"/>
  <c r="M598" i="5"/>
  <c r="Q597" i="5"/>
  <c r="N597" i="5"/>
  <c r="M597" i="5"/>
  <c r="Q596" i="5"/>
  <c r="N596" i="5"/>
  <c r="M596" i="5"/>
  <c r="Q595" i="5"/>
  <c r="N595" i="5"/>
  <c r="M595" i="5"/>
  <c r="Q594" i="5"/>
  <c r="N594" i="5"/>
  <c r="M594" i="5"/>
  <c r="Q593" i="5"/>
  <c r="N593" i="5"/>
  <c r="M593" i="5"/>
  <c r="Q592" i="5"/>
  <c r="N592" i="5"/>
  <c r="M592" i="5"/>
  <c r="Q591" i="5"/>
  <c r="N591" i="5"/>
  <c r="M591" i="5"/>
  <c r="Q590" i="5"/>
  <c r="N590" i="5"/>
  <c r="M590" i="5"/>
  <c r="Q589" i="5"/>
  <c r="Q588" i="5"/>
  <c r="N588" i="5"/>
  <c r="M588" i="5"/>
  <c r="Q587" i="5"/>
  <c r="N587" i="5"/>
  <c r="M587" i="5"/>
  <c r="Q586" i="5"/>
  <c r="N586" i="5"/>
  <c r="M586" i="5"/>
  <c r="Q585" i="5"/>
  <c r="N585" i="5"/>
  <c r="M585" i="5"/>
  <c r="Q584" i="5"/>
  <c r="Q583" i="5"/>
  <c r="Q582" i="5"/>
  <c r="Q581" i="5"/>
  <c r="N581" i="5"/>
  <c r="M581" i="5"/>
  <c r="Q580" i="5"/>
  <c r="N580" i="5"/>
  <c r="M580" i="5"/>
  <c r="Q579" i="5"/>
  <c r="N579" i="5"/>
  <c r="M579" i="5"/>
  <c r="Q578" i="5"/>
  <c r="N578" i="5"/>
  <c r="M578" i="5"/>
  <c r="Q577" i="5"/>
  <c r="N577" i="5"/>
  <c r="M577" i="5"/>
  <c r="Q576" i="5"/>
  <c r="N576" i="5"/>
  <c r="M576" i="5"/>
  <c r="Q575" i="5"/>
  <c r="N575" i="5"/>
  <c r="M575" i="5"/>
  <c r="Q574" i="5"/>
  <c r="N574" i="5"/>
  <c r="M574" i="5"/>
  <c r="Q573" i="5"/>
  <c r="N573" i="5"/>
  <c r="M573" i="5"/>
  <c r="Q572" i="5"/>
  <c r="N572" i="5"/>
  <c r="M572" i="5"/>
  <c r="Q571" i="5"/>
  <c r="N571" i="5"/>
  <c r="M571" i="5"/>
  <c r="Q570" i="5"/>
  <c r="N570" i="5"/>
  <c r="M570" i="5"/>
  <c r="Q569" i="5"/>
  <c r="N569" i="5"/>
  <c r="M569" i="5"/>
  <c r="Q568" i="5"/>
  <c r="N568" i="5"/>
  <c r="M568" i="5"/>
  <c r="Q567" i="5"/>
  <c r="N567" i="5"/>
  <c r="M567" i="5"/>
  <c r="Q566" i="5"/>
  <c r="N566" i="5"/>
  <c r="M566" i="5"/>
  <c r="Q565" i="5"/>
  <c r="N565" i="5"/>
  <c r="M565" i="5"/>
  <c r="Q564" i="5"/>
  <c r="N564" i="5"/>
  <c r="M564" i="5"/>
  <c r="Q563" i="5"/>
  <c r="N563" i="5"/>
  <c r="M563" i="5"/>
  <c r="Q562" i="5"/>
  <c r="N562" i="5"/>
  <c r="M562" i="5"/>
  <c r="Q561" i="5"/>
  <c r="N561" i="5"/>
  <c r="M561" i="5"/>
  <c r="Q560" i="5"/>
  <c r="N560" i="5"/>
  <c r="M560" i="5"/>
  <c r="Q559" i="5"/>
  <c r="N559" i="5"/>
  <c r="M559" i="5"/>
  <c r="Q558" i="5"/>
  <c r="N558" i="5"/>
  <c r="M558" i="5"/>
  <c r="Q557" i="5"/>
  <c r="Q556" i="5"/>
  <c r="N556" i="5"/>
  <c r="M556" i="5"/>
  <c r="Q555" i="5"/>
  <c r="N555" i="5"/>
  <c r="M555" i="5"/>
  <c r="Q554" i="5"/>
  <c r="N554" i="5"/>
  <c r="M554" i="5"/>
  <c r="Q553" i="5"/>
  <c r="N553" i="5"/>
  <c r="M553" i="5"/>
  <c r="Q552" i="5"/>
  <c r="N552" i="5"/>
  <c r="M552" i="5"/>
  <c r="Q551" i="5"/>
  <c r="N551" i="5"/>
  <c r="M551" i="5"/>
  <c r="Q550" i="5"/>
  <c r="N550" i="5"/>
  <c r="M550" i="5"/>
  <c r="Q549" i="5"/>
  <c r="N549" i="5"/>
  <c r="M549" i="5"/>
  <c r="Q548" i="5"/>
  <c r="N548" i="5"/>
  <c r="M548" i="5"/>
  <c r="Q547" i="5"/>
  <c r="N547" i="5"/>
  <c r="M547" i="5"/>
  <c r="Q546" i="5"/>
  <c r="N546" i="5"/>
  <c r="M546" i="5"/>
  <c r="Q545" i="5"/>
  <c r="N545" i="5"/>
  <c r="M545" i="5"/>
  <c r="Q544" i="5"/>
  <c r="N544" i="5"/>
  <c r="M544" i="5"/>
  <c r="Q543" i="5"/>
  <c r="N543" i="5"/>
  <c r="M543" i="5"/>
  <c r="Q542" i="5"/>
  <c r="N542" i="5"/>
  <c r="M542" i="5"/>
  <c r="Q541" i="5"/>
  <c r="N541" i="5"/>
  <c r="M541" i="5"/>
  <c r="Q540" i="5"/>
  <c r="N540" i="5"/>
  <c r="M540" i="5"/>
  <c r="Q539" i="5"/>
  <c r="N539" i="5"/>
  <c r="M539" i="5"/>
  <c r="Q538" i="5"/>
  <c r="N538" i="5"/>
  <c r="M538" i="5"/>
  <c r="Q537" i="5"/>
  <c r="N537" i="5"/>
  <c r="M537" i="5"/>
  <c r="Q536" i="5"/>
  <c r="K536" i="5"/>
  <c r="Q535" i="5"/>
  <c r="K535" i="5"/>
  <c r="Q534" i="5"/>
  <c r="Q533" i="5"/>
  <c r="Q532" i="5"/>
  <c r="Q531" i="5"/>
  <c r="K531" i="5"/>
  <c r="Q530" i="5"/>
  <c r="L530" i="5"/>
  <c r="K530" i="5"/>
  <c r="Q529" i="5"/>
  <c r="N529" i="5"/>
  <c r="M529" i="5"/>
  <c r="Q528" i="5"/>
  <c r="L528" i="5"/>
  <c r="K528" i="5"/>
  <c r="Q527" i="5"/>
  <c r="Q526" i="5"/>
  <c r="N526" i="5"/>
  <c r="M526" i="5"/>
  <c r="Q525" i="5"/>
  <c r="N525" i="5"/>
  <c r="M525" i="5"/>
  <c r="Q524" i="5"/>
  <c r="N524" i="5"/>
  <c r="M524" i="5"/>
  <c r="Q523" i="5"/>
  <c r="N523" i="5"/>
  <c r="M523" i="5"/>
  <c r="Q522" i="5"/>
  <c r="N522" i="5"/>
  <c r="M522" i="5"/>
  <c r="Q521" i="5"/>
  <c r="Q520" i="5"/>
  <c r="L520" i="5"/>
  <c r="Q519" i="5"/>
  <c r="L519" i="5"/>
  <c r="Q518" i="5"/>
  <c r="N518" i="5"/>
  <c r="M518" i="5"/>
  <c r="Q517" i="5"/>
  <c r="M517" i="5"/>
  <c r="Q516" i="5"/>
  <c r="N516" i="5"/>
  <c r="M516" i="5"/>
  <c r="Q515" i="5"/>
  <c r="N515" i="5"/>
  <c r="M515" i="5"/>
  <c r="Q514" i="5"/>
  <c r="N514" i="5"/>
  <c r="M514" i="5"/>
  <c r="Q513" i="5"/>
  <c r="M513" i="5"/>
  <c r="Q512" i="5"/>
  <c r="L512" i="5"/>
  <c r="K512" i="5"/>
  <c r="Q511" i="5"/>
  <c r="Q510" i="5"/>
  <c r="N510" i="5"/>
  <c r="M510" i="5"/>
  <c r="Q509" i="5"/>
  <c r="N509" i="5"/>
  <c r="M509" i="5"/>
  <c r="Q508" i="5"/>
  <c r="L508" i="5"/>
  <c r="K508" i="5"/>
  <c r="Q507" i="5"/>
  <c r="N507" i="5"/>
  <c r="M507" i="5"/>
  <c r="Q506" i="5"/>
  <c r="N506" i="5"/>
  <c r="M506" i="5"/>
  <c r="Q505" i="5"/>
  <c r="N505" i="5"/>
  <c r="M505" i="5"/>
  <c r="Q504" i="5"/>
  <c r="N504" i="5"/>
  <c r="M504" i="5"/>
  <c r="Q503" i="5"/>
  <c r="L503" i="5"/>
  <c r="K503" i="5"/>
  <c r="K532" i="5" s="1"/>
  <c r="Q502" i="5"/>
  <c r="N502" i="5"/>
  <c r="M502" i="5"/>
  <c r="Q501" i="5"/>
  <c r="N501" i="5"/>
  <c r="M501" i="5"/>
  <c r="Q500" i="5"/>
  <c r="N500" i="5"/>
  <c r="M500" i="5"/>
  <c r="Q499" i="5"/>
  <c r="N499" i="5"/>
  <c r="M499" i="5"/>
  <c r="Q498" i="5"/>
  <c r="N498" i="5"/>
  <c r="M498" i="5"/>
  <c r="Q497" i="5"/>
  <c r="M497" i="5"/>
  <c r="Q496" i="5"/>
  <c r="M496" i="5"/>
  <c r="Q495" i="5"/>
  <c r="N495" i="5"/>
  <c r="M495" i="5"/>
  <c r="Q494" i="5"/>
  <c r="N494" i="5"/>
  <c r="M494" i="5"/>
  <c r="Q493" i="5"/>
  <c r="N493" i="5"/>
  <c r="M493" i="5"/>
  <c r="Q492" i="5"/>
  <c r="N492" i="5"/>
  <c r="M492" i="5"/>
  <c r="Q491" i="5"/>
  <c r="N491" i="5"/>
  <c r="M491" i="5"/>
  <c r="Q490" i="5"/>
  <c r="Q489" i="5"/>
  <c r="N489" i="5"/>
  <c r="M489" i="5"/>
  <c r="Q488" i="5"/>
  <c r="N488" i="5"/>
  <c r="M488" i="5"/>
  <c r="Q487" i="5"/>
  <c r="Q486" i="5"/>
  <c r="N486" i="5"/>
  <c r="M486" i="5"/>
  <c r="Q485" i="5"/>
  <c r="N485" i="5"/>
  <c r="M485" i="5"/>
  <c r="Q484" i="5"/>
  <c r="L484" i="5"/>
  <c r="K484" i="5"/>
  <c r="K533" i="5" s="1"/>
  <c r="Q483" i="5"/>
  <c r="L483" i="5"/>
  <c r="K483" i="5"/>
  <c r="Q482" i="5"/>
  <c r="M482" i="5"/>
  <c r="Q481" i="5"/>
  <c r="N481" i="5"/>
  <c r="M481" i="5"/>
  <c r="Q480" i="5"/>
  <c r="N480" i="5"/>
  <c r="M480" i="5"/>
  <c r="Q479" i="5"/>
  <c r="M479" i="5"/>
  <c r="L479" i="5"/>
  <c r="N479" i="5" s="1"/>
  <c r="K479" i="5"/>
  <c r="K519" i="5" s="1"/>
  <c r="H479" i="5"/>
  <c r="G479" i="5"/>
  <c r="Q478" i="5"/>
  <c r="K478" i="5"/>
  <c r="M478" i="5" s="1"/>
  <c r="H478" i="5"/>
  <c r="G478" i="5"/>
  <c r="Q477" i="5"/>
  <c r="N477" i="5"/>
  <c r="M477" i="5"/>
  <c r="Q476" i="5"/>
  <c r="N476" i="5"/>
  <c r="Q475" i="5"/>
  <c r="N475" i="5"/>
  <c r="Q474" i="5"/>
  <c r="N474" i="5"/>
  <c r="Q473" i="5"/>
  <c r="N473" i="5"/>
  <c r="Q472" i="5"/>
  <c r="N472" i="5"/>
  <c r="Q471" i="5"/>
  <c r="N471" i="5"/>
  <c r="Q470" i="5"/>
  <c r="Q469" i="5"/>
  <c r="Q468" i="5"/>
  <c r="Q467" i="5"/>
  <c r="Q466" i="5"/>
  <c r="Q465" i="5"/>
  <c r="N465" i="5"/>
  <c r="M465" i="5"/>
  <c r="Q464" i="5"/>
  <c r="N464" i="5"/>
  <c r="M464" i="5"/>
  <c r="Q463" i="5"/>
  <c r="N463" i="5"/>
  <c r="M463" i="5"/>
  <c r="Q462" i="5"/>
  <c r="N462" i="5"/>
  <c r="M462" i="5"/>
  <c r="Q461" i="5"/>
  <c r="N461" i="5"/>
  <c r="M461" i="5"/>
  <c r="Q460" i="5"/>
  <c r="N460" i="5"/>
  <c r="M460" i="5"/>
  <c r="Q459" i="5"/>
  <c r="N459" i="5"/>
  <c r="M459" i="5"/>
  <c r="Q458" i="5"/>
  <c r="N458" i="5"/>
  <c r="M458" i="5"/>
  <c r="Q457" i="5"/>
  <c r="N457" i="5"/>
  <c r="M457" i="5"/>
  <c r="Q456" i="5"/>
  <c r="N456" i="5"/>
  <c r="M456" i="5"/>
  <c r="Q455" i="5"/>
  <c r="N455" i="5"/>
  <c r="M455" i="5"/>
  <c r="Q454" i="5"/>
  <c r="N454" i="5"/>
  <c r="M454" i="5"/>
  <c r="Q453" i="5"/>
  <c r="N453" i="5"/>
  <c r="M453" i="5"/>
  <c r="Q452" i="5"/>
  <c r="N452" i="5"/>
  <c r="M452" i="5"/>
  <c r="Q451" i="5"/>
  <c r="L451" i="5"/>
  <c r="K451" i="5"/>
  <c r="Q450" i="5"/>
  <c r="L450" i="5"/>
  <c r="K450" i="5"/>
  <c r="Q449" i="5"/>
  <c r="N449" i="5"/>
  <c r="M449" i="5"/>
  <c r="Q448" i="5"/>
  <c r="N448" i="5"/>
  <c r="M448" i="5"/>
  <c r="Q447" i="5"/>
  <c r="L447" i="5"/>
  <c r="M447" i="5" s="1"/>
  <c r="Q446" i="5"/>
  <c r="L446" i="5"/>
  <c r="N446" i="5" s="1"/>
  <c r="Q445" i="5"/>
  <c r="L445" i="5"/>
  <c r="K445" i="5"/>
  <c r="Q444" i="5"/>
  <c r="L444" i="5"/>
  <c r="M444" i="5" s="1"/>
  <c r="K444" i="5"/>
  <c r="Q443" i="5"/>
  <c r="N443" i="5"/>
  <c r="L443" i="5"/>
  <c r="K443" i="5"/>
  <c r="Q442" i="5"/>
  <c r="L442" i="5"/>
  <c r="M442" i="5" s="1"/>
  <c r="K442" i="5"/>
  <c r="Q441" i="5"/>
  <c r="N441" i="5"/>
  <c r="M441" i="5"/>
  <c r="Q440" i="5"/>
  <c r="N440" i="5"/>
  <c r="M440" i="5"/>
  <c r="Q439" i="5"/>
  <c r="L439" i="5"/>
  <c r="M439" i="5" s="1"/>
  <c r="Q438" i="5"/>
  <c r="N438" i="5"/>
  <c r="M438" i="5"/>
  <c r="L438" i="5"/>
  <c r="Q437" i="5"/>
  <c r="L437" i="5"/>
  <c r="K437" i="5"/>
  <c r="G437" i="5"/>
  <c r="Q436" i="5"/>
  <c r="M436" i="5"/>
  <c r="L436" i="5"/>
  <c r="K436" i="5"/>
  <c r="G436" i="5"/>
  <c r="Q435" i="5"/>
  <c r="L435" i="5"/>
  <c r="M435" i="5" s="1"/>
  <c r="K435" i="5"/>
  <c r="Q434" i="5"/>
  <c r="N434" i="5"/>
  <c r="M434" i="5"/>
  <c r="Q433" i="5"/>
  <c r="N433" i="5"/>
  <c r="M433" i="5"/>
  <c r="Q432" i="5"/>
  <c r="L432" i="5"/>
  <c r="M432" i="5" s="1"/>
  <c r="Q431" i="5"/>
  <c r="L431" i="5"/>
  <c r="N431" i="5" s="1"/>
  <c r="Q430" i="5"/>
  <c r="L430" i="5"/>
  <c r="M430" i="5" s="1"/>
  <c r="K430" i="5"/>
  <c r="K534" i="5" s="1"/>
  <c r="Q429" i="5"/>
  <c r="L429" i="5"/>
  <c r="M429" i="5" s="1"/>
  <c r="K429" i="5"/>
  <c r="Q428" i="5"/>
  <c r="L428" i="5"/>
  <c r="M428" i="5" s="1"/>
  <c r="K428" i="5"/>
  <c r="Q427" i="5"/>
  <c r="N427" i="5"/>
  <c r="M427" i="5"/>
  <c r="Q426" i="5"/>
  <c r="N426" i="5"/>
  <c r="M426" i="5"/>
  <c r="Q425" i="5"/>
  <c r="N425" i="5"/>
  <c r="M425" i="5"/>
  <c r="Q424" i="5"/>
  <c r="N424" i="5"/>
  <c r="M424" i="5"/>
  <c r="Q423" i="5"/>
  <c r="N423" i="5"/>
  <c r="M423" i="5"/>
  <c r="Q422" i="5"/>
  <c r="N422" i="5"/>
  <c r="M422" i="5"/>
  <c r="Q421" i="5"/>
  <c r="N421" i="5"/>
  <c r="M421" i="5"/>
  <c r="H421" i="5"/>
  <c r="G421" i="5"/>
  <c r="Q420" i="5"/>
  <c r="N420" i="5"/>
  <c r="M420" i="5"/>
  <c r="Q419" i="5"/>
  <c r="N419" i="5"/>
  <c r="M419" i="5"/>
  <c r="Q418" i="5"/>
  <c r="N418" i="5"/>
  <c r="M418" i="5"/>
  <c r="Q417" i="5"/>
  <c r="N417" i="5"/>
  <c r="M417" i="5"/>
  <c r="Q416" i="5"/>
  <c r="N416" i="5"/>
  <c r="M416" i="5"/>
  <c r="Q415" i="5"/>
  <c r="N415" i="5"/>
  <c r="M415" i="5"/>
  <c r="Q414" i="5"/>
  <c r="N414" i="5"/>
  <c r="M414" i="5"/>
  <c r="Q413" i="5"/>
  <c r="N413" i="5"/>
  <c r="M413" i="5"/>
  <c r="Q412" i="5"/>
  <c r="N412" i="5"/>
  <c r="M412" i="5"/>
  <c r="Q411" i="5"/>
  <c r="N411" i="5"/>
  <c r="M411" i="5"/>
  <c r="Q410" i="5"/>
  <c r="H410" i="5"/>
  <c r="G410" i="5"/>
  <c r="Q409" i="5"/>
  <c r="H409" i="5"/>
  <c r="G409" i="5"/>
  <c r="Q408" i="5"/>
  <c r="H408" i="5"/>
  <c r="G408" i="5"/>
  <c r="Q407" i="5"/>
  <c r="H407" i="5"/>
  <c r="G407" i="5"/>
  <c r="Q406" i="5"/>
  <c r="H406" i="5"/>
  <c r="G406" i="5"/>
  <c r="Q405" i="5"/>
  <c r="H405" i="5"/>
  <c r="G405" i="5"/>
  <c r="Q404" i="5"/>
  <c r="H404" i="5"/>
  <c r="G404" i="5"/>
  <c r="Q403" i="5"/>
  <c r="H403" i="5"/>
  <c r="G403" i="5"/>
  <c r="Q402" i="5"/>
  <c r="H402" i="5"/>
  <c r="G402" i="5"/>
  <c r="Q401" i="5"/>
  <c r="H401" i="5"/>
  <c r="G401" i="5"/>
  <c r="Q400" i="5"/>
  <c r="H400" i="5"/>
  <c r="G400" i="5"/>
  <c r="Q399" i="5"/>
  <c r="H399" i="5"/>
  <c r="G399" i="5"/>
  <c r="Q398" i="5"/>
  <c r="Q397" i="5"/>
  <c r="Q396" i="5"/>
  <c r="Q395" i="5"/>
  <c r="Q394" i="5"/>
  <c r="Q393" i="5"/>
  <c r="M393" i="5"/>
  <c r="L393" i="5"/>
  <c r="N393" i="5" s="1"/>
  <c r="Q392" i="5"/>
  <c r="L392" i="5"/>
  <c r="M392" i="5" s="1"/>
  <c r="Q391" i="5"/>
  <c r="N391" i="5"/>
  <c r="M391" i="5"/>
  <c r="Q390" i="5"/>
  <c r="N390" i="5"/>
  <c r="M390" i="5"/>
  <c r="Q389" i="5"/>
  <c r="N389" i="5"/>
  <c r="M389" i="5"/>
  <c r="Q388" i="5"/>
  <c r="N388" i="5"/>
  <c r="M388" i="5"/>
  <c r="Q387" i="5"/>
  <c r="N387" i="5"/>
  <c r="M387" i="5"/>
  <c r="Q386" i="5"/>
  <c r="N386" i="5"/>
  <c r="M386" i="5"/>
  <c r="Q385" i="5"/>
  <c r="L385" i="5"/>
  <c r="K385" i="5"/>
  <c r="N385" i="5" s="1"/>
  <c r="Q384" i="5"/>
  <c r="N384" i="5"/>
  <c r="M384" i="5"/>
  <c r="Q383" i="5"/>
  <c r="N383" i="5"/>
  <c r="M383" i="5"/>
  <c r="Q382" i="5"/>
  <c r="N382" i="5"/>
  <c r="M382" i="5"/>
  <c r="Q381" i="5"/>
  <c r="N381" i="5"/>
  <c r="M381" i="5"/>
  <c r="Q380" i="5"/>
  <c r="Q379" i="5"/>
  <c r="Q378" i="5"/>
  <c r="Q377" i="5"/>
  <c r="N377" i="5"/>
  <c r="M377" i="5"/>
  <c r="Q376" i="5"/>
  <c r="N376" i="5"/>
  <c r="M376" i="5"/>
  <c r="Q375" i="5"/>
  <c r="N375" i="5"/>
  <c r="M375" i="5"/>
  <c r="Q374" i="5"/>
  <c r="N374" i="5"/>
  <c r="M374" i="5"/>
  <c r="Q373" i="5"/>
  <c r="N373" i="5"/>
  <c r="M373" i="5"/>
  <c r="Q372" i="5"/>
  <c r="N372" i="5"/>
  <c r="M372" i="5"/>
  <c r="Q371" i="5"/>
  <c r="N371" i="5"/>
  <c r="M371" i="5"/>
  <c r="Q370" i="5"/>
  <c r="N370" i="5"/>
  <c r="M370" i="5"/>
  <c r="Q369" i="5"/>
  <c r="N369" i="5"/>
  <c r="M369" i="5"/>
  <c r="Q368" i="5"/>
  <c r="N368" i="5"/>
  <c r="M368" i="5"/>
  <c r="Q367" i="5"/>
  <c r="N367" i="5"/>
  <c r="M367" i="5"/>
  <c r="Q366" i="5"/>
  <c r="Q365" i="5"/>
  <c r="Q364" i="5"/>
  <c r="Q363" i="5"/>
  <c r="M363" i="5"/>
  <c r="Q362" i="5"/>
  <c r="M362" i="5"/>
  <c r="Q361" i="5"/>
  <c r="Q360" i="5"/>
  <c r="Q359" i="5"/>
  <c r="H359" i="5"/>
  <c r="G359" i="5"/>
  <c r="Q358" i="5"/>
  <c r="Q357" i="5"/>
  <c r="Q356" i="5"/>
  <c r="Q355" i="5"/>
  <c r="Q354" i="5"/>
  <c r="Q353" i="5"/>
  <c r="Q352" i="5"/>
  <c r="N352" i="5"/>
  <c r="M352" i="5"/>
  <c r="Q351" i="5"/>
  <c r="N351" i="5"/>
  <c r="M351" i="5"/>
  <c r="Q350" i="5"/>
  <c r="Q349" i="5"/>
  <c r="Q348" i="5"/>
  <c r="Q347" i="5"/>
  <c r="Q346" i="5"/>
  <c r="Q345" i="5"/>
  <c r="Q344" i="5"/>
  <c r="Q343" i="5"/>
  <c r="Q342" i="5"/>
  <c r="Q341" i="5"/>
  <c r="Q340" i="5"/>
  <c r="Q339" i="5"/>
  <c r="Q338" i="5"/>
  <c r="Q337" i="5"/>
  <c r="Q336" i="5"/>
  <c r="Q335" i="5"/>
  <c r="Q334" i="5"/>
  <c r="Q333" i="5"/>
  <c r="Q332" i="5"/>
  <c r="Q331" i="5"/>
  <c r="Q330" i="5"/>
  <c r="Q329" i="5"/>
  <c r="Q328" i="5"/>
  <c r="Q327" i="5"/>
  <c r="Q326" i="5"/>
  <c r="Q325" i="5"/>
  <c r="Q324" i="5"/>
  <c r="Q323" i="5"/>
  <c r="Q322" i="5"/>
  <c r="Q321" i="5"/>
  <c r="Q320" i="5"/>
  <c r="Q319" i="5"/>
  <c r="Q318" i="5"/>
  <c r="Q317" i="5"/>
  <c r="Q316" i="5"/>
  <c r="Q315" i="5"/>
  <c r="Q314" i="5"/>
  <c r="Q313" i="5"/>
  <c r="Q312" i="5"/>
  <c r="Q311" i="5"/>
  <c r="Q310" i="5"/>
  <c r="Q309" i="5"/>
  <c r="Q308" i="5"/>
  <c r="Q307" i="5"/>
  <c r="Q306" i="5"/>
  <c r="Q305" i="5"/>
  <c r="Q304" i="5"/>
  <c r="Q303" i="5"/>
  <c r="Q302" i="5"/>
  <c r="Q301" i="5"/>
  <c r="N301" i="5"/>
  <c r="M301" i="5"/>
  <c r="Q300" i="5"/>
  <c r="N300" i="5"/>
  <c r="M300" i="5"/>
  <c r="Q299" i="5"/>
  <c r="N299" i="5"/>
  <c r="M299" i="5"/>
  <c r="Q298" i="5"/>
  <c r="N298" i="5"/>
  <c r="M298" i="5"/>
  <c r="Q297" i="5"/>
  <c r="N297" i="5"/>
  <c r="M297" i="5"/>
  <c r="Q296" i="5"/>
  <c r="N296" i="5"/>
  <c r="M296" i="5"/>
  <c r="Q295" i="5"/>
  <c r="N295" i="5"/>
  <c r="M295" i="5"/>
  <c r="Q294" i="5"/>
  <c r="N294" i="5"/>
  <c r="M294" i="5"/>
  <c r="Q293" i="5"/>
  <c r="N293" i="5"/>
  <c r="M293" i="5"/>
  <c r="Q292" i="5"/>
  <c r="N292" i="5"/>
  <c r="M292" i="5"/>
  <c r="Q291" i="5"/>
  <c r="N291" i="5"/>
  <c r="M291" i="5"/>
  <c r="Q290" i="5"/>
  <c r="N290" i="5"/>
  <c r="M290" i="5"/>
  <c r="Q289" i="5"/>
  <c r="N289" i="5"/>
  <c r="M289" i="5"/>
  <c r="Q288" i="5"/>
  <c r="N288" i="5"/>
  <c r="M288" i="5"/>
  <c r="Q287" i="5"/>
  <c r="N287" i="5"/>
  <c r="M287" i="5"/>
  <c r="Q286" i="5"/>
  <c r="N286" i="5"/>
  <c r="M286" i="5"/>
  <c r="Q285" i="5"/>
  <c r="N285" i="5"/>
  <c r="M285" i="5"/>
  <c r="Q284" i="5"/>
  <c r="N284" i="5"/>
  <c r="M284" i="5"/>
  <c r="Q283" i="5"/>
  <c r="N283" i="5"/>
  <c r="M283" i="5"/>
  <c r="Q282" i="5"/>
  <c r="N282" i="5"/>
  <c r="M282" i="5"/>
  <c r="H282" i="5"/>
  <c r="G282" i="5"/>
  <c r="Q281" i="5"/>
  <c r="N281" i="5"/>
  <c r="M281" i="5"/>
  <c r="H281" i="5"/>
  <c r="Q280" i="5"/>
  <c r="N280" i="5"/>
  <c r="M280" i="5"/>
  <c r="Q279" i="5"/>
  <c r="N279" i="5"/>
  <c r="M279" i="5"/>
  <c r="Q278" i="5"/>
  <c r="N278" i="5"/>
  <c r="M278" i="5"/>
  <c r="Q277" i="5"/>
  <c r="N277" i="5"/>
  <c r="M277" i="5"/>
  <c r="Q276" i="5"/>
  <c r="N276" i="5"/>
  <c r="M276" i="5"/>
  <c r="Q275" i="5"/>
  <c r="N275" i="5"/>
  <c r="M275" i="5"/>
  <c r="Q274" i="5"/>
  <c r="N274" i="5"/>
  <c r="M274" i="5"/>
  <c r="Q273" i="5"/>
  <c r="N273" i="5"/>
  <c r="M273" i="5"/>
  <c r="Q272" i="5"/>
  <c r="N272" i="5"/>
  <c r="M272" i="5"/>
  <c r="Q271" i="5"/>
  <c r="N271" i="5"/>
  <c r="M271" i="5"/>
  <c r="Q270" i="5"/>
  <c r="H270" i="5"/>
  <c r="G270" i="5"/>
  <c r="Q269" i="5"/>
  <c r="H269" i="5"/>
  <c r="G269" i="5"/>
  <c r="Q268" i="5"/>
  <c r="H268" i="5"/>
  <c r="G268" i="5"/>
  <c r="Q267" i="5"/>
  <c r="H267" i="5"/>
  <c r="G267" i="5"/>
  <c r="Q266" i="5"/>
  <c r="H266" i="5"/>
  <c r="G266" i="5"/>
  <c r="Q265" i="5"/>
  <c r="H265" i="5"/>
  <c r="G265" i="5"/>
  <c r="Q264" i="5"/>
  <c r="H264" i="5"/>
  <c r="G264" i="5"/>
  <c r="Q263" i="5"/>
  <c r="H263" i="5"/>
  <c r="G263" i="5"/>
  <c r="Q262" i="5"/>
  <c r="H262" i="5"/>
  <c r="G262" i="5"/>
  <c r="Q261" i="5"/>
  <c r="H261" i="5"/>
  <c r="G261" i="5"/>
  <c r="Q260" i="5"/>
  <c r="H260" i="5"/>
  <c r="G260" i="5"/>
  <c r="Q259" i="5"/>
  <c r="H259" i="5"/>
  <c r="G259" i="5"/>
  <c r="Q258" i="5"/>
  <c r="N258" i="5"/>
  <c r="M258" i="5"/>
  <c r="Q257" i="5"/>
  <c r="N257" i="5"/>
  <c r="M257" i="5"/>
  <c r="Q256" i="5"/>
  <c r="N256" i="5"/>
  <c r="M256" i="5"/>
  <c r="Q255" i="5"/>
  <c r="N255" i="5"/>
  <c r="M255" i="5"/>
  <c r="Q254" i="5"/>
  <c r="N254" i="5"/>
  <c r="M254" i="5"/>
  <c r="Q253" i="5"/>
  <c r="N253" i="5"/>
  <c r="M253" i="5"/>
  <c r="Q252" i="5"/>
  <c r="N252" i="5"/>
  <c r="M252" i="5"/>
  <c r="Q251" i="5"/>
  <c r="N251" i="5"/>
  <c r="M251" i="5"/>
  <c r="Q250" i="5"/>
  <c r="N250" i="5"/>
  <c r="M250" i="5"/>
  <c r="Q249" i="5"/>
  <c r="N249" i="5"/>
  <c r="M249" i="5"/>
  <c r="Q248" i="5"/>
  <c r="N248" i="5"/>
  <c r="M248" i="5"/>
  <c r="Q247" i="5"/>
  <c r="N247" i="5"/>
  <c r="M247" i="5"/>
  <c r="Q246" i="5"/>
  <c r="N246" i="5"/>
  <c r="M246" i="5"/>
  <c r="Q245" i="5"/>
  <c r="N245" i="5"/>
  <c r="M245" i="5"/>
  <c r="Q244" i="5"/>
  <c r="N244" i="5"/>
  <c r="M244" i="5"/>
  <c r="Q243" i="5"/>
  <c r="N243" i="5"/>
  <c r="M243" i="5"/>
  <c r="Q242" i="5"/>
  <c r="N242" i="5"/>
  <c r="M242" i="5"/>
  <c r="Q241" i="5"/>
  <c r="N241" i="5"/>
  <c r="M241" i="5"/>
  <c r="Q240" i="5"/>
  <c r="N240" i="5"/>
  <c r="M240" i="5"/>
  <c r="Q239" i="5"/>
  <c r="N239" i="5"/>
  <c r="M239" i="5"/>
  <c r="Q238" i="5"/>
  <c r="N238" i="5"/>
  <c r="M238" i="5"/>
  <c r="Q237" i="5"/>
  <c r="N237" i="5"/>
  <c r="M237" i="5"/>
  <c r="Q236" i="5"/>
  <c r="N236" i="5"/>
  <c r="M236" i="5"/>
  <c r="Q235" i="5"/>
  <c r="N235" i="5"/>
  <c r="M235" i="5"/>
  <c r="Q234" i="5"/>
  <c r="Q233" i="5"/>
  <c r="Q232" i="5"/>
  <c r="Q231" i="5"/>
  <c r="Q230" i="5"/>
  <c r="Q229" i="5"/>
  <c r="Q228" i="5"/>
  <c r="Q227" i="5"/>
  <c r="Q226" i="5"/>
  <c r="Q225" i="5"/>
  <c r="Q224" i="5"/>
  <c r="Q223" i="5"/>
  <c r="Q222" i="5"/>
  <c r="Q221" i="5"/>
  <c r="Q220" i="5"/>
  <c r="Q219" i="5"/>
  <c r="Q218" i="5"/>
  <c r="Q217" i="5"/>
  <c r="Q216" i="5"/>
  <c r="L216" i="5"/>
  <c r="K216" i="5"/>
  <c r="Q215" i="5"/>
  <c r="L215" i="5"/>
  <c r="Q214" i="5"/>
  <c r="Q213" i="5"/>
  <c r="Q212" i="5"/>
  <c r="Q211" i="5"/>
  <c r="Q210" i="5"/>
  <c r="N210" i="5"/>
  <c r="M210" i="5"/>
  <c r="Q209" i="5"/>
  <c r="N209" i="5"/>
  <c r="M209" i="5"/>
  <c r="Q208" i="5"/>
  <c r="N208" i="5"/>
  <c r="M208" i="5"/>
  <c r="Q207" i="5"/>
  <c r="N207" i="5"/>
  <c r="M207" i="5"/>
  <c r="Q206" i="5"/>
  <c r="N206" i="5"/>
  <c r="M206" i="5"/>
  <c r="Q205" i="5"/>
  <c r="N205" i="5"/>
  <c r="M205" i="5"/>
  <c r="Q204" i="5"/>
  <c r="N204" i="5"/>
  <c r="M204" i="5"/>
  <c r="Q203" i="5"/>
  <c r="N203" i="5"/>
  <c r="M203" i="5"/>
  <c r="Q202" i="5"/>
  <c r="N202" i="5"/>
  <c r="M202" i="5"/>
  <c r="Q201" i="5"/>
  <c r="N201" i="5"/>
  <c r="M201" i="5"/>
  <c r="Q200" i="5"/>
  <c r="N200" i="5"/>
  <c r="M200" i="5"/>
  <c r="Q199" i="5"/>
  <c r="N199" i="5"/>
  <c r="M199" i="5"/>
  <c r="Q198" i="5"/>
  <c r="N198" i="5"/>
  <c r="M198" i="5"/>
  <c r="Q197" i="5"/>
  <c r="N197" i="5"/>
  <c r="M197" i="5"/>
  <c r="Q196" i="5"/>
  <c r="H196" i="5"/>
  <c r="G196" i="5"/>
  <c r="Q195" i="5"/>
  <c r="H195" i="5"/>
  <c r="G195" i="5"/>
  <c r="Q194" i="5"/>
  <c r="H194" i="5"/>
  <c r="G194" i="5"/>
  <c r="Q193" i="5"/>
  <c r="H193" i="5"/>
  <c r="G193" i="5"/>
  <c r="I193" i="5" s="1"/>
  <c r="Q192" i="5"/>
  <c r="H192" i="5"/>
  <c r="G192" i="5"/>
  <c r="Q191" i="5"/>
  <c r="H191" i="5"/>
  <c r="G191" i="5"/>
  <c r="Q190" i="5"/>
  <c r="M190" i="5"/>
  <c r="Q189" i="5"/>
  <c r="M189" i="5"/>
  <c r="Q188" i="5"/>
  <c r="M188" i="5"/>
  <c r="Q187" i="5"/>
  <c r="Q186" i="5"/>
  <c r="Q185" i="5"/>
  <c r="N185" i="5"/>
  <c r="M185" i="5"/>
  <c r="Q184" i="5"/>
  <c r="N184" i="5"/>
  <c r="M184" i="5"/>
  <c r="Q183" i="5"/>
  <c r="N183" i="5"/>
  <c r="M183" i="5"/>
  <c r="Q182" i="5"/>
  <c r="N182" i="5"/>
  <c r="M182" i="5"/>
  <c r="Q181" i="5"/>
  <c r="N181" i="5"/>
  <c r="M181" i="5"/>
  <c r="Q180" i="5"/>
  <c r="N180" i="5"/>
  <c r="M180" i="5"/>
  <c r="Q179" i="5"/>
  <c r="N179" i="5"/>
  <c r="M179" i="5"/>
  <c r="Q178" i="5"/>
  <c r="N178" i="5"/>
  <c r="M178" i="5"/>
  <c r="Q177" i="5"/>
  <c r="N177" i="5"/>
  <c r="M177" i="5"/>
  <c r="Q176" i="5"/>
  <c r="N176" i="5"/>
  <c r="M176" i="5"/>
  <c r="Q175" i="5"/>
  <c r="N175" i="5"/>
  <c r="M175" i="5"/>
  <c r="Q174" i="5"/>
  <c r="N174" i="5"/>
  <c r="M174" i="5"/>
  <c r="Q173" i="5"/>
  <c r="N173" i="5"/>
  <c r="M173" i="5"/>
  <c r="Q172" i="5"/>
  <c r="N172" i="5"/>
  <c r="M172" i="5"/>
  <c r="Q171" i="5"/>
  <c r="N171" i="5"/>
  <c r="M171" i="5"/>
  <c r="Q170" i="5"/>
  <c r="N170" i="5"/>
  <c r="M170" i="5"/>
  <c r="Q169" i="5"/>
  <c r="N169" i="5"/>
  <c r="M169" i="5"/>
  <c r="Q168" i="5"/>
  <c r="N168" i="5"/>
  <c r="M168" i="5"/>
  <c r="Q167" i="5"/>
  <c r="N167" i="5"/>
  <c r="M167" i="5"/>
  <c r="Q166" i="5"/>
  <c r="N166" i="5"/>
  <c r="M166" i="5"/>
  <c r="Q165" i="5"/>
  <c r="N165" i="5"/>
  <c r="M165" i="5"/>
  <c r="Q164" i="5"/>
  <c r="N164" i="5"/>
  <c r="M164" i="5"/>
  <c r="Q163" i="5"/>
  <c r="N163" i="5"/>
  <c r="M163" i="5"/>
  <c r="Q162" i="5"/>
  <c r="N162" i="5"/>
  <c r="M162" i="5"/>
  <c r="Q161" i="5"/>
  <c r="N161" i="5"/>
  <c r="M161" i="5"/>
  <c r="Q160" i="5"/>
  <c r="N160" i="5"/>
  <c r="M160" i="5"/>
  <c r="Q159" i="5"/>
  <c r="N159" i="5"/>
  <c r="M159" i="5"/>
  <c r="Q158" i="5"/>
  <c r="N158" i="5"/>
  <c r="M158" i="5"/>
  <c r="Q157" i="5"/>
  <c r="N157" i="5"/>
  <c r="M157" i="5"/>
  <c r="Q156" i="5"/>
  <c r="N156" i="5"/>
  <c r="M156" i="5"/>
  <c r="Q155" i="5"/>
  <c r="N155" i="5"/>
  <c r="M155" i="5"/>
  <c r="Q154" i="5"/>
  <c r="M154" i="5"/>
  <c r="Q153" i="5"/>
  <c r="Q152" i="5"/>
  <c r="Q151" i="5"/>
  <c r="Q150" i="5"/>
  <c r="Q149" i="5"/>
  <c r="Q148" i="5"/>
  <c r="Q147" i="5"/>
  <c r="Q146" i="5"/>
  <c r="Q145" i="5"/>
  <c r="Q144" i="5"/>
  <c r="Q143" i="5"/>
  <c r="Q142" i="5"/>
  <c r="Q141" i="5"/>
  <c r="Q140" i="5"/>
  <c r="Q139" i="5"/>
  <c r="Q138" i="5"/>
  <c r="N138" i="5"/>
  <c r="M138" i="5"/>
  <c r="Q137" i="5"/>
  <c r="N137" i="5"/>
  <c r="M137" i="5"/>
  <c r="Q136" i="5"/>
  <c r="N136" i="5"/>
  <c r="M136" i="5"/>
  <c r="Q135" i="5"/>
  <c r="N135" i="5"/>
  <c r="M135" i="5"/>
  <c r="Q134" i="5"/>
  <c r="Q133" i="5"/>
  <c r="Q132" i="5"/>
  <c r="N132" i="5"/>
  <c r="M132" i="5"/>
  <c r="Q131" i="5"/>
  <c r="N131" i="5"/>
  <c r="M131" i="5"/>
  <c r="Q130" i="5"/>
  <c r="N130" i="5"/>
  <c r="M130" i="5"/>
  <c r="Q129" i="5"/>
  <c r="N129" i="5"/>
  <c r="M129" i="5"/>
  <c r="Q128" i="5"/>
  <c r="N128" i="5"/>
  <c r="M128" i="5"/>
  <c r="Q127" i="5"/>
  <c r="Q126" i="5"/>
  <c r="Q125" i="5"/>
  <c r="Q124" i="5"/>
  <c r="Q123" i="5"/>
  <c r="Q122" i="5"/>
  <c r="Q121" i="5"/>
  <c r="L121" i="5"/>
  <c r="K121" i="5"/>
  <c r="Q120" i="5"/>
  <c r="N120" i="5"/>
  <c r="M120" i="5"/>
  <c r="Q119" i="5"/>
  <c r="N119" i="5"/>
  <c r="M119" i="5"/>
  <c r="Q118" i="5"/>
  <c r="N118" i="5"/>
  <c r="M118" i="5"/>
  <c r="Q117" i="5"/>
  <c r="N117" i="5"/>
  <c r="M117" i="5"/>
  <c r="Q116" i="5"/>
  <c r="N116" i="5"/>
  <c r="M116" i="5"/>
  <c r="Q115" i="5"/>
  <c r="Q114" i="5"/>
  <c r="Q113" i="5"/>
  <c r="Q112" i="5"/>
  <c r="Q111" i="5"/>
  <c r="Q110" i="5"/>
  <c r="Q109" i="5"/>
  <c r="H109" i="5"/>
  <c r="G109" i="5"/>
  <c r="Q108" i="5"/>
  <c r="H108" i="5"/>
  <c r="G108" i="5"/>
  <c r="Q107" i="5"/>
  <c r="H107" i="5"/>
  <c r="G107" i="5"/>
  <c r="Q106" i="5"/>
  <c r="H106" i="5"/>
  <c r="G106" i="5"/>
  <c r="Q105" i="5"/>
  <c r="H105" i="5"/>
  <c r="G105" i="5"/>
  <c r="Q104" i="5"/>
  <c r="H104" i="5"/>
  <c r="G104" i="5"/>
  <c r="Q103" i="5"/>
  <c r="H103" i="5"/>
  <c r="G103" i="5"/>
  <c r="Q102" i="5"/>
  <c r="H102" i="5"/>
  <c r="G102" i="5"/>
  <c r="Q101" i="5"/>
  <c r="H101" i="5"/>
  <c r="G101" i="5"/>
  <c r="Q100" i="5"/>
  <c r="H100" i="5"/>
  <c r="G100" i="5"/>
  <c r="Q99" i="5"/>
  <c r="H99" i="5"/>
  <c r="G99" i="5"/>
  <c r="Q98" i="5"/>
  <c r="H98" i="5"/>
  <c r="G98" i="5"/>
  <c r="Q97" i="5"/>
  <c r="N97" i="5"/>
  <c r="M97" i="5"/>
  <c r="Q96" i="5"/>
  <c r="N96" i="5"/>
  <c r="M96" i="5"/>
  <c r="Q95" i="5"/>
  <c r="N95" i="5"/>
  <c r="M95" i="5"/>
  <c r="Q94" i="5"/>
  <c r="N94" i="5"/>
  <c r="M94" i="5"/>
  <c r="Q93" i="5"/>
  <c r="N93" i="5"/>
  <c r="M93" i="5"/>
  <c r="Q92" i="5"/>
  <c r="N92" i="5"/>
  <c r="M92" i="5"/>
  <c r="Q91" i="5"/>
  <c r="Q90" i="5"/>
  <c r="Q89" i="5"/>
  <c r="Q88" i="5"/>
  <c r="Q87" i="5"/>
  <c r="Q86" i="5"/>
  <c r="Q85" i="5"/>
  <c r="H85" i="5"/>
  <c r="G85" i="5"/>
  <c r="Q84" i="5"/>
  <c r="H84" i="5"/>
  <c r="G84" i="5"/>
  <c r="Q83" i="5"/>
  <c r="H83" i="5"/>
  <c r="G83" i="5"/>
  <c r="Q82" i="5"/>
  <c r="H82" i="5"/>
  <c r="G82" i="5"/>
  <c r="Q81" i="5"/>
  <c r="H81" i="5"/>
  <c r="G81" i="5"/>
  <c r="Q80" i="5"/>
  <c r="H80" i="5"/>
  <c r="G80" i="5"/>
  <c r="Q79" i="5"/>
  <c r="H79" i="5"/>
  <c r="G79" i="5"/>
  <c r="Q78" i="5"/>
  <c r="H78" i="5"/>
  <c r="G78" i="5"/>
  <c r="Q77" i="5"/>
  <c r="H77" i="5"/>
  <c r="G77" i="5"/>
  <c r="Q76" i="5"/>
  <c r="H76" i="5"/>
  <c r="G76" i="5"/>
  <c r="Q75" i="5"/>
  <c r="H75" i="5"/>
  <c r="G75" i="5"/>
  <c r="Q74" i="5"/>
  <c r="H74" i="5"/>
  <c r="G74" i="5"/>
  <c r="Q73" i="5"/>
  <c r="N73" i="5"/>
  <c r="M73" i="5"/>
  <c r="Q72" i="5"/>
  <c r="N72" i="5"/>
  <c r="M72" i="5"/>
  <c r="Q71" i="5"/>
  <c r="N71" i="5"/>
  <c r="M71" i="5"/>
  <c r="Q70" i="5"/>
  <c r="Q69" i="5"/>
  <c r="Q68" i="5"/>
  <c r="Q67" i="5"/>
  <c r="Q66" i="5"/>
  <c r="Q65" i="5"/>
  <c r="Q64" i="5"/>
  <c r="Q63" i="5"/>
  <c r="Q62" i="5"/>
  <c r="Q61" i="5"/>
  <c r="H61" i="5"/>
  <c r="G61" i="5"/>
  <c r="Q60" i="5"/>
  <c r="H60" i="5"/>
  <c r="G60" i="5"/>
  <c r="Q59" i="5"/>
  <c r="H59" i="5"/>
  <c r="G59" i="5"/>
  <c r="Q58" i="5"/>
  <c r="H58" i="5"/>
  <c r="G58" i="5"/>
  <c r="Q57" i="5"/>
  <c r="H57" i="5"/>
  <c r="G57" i="5"/>
  <c r="Q56" i="5"/>
  <c r="H56" i="5"/>
  <c r="G56" i="5"/>
  <c r="Q55" i="5"/>
  <c r="H55" i="5"/>
  <c r="G55" i="5"/>
  <c r="Q54" i="5"/>
  <c r="H54" i="5"/>
  <c r="G54" i="5"/>
  <c r="Q53" i="5"/>
  <c r="H53" i="5"/>
  <c r="G53" i="5"/>
  <c r="Q52" i="5"/>
  <c r="H52" i="5"/>
  <c r="G52" i="5"/>
  <c r="Q51" i="5"/>
  <c r="H51" i="5"/>
  <c r="G51" i="5"/>
  <c r="Q50" i="5"/>
  <c r="H50" i="5"/>
  <c r="G50" i="5"/>
  <c r="Q49" i="5"/>
  <c r="N49" i="5"/>
  <c r="M49" i="5"/>
  <c r="Q48" i="5"/>
  <c r="N48" i="5"/>
  <c r="M48" i="5"/>
  <c r="Q47" i="5"/>
  <c r="M47" i="5"/>
  <c r="Q46" i="5"/>
  <c r="Q45" i="5"/>
  <c r="Q44" i="5"/>
  <c r="Q43" i="5"/>
  <c r="Q42" i="5"/>
  <c r="Q41" i="5"/>
  <c r="Q40" i="5"/>
  <c r="Q39" i="5"/>
  <c r="Q38" i="5"/>
  <c r="Q37" i="5"/>
  <c r="H37" i="5"/>
  <c r="G37" i="5"/>
  <c r="Q36" i="5"/>
  <c r="H36" i="5"/>
  <c r="G36" i="5"/>
  <c r="Q35" i="5"/>
  <c r="H35" i="5"/>
  <c r="G35" i="5"/>
  <c r="Q34" i="5"/>
  <c r="H34" i="5"/>
  <c r="I34" i="5" s="1"/>
  <c r="G34" i="5"/>
  <c r="Q33" i="5"/>
  <c r="H33" i="5"/>
  <c r="G33" i="5"/>
  <c r="Q32" i="5"/>
  <c r="H32" i="5"/>
  <c r="G32" i="5"/>
  <c r="Q31" i="5"/>
  <c r="H31" i="5"/>
  <c r="G31" i="5"/>
  <c r="Q30" i="5"/>
  <c r="H30" i="5"/>
  <c r="G30" i="5"/>
  <c r="Q29" i="5"/>
  <c r="H29" i="5"/>
  <c r="G29" i="5"/>
  <c r="Q28" i="5"/>
  <c r="H28" i="5"/>
  <c r="G28" i="5"/>
  <c r="Q27" i="5"/>
  <c r="H27" i="5"/>
  <c r="G27" i="5"/>
  <c r="Q26" i="5"/>
  <c r="H26" i="5"/>
  <c r="G26" i="5"/>
  <c r="Q25" i="5"/>
  <c r="N25" i="5"/>
  <c r="M25" i="5"/>
  <c r="Q24" i="5"/>
  <c r="N24" i="5"/>
  <c r="M24" i="5"/>
  <c r="Q23" i="5"/>
  <c r="Q22" i="5"/>
  <c r="Q21" i="5"/>
  <c r="Q20" i="5"/>
  <c r="Q19" i="5"/>
  <c r="Q18" i="5"/>
  <c r="Q17" i="5"/>
  <c r="Q16" i="5"/>
  <c r="Q15" i="5"/>
  <c r="Q14" i="5"/>
  <c r="Q13" i="5"/>
  <c r="H13" i="5"/>
  <c r="G13" i="5"/>
  <c r="Q12" i="5"/>
  <c r="H12" i="5"/>
  <c r="G12" i="5"/>
  <c r="Q11" i="5"/>
  <c r="H11" i="5"/>
  <c r="G11" i="5"/>
  <c r="Q10" i="5"/>
  <c r="H10" i="5"/>
  <c r="G10" i="5"/>
  <c r="Q9" i="5"/>
  <c r="H9" i="5"/>
  <c r="G9" i="5"/>
  <c r="Q8" i="5"/>
  <c r="H8" i="5"/>
  <c r="G8" i="5"/>
  <c r="Q7" i="5"/>
  <c r="H7" i="5"/>
  <c r="G7" i="5"/>
  <c r="Q6" i="5"/>
  <c r="H6" i="5"/>
  <c r="G6" i="5"/>
  <c r="Q5" i="5"/>
  <c r="H5" i="5"/>
  <c r="G5" i="5"/>
  <c r="Q4" i="5"/>
  <c r="H4" i="5"/>
  <c r="G4" i="5"/>
  <c r="Q3" i="5"/>
  <c r="H3" i="5"/>
  <c r="I3" i="5" s="1"/>
  <c r="Q2" i="5"/>
  <c r="H2" i="5"/>
  <c r="I2" i="5" s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2" i="1"/>
  <c r="N637" i="1"/>
  <c r="M637" i="1"/>
  <c r="N636" i="1"/>
  <c r="M636" i="1"/>
  <c r="N635" i="1"/>
  <c r="M635" i="1"/>
  <c r="N634" i="1"/>
  <c r="M634" i="1"/>
  <c r="N633" i="1"/>
  <c r="M633" i="1"/>
  <c r="N632" i="1"/>
  <c r="M632" i="1"/>
  <c r="N609" i="1"/>
  <c r="N631" i="1"/>
  <c r="M631" i="1"/>
  <c r="N630" i="1"/>
  <c r="M630" i="1"/>
  <c r="N629" i="1"/>
  <c r="M629" i="1"/>
  <c r="N628" i="1"/>
  <c r="M628" i="1"/>
  <c r="N627" i="1"/>
  <c r="M627" i="1"/>
  <c r="N626" i="1"/>
  <c r="M626" i="1"/>
  <c r="N625" i="1"/>
  <c r="M625" i="1"/>
  <c r="N608" i="1"/>
  <c r="N624" i="1"/>
  <c r="M624" i="1"/>
  <c r="N623" i="1"/>
  <c r="M623" i="1"/>
  <c r="N603" i="1"/>
  <c r="N622" i="1"/>
  <c r="M622" i="1"/>
  <c r="N602" i="1"/>
  <c r="N621" i="1"/>
  <c r="M621" i="1"/>
  <c r="N620" i="1"/>
  <c r="M620" i="1"/>
  <c r="M563" i="1"/>
  <c r="N563" i="1"/>
  <c r="N619" i="1"/>
  <c r="M619" i="1"/>
  <c r="N618" i="1"/>
  <c r="M618" i="1"/>
  <c r="N617" i="1"/>
  <c r="M617" i="1"/>
  <c r="N616" i="1"/>
  <c r="M616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8" i="1"/>
  <c r="N559" i="1"/>
  <c r="N560" i="1"/>
  <c r="N561" i="1"/>
  <c r="N562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5" i="1"/>
  <c r="N586" i="1"/>
  <c r="N587" i="1"/>
  <c r="N588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4" i="1"/>
  <c r="N605" i="1"/>
  <c r="N606" i="1"/>
  <c r="N607" i="1"/>
  <c r="N610" i="1"/>
  <c r="N611" i="1"/>
  <c r="N612" i="1"/>
  <c r="N613" i="1"/>
  <c r="N614" i="1"/>
  <c r="N615" i="1"/>
  <c r="N540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8" i="1"/>
  <c r="M559" i="1"/>
  <c r="M560" i="1"/>
  <c r="M561" i="1"/>
  <c r="M562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5" i="1"/>
  <c r="M586" i="1"/>
  <c r="M587" i="1"/>
  <c r="M588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N436" i="5" l="1"/>
  <c r="N484" i="5"/>
  <c r="M437" i="5"/>
  <c r="M445" i="5"/>
  <c r="M431" i="5"/>
  <c r="N442" i="5"/>
  <c r="M450" i="5"/>
  <c r="M446" i="5"/>
  <c r="I26" i="5"/>
  <c r="I98" i="5"/>
  <c r="N528" i="5"/>
  <c r="I401" i="5"/>
  <c r="N530" i="5"/>
  <c r="I266" i="5"/>
  <c r="I7" i="5"/>
  <c r="I100" i="5"/>
  <c r="I104" i="5"/>
  <c r="I108" i="5"/>
  <c r="I31" i="5"/>
  <c r="I405" i="5"/>
  <c r="I262" i="5"/>
  <c r="I270" i="5"/>
  <c r="I359" i="5"/>
  <c r="I400" i="5"/>
  <c r="I268" i="5"/>
  <c r="I409" i="5"/>
  <c r="I421" i="5"/>
  <c r="I410" i="5"/>
  <c r="I109" i="5"/>
  <c r="M121" i="5"/>
  <c r="I191" i="5"/>
  <c r="I407" i="5"/>
  <c r="I27" i="5"/>
  <c r="I35" i="5"/>
  <c r="I74" i="5"/>
  <c r="I78" i="5"/>
  <c r="I82" i="5"/>
  <c r="I54" i="5"/>
  <c r="M519" i="5"/>
  <c r="I399" i="5"/>
  <c r="I406" i="5"/>
  <c r="I50" i="5"/>
  <c r="I58" i="5"/>
  <c r="I5" i="5"/>
  <c r="I33" i="5"/>
  <c r="I282" i="5"/>
  <c r="I403" i="5"/>
  <c r="I479" i="5"/>
  <c r="M508" i="5"/>
  <c r="I61" i="5"/>
  <c r="I83" i="5"/>
  <c r="I261" i="5"/>
  <c r="I32" i="5"/>
  <c r="I9" i="5"/>
  <c r="I55" i="5"/>
  <c r="I77" i="5"/>
  <c r="I81" i="5"/>
  <c r="I194" i="5"/>
  <c r="I259" i="5"/>
  <c r="I263" i="5"/>
  <c r="I79" i="5"/>
  <c r="I75" i="5"/>
  <c r="I52" i="5"/>
  <c r="I404" i="5"/>
  <c r="I10" i="5"/>
  <c r="I56" i="5"/>
  <c r="I60" i="5"/>
  <c r="I260" i="5"/>
  <c r="I264" i="5"/>
  <c r="I6" i="5"/>
  <c r="I13" i="5"/>
  <c r="I51" i="5"/>
  <c r="I99" i="5"/>
  <c r="I28" i="5"/>
  <c r="I76" i="5"/>
  <c r="I80" i="5"/>
  <c r="I84" i="5"/>
  <c r="I103" i="5"/>
  <c r="I195" i="5"/>
  <c r="I265" i="5"/>
  <c r="I402" i="5"/>
  <c r="I408" i="5"/>
  <c r="I107" i="5"/>
  <c r="I192" i="5"/>
  <c r="I4" i="5"/>
  <c r="I29" i="5"/>
  <c r="I59" i="5"/>
  <c r="I269" i="5"/>
  <c r="I196" i="5"/>
  <c r="M530" i="5"/>
  <c r="I36" i="5"/>
  <c r="I85" i="5"/>
  <c r="I30" i="5"/>
  <c r="I53" i="5"/>
  <c r="I101" i="5"/>
  <c r="I11" i="5"/>
  <c r="I8" i="5"/>
  <c r="I105" i="5"/>
  <c r="I12" i="5"/>
  <c r="I37" i="5"/>
  <c r="I57" i="5"/>
  <c r="I102" i="5"/>
  <c r="I267" i="5"/>
  <c r="I106" i="5"/>
  <c r="M528" i="5"/>
  <c r="I478" i="5"/>
  <c r="N121" i="5"/>
  <c r="M385" i="5"/>
  <c r="N439" i="5"/>
  <c r="N450" i="5"/>
  <c r="N478" i="5"/>
  <c r="M484" i="5"/>
  <c r="L533" i="5"/>
  <c r="N429" i="5"/>
  <c r="N432" i="5"/>
  <c r="N437" i="5"/>
  <c r="N445" i="5"/>
  <c r="L536" i="5"/>
  <c r="M451" i="5"/>
  <c r="N435" i="5"/>
  <c r="M443" i="5"/>
  <c r="L535" i="5"/>
  <c r="N451" i="5"/>
  <c r="L534" i="5"/>
  <c r="M483" i="5"/>
  <c r="N483" i="5"/>
  <c r="N508" i="5"/>
  <c r="N519" i="5"/>
  <c r="N392" i="5"/>
  <c r="N430" i="5"/>
  <c r="M503" i="5"/>
  <c r="L532" i="5"/>
  <c r="N428" i="5"/>
  <c r="N444" i="5"/>
  <c r="N447" i="5"/>
  <c r="N503" i="5"/>
  <c r="L531" i="5"/>
  <c r="N539" i="1"/>
  <c r="M539" i="1"/>
  <c r="N538" i="1"/>
  <c r="M538" i="1"/>
  <c r="N537" i="1"/>
  <c r="M537" i="1"/>
  <c r="K531" i="1"/>
  <c r="L530" i="1"/>
  <c r="K530" i="1"/>
  <c r="N529" i="1"/>
  <c r="M529" i="1"/>
  <c r="L528" i="1"/>
  <c r="K528" i="1"/>
  <c r="N526" i="1"/>
  <c r="M526" i="1"/>
  <c r="N525" i="1"/>
  <c r="M525" i="1"/>
  <c r="N524" i="1"/>
  <c r="M524" i="1"/>
  <c r="N523" i="1"/>
  <c r="M523" i="1"/>
  <c r="N522" i="1"/>
  <c r="M522" i="1"/>
  <c r="K216" i="1"/>
  <c r="L520" i="1"/>
  <c r="N518" i="1"/>
  <c r="M518" i="1"/>
  <c r="M517" i="1"/>
  <c r="N516" i="1"/>
  <c r="M516" i="1"/>
  <c r="N515" i="1"/>
  <c r="M515" i="1"/>
  <c r="M514" i="1"/>
  <c r="M480" i="1"/>
  <c r="M163" i="1"/>
  <c r="M162" i="1"/>
  <c r="M161" i="1"/>
  <c r="M160" i="1"/>
  <c r="M159" i="1"/>
  <c r="M158" i="1"/>
  <c r="M157" i="1"/>
  <c r="M156" i="1"/>
  <c r="M155" i="1"/>
  <c r="N163" i="1"/>
  <c r="N514" i="1"/>
  <c r="M513" i="1"/>
  <c r="L512" i="1"/>
  <c r="K512" i="1"/>
  <c r="N510" i="1"/>
  <c r="M510" i="1"/>
  <c r="N509" i="1"/>
  <c r="M509" i="1"/>
  <c r="L508" i="1"/>
  <c r="K508" i="1"/>
  <c r="N507" i="1"/>
  <c r="M507" i="1"/>
  <c r="N506" i="1"/>
  <c r="M506" i="1"/>
  <c r="N505" i="1"/>
  <c r="M505" i="1"/>
  <c r="N504" i="1"/>
  <c r="M504" i="1"/>
  <c r="N536" i="5" l="1"/>
  <c r="M536" i="5"/>
  <c r="N531" i="5"/>
  <c r="M531" i="5"/>
  <c r="N534" i="5"/>
  <c r="M534" i="5"/>
  <c r="N535" i="5"/>
  <c r="M535" i="5"/>
  <c r="N533" i="5"/>
  <c r="M533" i="5"/>
  <c r="N532" i="5"/>
  <c r="M532" i="5"/>
  <c r="N530" i="1"/>
  <c r="M530" i="1"/>
  <c r="M528" i="1"/>
  <c r="N528" i="1"/>
  <c r="N508" i="1"/>
  <c r="M508" i="1"/>
  <c r="N449" i="1" l="1"/>
  <c r="N448" i="1"/>
  <c r="M449" i="1"/>
  <c r="M448" i="1"/>
  <c r="K451" i="1"/>
  <c r="K450" i="1"/>
  <c r="L447" i="1"/>
  <c r="M447" i="1" s="1"/>
  <c r="L446" i="1"/>
  <c r="M446" i="1" s="1"/>
  <c r="K445" i="1"/>
  <c r="K444" i="1"/>
  <c r="N441" i="1"/>
  <c r="N440" i="1"/>
  <c r="M441" i="1"/>
  <c r="M440" i="1"/>
  <c r="K443" i="1"/>
  <c r="K442" i="1"/>
  <c r="L439" i="1"/>
  <c r="N439" i="1" s="1"/>
  <c r="L438" i="1"/>
  <c r="M438" i="1" s="1"/>
  <c r="K437" i="1"/>
  <c r="K436" i="1"/>
  <c r="K483" i="1"/>
  <c r="N434" i="1"/>
  <c r="N433" i="1"/>
  <c r="K435" i="1"/>
  <c r="N483" i="1" l="1"/>
  <c r="N435" i="1"/>
  <c r="N442" i="1"/>
  <c r="M439" i="1"/>
  <c r="M443" i="1"/>
  <c r="M451" i="1"/>
  <c r="N450" i="1"/>
  <c r="M442" i="1"/>
  <c r="M450" i="1"/>
  <c r="K535" i="1"/>
  <c r="N446" i="1"/>
  <c r="K536" i="1"/>
  <c r="N447" i="1"/>
  <c r="N438" i="1"/>
  <c r="N443" i="1"/>
  <c r="N451" i="1"/>
  <c r="M483" i="1"/>
  <c r="M435" i="1"/>
  <c r="M434" i="1"/>
  <c r="M433" i="1"/>
  <c r="L432" i="1"/>
  <c r="L431" i="1"/>
  <c r="M431" i="1" s="1"/>
  <c r="K430" i="1"/>
  <c r="K534" i="1" s="1"/>
  <c r="L430" i="1"/>
  <c r="K429" i="1"/>
  <c r="M432" i="1" l="1"/>
  <c r="L534" i="1"/>
  <c r="M430" i="1"/>
  <c r="M534" i="1"/>
  <c r="N430" i="1"/>
  <c r="N432" i="1"/>
  <c r="N431" i="1"/>
  <c r="N481" i="1"/>
  <c r="N477" i="1"/>
  <c r="N476" i="1"/>
  <c r="N475" i="1"/>
  <c r="N474" i="1"/>
  <c r="N473" i="1"/>
  <c r="N472" i="1"/>
  <c r="N471" i="1"/>
  <c r="M481" i="1"/>
  <c r="N486" i="1"/>
  <c r="N465" i="1"/>
  <c r="N464" i="1"/>
  <c r="N463" i="1"/>
  <c r="N462" i="1"/>
  <c r="N461" i="1"/>
  <c r="N460" i="1"/>
  <c r="N459" i="1"/>
  <c r="M459" i="1"/>
  <c r="M486" i="1"/>
  <c r="M465" i="1"/>
  <c r="M464" i="1"/>
  <c r="M463" i="1"/>
  <c r="M462" i="1"/>
  <c r="M461" i="1"/>
  <c r="M460" i="1"/>
  <c r="N485" i="1"/>
  <c r="N458" i="1"/>
  <c r="N457" i="1"/>
  <c r="N456" i="1"/>
  <c r="N455" i="1"/>
  <c r="N454" i="1"/>
  <c r="N453" i="1"/>
  <c r="N452" i="1"/>
  <c r="M485" i="1"/>
  <c r="M458" i="1"/>
  <c r="M457" i="1"/>
  <c r="M456" i="1"/>
  <c r="M455" i="1"/>
  <c r="M454" i="1"/>
  <c r="M453" i="1"/>
  <c r="M452" i="1"/>
  <c r="N427" i="1"/>
  <c r="N426" i="1"/>
  <c r="N425" i="1"/>
  <c r="N424" i="1"/>
  <c r="N423" i="1"/>
  <c r="N422" i="1"/>
  <c r="M422" i="1"/>
  <c r="M427" i="1"/>
  <c r="M426" i="1"/>
  <c r="M425" i="1"/>
  <c r="M424" i="1"/>
  <c r="M423" i="1"/>
  <c r="L533" i="1"/>
  <c r="K484" i="1"/>
  <c r="K533" i="1" s="1"/>
  <c r="K428" i="1"/>
  <c r="N421" i="1"/>
  <c r="N420" i="1"/>
  <c r="N419" i="1"/>
  <c r="N418" i="1"/>
  <c r="N417" i="1"/>
  <c r="N416" i="1"/>
  <c r="N415" i="1"/>
  <c r="N414" i="1"/>
  <c r="N413" i="1"/>
  <c r="N412" i="1"/>
  <c r="N411" i="1"/>
  <c r="M411" i="1"/>
  <c r="M421" i="1"/>
  <c r="M420" i="1"/>
  <c r="M419" i="1"/>
  <c r="M418" i="1"/>
  <c r="M417" i="1"/>
  <c r="M416" i="1"/>
  <c r="M415" i="1"/>
  <c r="M414" i="1"/>
  <c r="M413" i="1"/>
  <c r="M412" i="1"/>
  <c r="L503" i="1"/>
  <c r="L532" i="1" s="1"/>
  <c r="K503" i="1"/>
  <c r="K532" i="1" s="1"/>
  <c r="N391" i="1"/>
  <c r="N390" i="1"/>
  <c r="N389" i="1"/>
  <c r="N388" i="1"/>
  <c r="N387" i="1"/>
  <c r="N386" i="1"/>
  <c r="M386" i="1"/>
  <c r="M391" i="1"/>
  <c r="M390" i="1"/>
  <c r="M389" i="1"/>
  <c r="M388" i="1"/>
  <c r="M387" i="1"/>
  <c r="L393" i="1"/>
  <c r="L392" i="1"/>
  <c r="N392" i="1" s="1"/>
  <c r="N534" i="1" l="1"/>
  <c r="N533" i="1"/>
  <c r="M533" i="1"/>
  <c r="N393" i="1"/>
  <c r="L531" i="1"/>
  <c r="N532" i="1"/>
  <c r="M532" i="1"/>
  <c r="N428" i="1"/>
  <c r="M393" i="1"/>
  <c r="N484" i="1"/>
  <c r="M428" i="1"/>
  <c r="M484" i="1"/>
  <c r="M392" i="1"/>
  <c r="N503" i="1"/>
  <c r="M503" i="1"/>
  <c r="N531" i="1" l="1"/>
  <c r="M531" i="1"/>
  <c r="N384" i="1"/>
  <c r="N383" i="1"/>
  <c r="N382" i="1"/>
  <c r="N381" i="1"/>
  <c r="M381" i="1"/>
  <c r="M384" i="1"/>
  <c r="M383" i="1"/>
  <c r="M382" i="1"/>
  <c r="L385" i="1"/>
  <c r="K385" i="1"/>
  <c r="N488" i="1"/>
  <c r="N377" i="1"/>
  <c r="N376" i="1"/>
  <c r="N375" i="1"/>
  <c r="N374" i="1"/>
  <c r="N373" i="1"/>
  <c r="N372" i="1"/>
  <c r="M372" i="1"/>
  <c r="M488" i="1"/>
  <c r="M377" i="1"/>
  <c r="M376" i="1"/>
  <c r="M375" i="1"/>
  <c r="M374" i="1"/>
  <c r="M373" i="1"/>
  <c r="N501" i="1"/>
  <c r="M501" i="1"/>
  <c r="N371" i="1"/>
  <c r="N370" i="1"/>
  <c r="N369" i="1"/>
  <c r="N368" i="1"/>
  <c r="N367" i="1"/>
  <c r="M371" i="1"/>
  <c r="M370" i="1"/>
  <c r="M369" i="1"/>
  <c r="M368" i="1"/>
  <c r="M367" i="1"/>
  <c r="N500" i="1"/>
  <c r="M500" i="1"/>
  <c r="N301" i="1"/>
  <c r="N300" i="1"/>
  <c r="N299" i="1"/>
  <c r="N298" i="1"/>
  <c r="N297" i="1"/>
  <c r="N296" i="1"/>
  <c r="N295" i="1"/>
  <c r="N294" i="1"/>
  <c r="M294" i="1"/>
  <c r="M301" i="1"/>
  <c r="M300" i="1"/>
  <c r="M299" i="1"/>
  <c r="M298" i="1"/>
  <c r="M297" i="1"/>
  <c r="M296" i="1"/>
  <c r="M295" i="1"/>
  <c r="N499" i="1"/>
  <c r="M499" i="1"/>
  <c r="N293" i="1"/>
  <c r="N292" i="1"/>
  <c r="N291" i="1"/>
  <c r="N290" i="1"/>
  <c r="N289" i="1"/>
  <c r="N288" i="1"/>
  <c r="N287" i="1"/>
  <c r="N286" i="1"/>
  <c r="N285" i="1"/>
  <c r="N284" i="1"/>
  <c r="N283" i="1"/>
  <c r="M283" i="1"/>
  <c r="M293" i="1"/>
  <c r="M292" i="1"/>
  <c r="M291" i="1"/>
  <c r="M290" i="1"/>
  <c r="M289" i="1"/>
  <c r="M288" i="1"/>
  <c r="M287" i="1"/>
  <c r="M286" i="1"/>
  <c r="M285" i="1"/>
  <c r="M284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N498" i="1"/>
  <c r="M498" i="1"/>
  <c r="N258" i="1"/>
  <c r="N257" i="1"/>
  <c r="N256" i="1"/>
  <c r="N255" i="1"/>
  <c r="N254" i="1"/>
  <c r="N253" i="1"/>
  <c r="N252" i="1"/>
  <c r="N251" i="1"/>
  <c r="N250" i="1"/>
  <c r="N249" i="1"/>
  <c r="N248" i="1"/>
  <c r="M258" i="1"/>
  <c r="M257" i="1"/>
  <c r="M256" i="1"/>
  <c r="M255" i="1"/>
  <c r="M254" i="1"/>
  <c r="M253" i="1"/>
  <c r="M252" i="1"/>
  <c r="M251" i="1"/>
  <c r="M250" i="1"/>
  <c r="M249" i="1"/>
  <c r="M248" i="1"/>
  <c r="N489" i="1"/>
  <c r="N247" i="1"/>
  <c r="N246" i="1"/>
  <c r="N245" i="1"/>
  <c r="N244" i="1"/>
  <c r="N243" i="1"/>
  <c r="N242" i="1"/>
  <c r="N241" i="1"/>
  <c r="M489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N235" i="1"/>
  <c r="N240" i="1"/>
  <c r="N239" i="1"/>
  <c r="N238" i="1"/>
  <c r="N237" i="1"/>
  <c r="N236" i="1"/>
  <c r="N210" i="1"/>
  <c r="N209" i="1"/>
  <c r="N208" i="1"/>
  <c r="N207" i="1"/>
  <c r="N206" i="1"/>
  <c r="N205" i="1"/>
  <c r="N204" i="1"/>
  <c r="N203" i="1"/>
  <c r="N202" i="1"/>
  <c r="N201" i="1"/>
  <c r="M210" i="1"/>
  <c r="M209" i="1"/>
  <c r="M208" i="1"/>
  <c r="M207" i="1"/>
  <c r="M206" i="1"/>
  <c r="M205" i="1"/>
  <c r="M204" i="1"/>
  <c r="M203" i="1"/>
  <c r="M202" i="1"/>
  <c r="M201" i="1"/>
  <c r="L479" i="1"/>
  <c r="L519" i="1" s="1"/>
  <c r="K479" i="1"/>
  <c r="K519" i="1" s="1"/>
  <c r="K478" i="1"/>
  <c r="N478" i="1" s="1"/>
  <c r="N200" i="1"/>
  <c r="N199" i="1"/>
  <c r="N198" i="1"/>
  <c r="N197" i="1"/>
  <c r="M200" i="1"/>
  <c r="M199" i="1"/>
  <c r="M198" i="1"/>
  <c r="M197" i="1"/>
  <c r="M497" i="1"/>
  <c r="M496" i="1"/>
  <c r="M190" i="1"/>
  <c r="M189" i="1"/>
  <c r="M188" i="1"/>
  <c r="N495" i="1"/>
  <c r="M495" i="1"/>
  <c r="N185" i="1"/>
  <c r="N184" i="1"/>
  <c r="N183" i="1"/>
  <c r="N182" i="1"/>
  <c r="N181" i="1"/>
  <c r="N180" i="1"/>
  <c r="N179" i="1"/>
  <c r="N178" i="1"/>
  <c r="N177" i="1"/>
  <c r="N176" i="1"/>
  <c r="N175" i="1"/>
  <c r="M175" i="1"/>
  <c r="M185" i="1"/>
  <c r="M184" i="1"/>
  <c r="M183" i="1"/>
  <c r="M182" i="1"/>
  <c r="M181" i="1"/>
  <c r="M180" i="1"/>
  <c r="M179" i="1"/>
  <c r="M178" i="1"/>
  <c r="M177" i="1"/>
  <c r="M176" i="1"/>
  <c r="N494" i="1"/>
  <c r="N174" i="1"/>
  <c r="N173" i="1"/>
  <c r="N172" i="1"/>
  <c r="N171" i="1"/>
  <c r="N170" i="1"/>
  <c r="N169" i="1"/>
  <c r="N168" i="1"/>
  <c r="N167" i="1"/>
  <c r="N166" i="1"/>
  <c r="N165" i="1"/>
  <c r="N164" i="1"/>
  <c r="M164" i="1"/>
  <c r="M494" i="1"/>
  <c r="M174" i="1"/>
  <c r="M173" i="1"/>
  <c r="M172" i="1"/>
  <c r="M171" i="1"/>
  <c r="M170" i="1"/>
  <c r="M169" i="1"/>
  <c r="M168" i="1"/>
  <c r="M167" i="1"/>
  <c r="M166" i="1"/>
  <c r="M165" i="1"/>
  <c r="N480" i="1"/>
  <c r="N162" i="1"/>
  <c r="N161" i="1"/>
  <c r="N160" i="1"/>
  <c r="N159" i="1"/>
  <c r="N158" i="1"/>
  <c r="N157" i="1"/>
  <c r="N156" i="1"/>
  <c r="N155" i="1"/>
  <c r="N493" i="1"/>
  <c r="N492" i="1"/>
  <c r="M493" i="1"/>
  <c r="M492" i="1"/>
  <c r="N137" i="1"/>
  <c r="M137" i="1"/>
  <c r="N138" i="1"/>
  <c r="M138" i="1"/>
  <c r="N135" i="1"/>
  <c r="N136" i="1"/>
  <c r="M135" i="1"/>
  <c r="M136" i="1"/>
  <c r="N385" i="1" l="1"/>
  <c r="N519" i="1"/>
  <c r="M519" i="1"/>
  <c r="M385" i="1"/>
  <c r="N502" i="1"/>
  <c r="M502" i="1"/>
  <c r="N479" i="1"/>
  <c r="M478" i="1"/>
  <c r="M479" i="1"/>
  <c r="N128" i="1" l="1"/>
  <c r="N129" i="1"/>
  <c r="N130" i="1"/>
  <c r="N131" i="1"/>
  <c r="N132" i="1"/>
  <c r="M128" i="1"/>
  <c r="M129" i="1"/>
  <c r="M130" i="1"/>
  <c r="M131" i="1"/>
  <c r="N491" i="1"/>
  <c r="M491" i="1"/>
  <c r="N120" i="1"/>
  <c r="N119" i="1"/>
  <c r="N118" i="1"/>
  <c r="N117" i="1"/>
  <c r="N116" i="1"/>
  <c r="M116" i="1"/>
  <c r="L121" i="1"/>
  <c r="K121" i="1"/>
  <c r="M120" i="1"/>
  <c r="M119" i="1"/>
  <c r="M118" i="1"/>
  <c r="M117" i="1"/>
  <c r="M97" i="1"/>
  <c r="N97" i="1"/>
  <c r="N96" i="1"/>
  <c r="N95" i="1"/>
  <c r="N94" i="1"/>
  <c r="N93" i="1"/>
  <c r="N92" i="1"/>
  <c r="M92" i="1"/>
  <c r="M96" i="1"/>
  <c r="M95" i="1"/>
  <c r="M94" i="1"/>
  <c r="M93" i="1"/>
  <c r="N73" i="1"/>
  <c r="N72" i="1"/>
  <c r="N71" i="1"/>
  <c r="M71" i="1"/>
  <c r="M73" i="1"/>
  <c r="M72" i="1"/>
  <c r="N49" i="1"/>
  <c r="M49" i="1"/>
  <c r="N48" i="1"/>
  <c r="M48" i="1"/>
  <c r="M47" i="1"/>
  <c r="N25" i="1"/>
  <c r="N24" i="1"/>
  <c r="M24" i="1"/>
  <c r="M25" i="1"/>
  <c r="N352" i="1"/>
  <c r="N351" i="1"/>
  <c r="M351" i="1"/>
  <c r="M352" i="1"/>
  <c r="M132" i="1"/>
  <c r="M121" i="1" l="1"/>
  <c r="N121" i="1"/>
  <c r="L216" i="1"/>
  <c r="L215" i="1"/>
  <c r="L445" i="1" l="1"/>
  <c r="L444" i="1"/>
  <c r="L429" i="1"/>
  <c r="L437" i="1"/>
  <c r="G437" i="1"/>
  <c r="L436" i="1"/>
  <c r="G436" i="1"/>
  <c r="M482" i="1"/>
  <c r="M154" i="1"/>
  <c r="M477" i="1"/>
  <c r="H192" i="1"/>
  <c r="G192" i="1"/>
  <c r="H193" i="1"/>
  <c r="G193" i="1"/>
  <c r="H196" i="1"/>
  <c r="G196" i="1"/>
  <c r="G479" i="1"/>
  <c r="H479" i="1"/>
  <c r="N436" i="1" l="1"/>
  <c r="M436" i="1"/>
  <c r="N437" i="1"/>
  <c r="M437" i="1"/>
  <c r="L535" i="1"/>
  <c r="M444" i="1"/>
  <c r="N444" i="1"/>
  <c r="N429" i="1"/>
  <c r="M429" i="1"/>
  <c r="M445" i="1"/>
  <c r="N445" i="1"/>
  <c r="L536" i="1"/>
  <c r="I479" i="1"/>
  <c r="I196" i="1"/>
  <c r="I193" i="1"/>
  <c r="I192" i="1"/>
  <c r="H478" i="1"/>
  <c r="G478" i="1"/>
  <c r="M536" i="1" l="1"/>
  <c r="N536" i="1"/>
  <c r="M535" i="1"/>
  <c r="N535" i="1"/>
  <c r="I478" i="1"/>
  <c r="G359" i="1"/>
  <c r="H359" i="1"/>
  <c r="H195" i="1"/>
  <c r="G195" i="1"/>
  <c r="H194" i="1"/>
  <c r="G194" i="1"/>
  <c r="G191" i="1"/>
  <c r="H191" i="1"/>
  <c r="H281" i="1"/>
  <c r="H270" i="1"/>
  <c r="G270" i="1"/>
  <c r="H267" i="1"/>
  <c r="G267" i="1"/>
  <c r="H264" i="1"/>
  <c r="G264" i="1"/>
  <c r="G261" i="1"/>
  <c r="H261" i="1"/>
  <c r="H410" i="1"/>
  <c r="G410" i="1"/>
  <c r="H407" i="1"/>
  <c r="G407" i="1"/>
  <c r="H404" i="1"/>
  <c r="G404" i="1"/>
  <c r="H282" i="1"/>
  <c r="G282" i="1"/>
  <c r="H269" i="1"/>
  <c r="G269" i="1"/>
  <c r="H268" i="1"/>
  <c r="G268" i="1"/>
  <c r="H266" i="1"/>
  <c r="G266" i="1"/>
  <c r="H265" i="1"/>
  <c r="G265" i="1"/>
  <c r="H263" i="1"/>
  <c r="G263" i="1"/>
  <c r="H262" i="1"/>
  <c r="G262" i="1"/>
  <c r="H260" i="1"/>
  <c r="G260" i="1"/>
  <c r="G259" i="1"/>
  <c r="H259" i="1"/>
  <c r="H409" i="1"/>
  <c r="G409" i="1"/>
  <c r="H408" i="1"/>
  <c r="G408" i="1"/>
  <c r="H406" i="1"/>
  <c r="G406" i="1"/>
  <c r="H405" i="1"/>
  <c r="G405" i="1"/>
  <c r="H403" i="1"/>
  <c r="G403" i="1"/>
  <c r="H402" i="1"/>
  <c r="G402" i="1"/>
  <c r="H401" i="1"/>
  <c r="G401" i="1"/>
  <c r="H399" i="1"/>
  <c r="G399" i="1"/>
  <c r="G421" i="1"/>
  <c r="H421" i="1"/>
  <c r="H400" i="1"/>
  <c r="G400" i="1"/>
  <c r="H109" i="1"/>
  <c r="G109" i="1"/>
  <c r="H106" i="1"/>
  <c r="G106" i="1"/>
  <c r="H103" i="1"/>
  <c r="G103" i="1"/>
  <c r="G100" i="1"/>
  <c r="H100" i="1"/>
  <c r="H85" i="1"/>
  <c r="G85" i="1"/>
  <c r="H82" i="1"/>
  <c r="G82" i="1"/>
  <c r="H79" i="1"/>
  <c r="G79" i="1"/>
  <c r="G76" i="1"/>
  <c r="H76" i="1"/>
  <c r="H61" i="1"/>
  <c r="G61" i="1"/>
  <c r="H58" i="1"/>
  <c r="G58" i="1"/>
  <c r="H55" i="1"/>
  <c r="G55" i="1"/>
  <c r="G52" i="1"/>
  <c r="H52" i="1"/>
  <c r="H37" i="1"/>
  <c r="G37" i="1"/>
  <c r="H34" i="1"/>
  <c r="G34" i="1"/>
  <c r="H31" i="1"/>
  <c r="G31" i="1"/>
  <c r="G28" i="1"/>
  <c r="H28" i="1"/>
  <c r="H13" i="1"/>
  <c r="G13" i="1"/>
  <c r="H10" i="1"/>
  <c r="G10" i="1"/>
  <c r="H7" i="1"/>
  <c r="G7" i="1"/>
  <c r="G4" i="1"/>
  <c r="H4" i="1"/>
  <c r="H108" i="1"/>
  <c r="G108" i="1"/>
  <c r="H107" i="1"/>
  <c r="G107" i="1"/>
  <c r="H105" i="1"/>
  <c r="G105" i="1"/>
  <c r="H104" i="1"/>
  <c r="G104" i="1"/>
  <c r="H102" i="1"/>
  <c r="G102" i="1"/>
  <c r="H101" i="1"/>
  <c r="G101" i="1"/>
  <c r="H99" i="1"/>
  <c r="G99" i="1"/>
  <c r="G98" i="1"/>
  <c r="H98" i="1"/>
  <c r="H84" i="1"/>
  <c r="G84" i="1"/>
  <c r="H83" i="1"/>
  <c r="G83" i="1"/>
  <c r="G81" i="1"/>
  <c r="H81" i="1"/>
  <c r="H80" i="1"/>
  <c r="G80" i="1"/>
  <c r="H78" i="1"/>
  <c r="G78" i="1"/>
  <c r="H77" i="1"/>
  <c r="G77" i="1"/>
  <c r="H75" i="1"/>
  <c r="G75" i="1"/>
  <c r="H74" i="1"/>
  <c r="G74" i="1"/>
  <c r="H60" i="1"/>
  <c r="G60" i="1"/>
  <c r="H59" i="1"/>
  <c r="G59" i="1"/>
  <c r="H57" i="1"/>
  <c r="G57" i="1"/>
  <c r="H56" i="1"/>
  <c r="G56" i="1"/>
  <c r="H54" i="1"/>
  <c r="G54" i="1"/>
  <c r="H53" i="1"/>
  <c r="G53" i="1"/>
  <c r="H51" i="1"/>
  <c r="G51" i="1"/>
  <c r="H50" i="1"/>
  <c r="G50" i="1"/>
  <c r="H36" i="1"/>
  <c r="G36" i="1"/>
  <c r="H35" i="1"/>
  <c r="G35" i="1"/>
  <c r="H33" i="1"/>
  <c r="G33" i="1"/>
  <c r="H32" i="1"/>
  <c r="G32" i="1"/>
  <c r="H30" i="1"/>
  <c r="G30" i="1"/>
  <c r="H29" i="1"/>
  <c r="G29" i="1"/>
  <c r="H27" i="1"/>
  <c r="G27" i="1"/>
  <c r="H26" i="1"/>
  <c r="G26" i="1"/>
  <c r="H12" i="1"/>
  <c r="G12" i="1"/>
  <c r="H11" i="1"/>
  <c r="G11" i="1"/>
  <c r="G6" i="1"/>
  <c r="G8" i="1"/>
  <c r="G9" i="1"/>
  <c r="G5" i="1"/>
  <c r="H9" i="1"/>
  <c r="H8" i="1"/>
  <c r="H6" i="1"/>
  <c r="H5" i="1"/>
  <c r="H3" i="1"/>
  <c r="I3" i="1" s="1"/>
  <c r="H2" i="1"/>
  <c r="I2" i="1" s="1"/>
  <c r="M363" i="1"/>
  <c r="M362" i="1"/>
  <c r="I191" i="1" l="1"/>
  <c r="I359" i="1"/>
  <c r="I194" i="1"/>
  <c r="I195" i="1"/>
  <c r="I410" i="1"/>
  <c r="I270" i="1"/>
  <c r="I282" i="1"/>
  <c r="I407" i="1"/>
  <c r="I267" i="1"/>
  <c r="I264" i="1"/>
  <c r="I261" i="1"/>
  <c r="I404" i="1"/>
  <c r="I403" i="1"/>
  <c r="I409" i="1"/>
  <c r="I269" i="1"/>
  <c r="I265" i="1"/>
  <c r="I402" i="1"/>
  <c r="I408" i="1"/>
  <c r="I262" i="1"/>
  <c r="I266" i="1"/>
  <c r="I260" i="1"/>
  <c r="I263" i="1"/>
  <c r="I268" i="1"/>
  <c r="I259" i="1"/>
  <c r="I406" i="1"/>
  <c r="I401" i="1"/>
  <c r="I399" i="1"/>
  <c r="I405" i="1"/>
  <c r="I28" i="1"/>
  <c r="I52" i="1"/>
  <c r="I76" i="1"/>
  <c r="I421" i="1"/>
  <c r="I98" i="1"/>
  <c r="I4" i="1"/>
  <c r="I400" i="1"/>
  <c r="I100" i="1"/>
  <c r="I13" i="1"/>
  <c r="I37" i="1"/>
  <c r="I61" i="1"/>
  <c r="I85" i="1"/>
  <c r="I109" i="1"/>
  <c r="I82" i="1"/>
  <c r="I106" i="1"/>
  <c r="I103" i="1"/>
  <c r="I55" i="1"/>
  <c r="I79" i="1"/>
  <c r="I58" i="1"/>
  <c r="I34" i="1"/>
  <c r="I31" i="1"/>
  <c r="I81" i="1"/>
  <c r="I7" i="1"/>
  <c r="I10" i="1"/>
  <c r="I99" i="1"/>
  <c r="I108" i="1"/>
  <c r="I83" i="1"/>
  <c r="I104" i="1"/>
  <c r="I105" i="1"/>
  <c r="I107" i="1"/>
  <c r="I101" i="1"/>
  <c r="I30" i="1"/>
  <c r="I102" i="1"/>
  <c r="I77" i="1"/>
  <c r="I78" i="1"/>
  <c r="I60" i="1"/>
  <c r="I80" i="1"/>
  <c r="I51" i="1"/>
  <c r="I54" i="1"/>
  <c r="I84" i="1"/>
  <c r="I27" i="1"/>
  <c r="I57" i="1"/>
  <c r="I36" i="1"/>
  <c r="I74" i="1"/>
  <c r="I75" i="1"/>
  <c r="I11" i="1"/>
  <c r="I53" i="1"/>
  <c r="I56" i="1"/>
  <c r="I35" i="1"/>
  <c r="I26" i="1"/>
  <c r="I50" i="1"/>
  <c r="I59" i="1"/>
  <c r="I32" i="1"/>
  <c r="I6" i="1"/>
  <c r="I33" i="1"/>
  <c r="I29" i="1"/>
  <c r="I12" i="1"/>
  <c r="I8" i="1"/>
  <c r="I9" i="1"/>
  <c r="I5" i="1"/>
</calcChain>
</file>

<file path=xl/sharedStrings.xml><?xml version="1.0" encoding="utf-8"?>
<sst xmlns="http://schemas.openxmlformats.org/spreadsheetml/2006/main" count="27931" uniqueCount="594">
  <si>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</si>
  <si>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</si>
  <si>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</si>
  <si>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</si>
  <si>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</si>
  <si>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</si>
  <si>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</si>
  <si>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</si>
  <si>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</si>
  <si>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Semestre</t>
  </si>
  <si>
    <t>Meta</t>
  </si>
  <si>
    <t>Ejecución</t>
  </si>
  <si>
    <t>Cumplimiento</t>
  </si>
  <si>
    <t>Cumplimiento Real</t>
  </si>
  <si>
    <t>Meta s</t>
  </si>
  <si>
    <t>Ejecución s</t>
  </si>
  <si>
    <t>Llave</t>
  </si>
  <si>
    <t>Decimales_Meta</t>
  </si>
  <si>
    <t>Decimales_Ejecucion</t>
  </si>
  <si>
    <t>Fuente</t>
  </si>
  <si>
    <t>Clasificación</t>
  </si>
  <si>
    <t>Subproceso</t>
  </si>
  <si>
    <t>Linea</t>
  </si>
  <si>
    <t>Objetivo</t>
  </si>
  <si>
    <t>Meta_PDI</t>
  </si>
  <si>
    <t>FACTOR</t>
  </si>
  <si>
    <t>CARACTERÍSTICA</t>
  </si>
  <si>
    <t>Tipo_Cierre</t>
  </si>
  <si>
    <t>Proyección</t>
  </si>
  <si>
    <t>Total Población</t>
  </si>
  <si>
    <t>Servicio</t>
  </si>
  <si>
    <t>Semestral</t>
  </si>
  <si>
    <t>Positivo</t>
  </si>
  <si>
    <t>Junio</t>
  </si>
  <si>
    <t>2022-1</t>
  </si>
  <si>
    <t>ENT</t>
  </si>
  <si>
    <t>14-2022-06-30</t>
  </si>
  <si>
    <t>Estratégico</t>
  </si>
  <si>
    <t>Expansión</t>
  </si>
  <si>
    <t xml:space="preserve">Crecer con compromiso social </t>
  </si>
  <si>
    <t xml:space="preserve">En el 2026, alcanzar una población estudiantil superior a 70.000 estudiantes </t>
  </si>
  <si>
    <t>Factor 11. Comunidad de estudiantes</t>
  </si>
  <si>
    <t>Característica 34: Admisión y permanencia de estudiantes</t>
  </si>
  <si>
    <t>Último valor</t>
  </si>
  <si>
    <t>Diciembre</t>
  </si>
  <si>
    <t>2022-2</t>
  </si>
  <si>
    <t>14-2022-12-31</t>
  </si>
  <si>
    <t>2023-1</t>
  </si>
  <si>
    <t>14-2023-06-30</t>
  </si>
  <si>
    <t>2023-2</t>
  </si>
  <si>
    <t>14-2023-12-31</t>
  </si>
  <si>
    <t>2024-1</t>
  </si>
  <si>
    <t>14-2024-06-30</t>
  </si>
  <si>
    <t>2024-2</t>
  </si>
  <si>
    <t>14-2024-12-31</t>
  </si>
  <si>
    <t>Disponibilidad de servicios tecnológicos</t>
  </si>
  <si>
    <t>GESTIÓN DE LA TECNOLOGÍA E INNOVACIÓN DIGITAL</t>
  </si>
  <si>
    <t>Mensual</t>
  </si>
  <si>
    <t>%</t>
  </si>
  <si>
    <t>77-2022-06-30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</si>
  <si>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</si>
  <si>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</si>
  <si>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</si>
  <si>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Factor 3. Desarrollo, gestión y sostenibilidad institucional</t>
  </si>
  <si>
    <t>Característica 11: Infraestructura física y tecnológica</t>
  </si>
  <si>
    <t>Promedio</t>
  </si>
  <si>
    <t>Anual</t>
  </si>
  <si>
    <t>77-2022-12-31</t>
  </si>
  <si>
    <t>77-2023-06-30</t>
  </si>
  <si>
    <t>77-2023-12-31</t>
  </si>
  <si>
    <t>Productos de investigación, innovación y creación</t>
  </si>
  <si>
    <t>Investigación, desarrollo tecnológico, innovación y creación</t>
  </si>
  <si>
    <t>96-2022-12-31</t>
  </si>
  <si>
    <t>Calidad</t>
  </si>
  <si>
    <t>Asegurar la alta calidad a nivel institucional</t>
  </si>
  <si>
    <t xml:space="preserve">Al 2025 alcanzar la acreditación institucional en alta calidad de la sede Bogotá </t>
  </si>
  <si>
    <t>Factor 6. Aportes de la investigación, la innovación, el desarrollo tecnológico y la creación al entorno</t>
  </si>
  <si>
    <t>Característica 21: Formación para la investigación, creación e innovación</t>
  </si>
  <si>
    <t>Acumulativo</t>
  </si>
  <si>
    <t>96-2023-06-30</t>
  </si>
  <si>
    <t>96-2023-12-31</t>
  </si>
  <si>
    <t>96-2024-06-30</t>
  </si>
  <si>
    <t>Lanzamiento de nuevos programas presencial</t>
  </si>
  <si>
    <t>Mercadeo de programas académicos</t>
  </si>
  <si>
    <t>97-2022-06-30</t>
  </si>
  <si>
    <t>Diseñar un portafolio relevante y competitivo que garantice el crecimiento continuo del Poli.</t>
  </si>
  <si>
    <t>Factor 5. Estructura y procesos académicos</t>
  </si>
  <si>
    <t>Característica 20: Procesos de creación, modificación y ampliación de programas académicos</t>
  </si>
  <si>
    <t>97-2022-12-31</t>
  </si>
  <si>
    <t>97-2023-06-30</t>
  </si>
  <si>
    <t>97-2023-12-31</t>
  </si>
  <si>
    <t>Lanzamiento de nuevos programas virtual</t>
  </si>
  <si>
    <t>98-2022-06-30</t>
  </si>
  <si>
    <t>98-2022-12-31</t>
  </si>
  <si>
    <t>98-2023-06-30</t>
  </si>
  <si>
    <t>98-2023-12-31</t>
  </si>
  <si>
    <t>Nivel de Satisfacción Servicios Prestados - Comunicaciones Internas</t>
  </si>
  <si>
    <t>COMUNICACIÓN Y POSICIONAMIENTO ESTRATÉGICO</t>
  </si>
  <si>
    <t>109-2023-12-31</t>
  </si>
  <si>
    <t>Comunicaciones Internas</t>
  </si>
  <si>
    <t>Contar con un equipo humano feliz y apasionado, que trabaja de forma colaborativa para alcanzar las metas institucionales</t>
  </si>
  <si>
    <t>Factor 7. Impacto social</t>
  </si>
  <si>
    <t>Característica 26: Satisfacción del estudiante y del cliente</t>
  </si>
  <si>
    <t>109-2024-12-31</t>
  </si>
  <si>
    <t>Estudiantes vinculados a investigación</t>
  </si>
  <si>
    <t>Formación para la investigación, creación e innovación</t>
  </si>
  <si>
    <t>148-2023-06-30</t>
  </si>
  <si>
    <t>148-2023-12-31</t>
  </si>
  <si>
    <t>148-2024-06-30</t>
  </si>
  <si>
    <t>148-2024-12-31</t>
  </si>
  <si>
    <t>Mejorar flujo de atención en todos los niveles de servicio al estudiante (ANS)</t>
  </si>
  <si>
    <t>193-2022-06-30</t>
  </si>
  <si>
    <t>Experiencia</t>
  </si>
  <si>
    <t>Garantizar una experiencia significativa y de valor agregado a la comunidad POLI</t>
  </si>
  <si>
    <t>Alcanzar a una satisfacción del servicio superior al 85%.</t>
  </si>
  <si>
    <t>Característica 9: Capacidad de gestión</t>
  </si>
  <si>
    <t>193-2022-12-31</t>
  </si>
  <si>
    <t>193-2023-06-30</t>
  </si>
  <si>
    <t>193-2023-12-31</t>
  </si>
  <si>
    <t>193-2024-06-30</t>
  </si>
  <si>
    <t>193-2024-12-31</t>
  </si>
  <si>
    <t>Índice de satisfacción del estudiante (SSI)</t>
  </si>
  <si>
    <t>194-2022-06-30</t>
  </si>
  <si>
    <t>Alcanzar una tasa de permanencia intersemestral superior al 90%</t>
  </si>
  <si>
    <t>Característica 33: Derechos y deberes de los estudiantes</t>
  </si>
  <si>
    <t>194-2022-12-31</t>
  </si>
  <si>
    <t>194-2023-06-30</t>
  </si>
  <si>
    <t>194-2023-12-31</t>
  </si>
  <si>
    <t>194-2024-06-30</t>
  </si>
  <si>
    <t>Nivel de efectividad de las capacitaciones</t>
  </si>
  <si>
    <t>GESTIÓN Y DESARROLLO DEL TALENTO HUMANO</t>
  </si>
  <si>
    <t>Linea base</t>
  </si>
  <si>
    <t>200-2023-12-31</t>
  </si>
  <si>
    <t>Contribuir a la formación permanente del equipo humano</t>
  </si>
  <si>
    <t>Factor 10. Comunidad de profesores</t>
  </si>
  <si>
    <t>Característica 31: Desarrollo profesoral</t>
  </si>
  <si>
    <t>200-2024-12-31</t>
  </si>
  <si>
    <t>Great Place to Work</t>
  </si>
  <si>
    <t>202-2023-12-31</t>
  </si>
  <si>
    <t xml:space="preserve">Estar en el ranking de la 100 mejores empresas para trabajar en Colombia </t>
  </si>
  <si>
    <t>202-2024-12-31</t>
  </si>
  <si>
    <t>Cumplimiento de Ingresos</t>
  </si>
  <si>
    <t>Planeación Financiera</t>
  </si>
  <si>
    <t>$</t>
  </si>
  <si>
    <t>203-2022-06-30</t>
  </si>
  <si>
    <t>Sostenibilidad</t>
  </si>
  <si>
    <t>Promover una cultura de optimización de recursos financieros como apalancador de la estrategia</t>
  </si>
  <si>
    <t>Incrementar los ingresos y el presupuesto de inversión en proyectos institucionales</t>
  </si>
  <si>
    <t>Característica 12: Recursos y gestión financiera</t>
  </si>
  <si>
    <t>203-2022-12-31</t>
  </si>
  <si>
    <t>203-2023-06-30</t>
  </si>
  <si>
    <t>203-2023-12-31</t>
  </si>
  <si>
    <t>203-2024-06-30</t>
  </si>
  <si>
    <t>203-2024-12-31</t>
  </si>
  <si>
    <t>Caja</t>
  </si>
  <si>
    <t>204-2022-06-30</t>
  </si>
  <si>
    <t>204-2022-12-30</t>
  </si>
  <si>
    <t>204-2023-06-30</t>
  </si>
  <si>
    <t>204-2023-12-31</t>
  </si>
  <si>
    <t>204-2024-06-30</t>
  </si>
  <si>
    <t>204-2024-12-31</t>
  </si>
  <si>
    <t>Utilidad Neta</t>
  </si>
  <si>
    <t>205-2023-06-30</t>
  </si>
  <si>
    <t>205-2023-12-31</t>
  </si>
  <si>
    <t>205-2024-06-30</t>
  </si>
  <si>
    <t>205-2024-12-31</t>
  </si>
  <si>
    <t>Inversión en CAPEX de la utilidad anterior</t>
  </si>
  <si>
    <t>206-2023-06-30</t>
  </si>
  <si>
    <t>206-2023-12-31</t>
  </si>
  <si>
    <t>206-2024-12-31</t>
  </si>
  <si>
    <t>Nivel de Cumplimiento Opex</t>
  </si>
  <si>
    <t>Negativo</t>
  </si>
  <si>
    <t>207-2023-06-30</t>
  </si>
  <si>
    <t>207-2023-12-31</t>
  </si>
  <si>
    <t>207-2024-06-30</t>
  </si>
  <si>
    <t>207-2024-12-31</t>
  </si>
  <si>
    <t>Compensación de Gases de Efecto Invernadero</t>
  </si>
  <si>
    <t>GESTIÓN AMBIENTAL</t>
  </si>
  <si>
    <t>228-2022-12-31</t>
  </si>
  <si>
    <t>Contribuir a la inclusión, la proyección social y el cuidado del medio ambiente</t>
  </si>
  <si>
    <t>Promover una cultura de protección y cuidado del medio ambiente</t>
  </si>
  <si>
    <t>228-2024-12-31</t>
  </si>
  <si>
    <t>GreenMetric - Nacional</t>
  </si>
  <si>
    <t>244-2023-12-31</t>
  </si>
  <si>
    <t>244-2024-12-31</t>
  </si>
  <si>
    <t>Permanencia Intersemestral</t>
  </si>
  <si>
    <t>Permanencia</t>
  </si>
  <si>
    <t>245-2022-06-30</t>
  </si>
  <si>
    <t>245-2022-12-31</t>
  </si>
  <si>
    <t>245-2023-06-30</t>
  </si>
  <si>
    <t>245-2023-12-31</t>
  </si>
  <si>
    <t>245-2024-06-30</t>
  </si>
  <si>
    <t>245-2024-12-31</t>
  </si>
  <si>
    <t>Cumplimiento total estudiantes antiguos</t>
  </si>
  <si>
    <t>Rematrícula</t>
  </si>
  <si>
    <t>274-2022-06-30</t>
  </si>
  <si>
    <t>274-2022-12-31</t>
  </si>
  <si>
    <t>274-2023-06-30</t>
  </si>
  <si>
    <t>274-2023-12-31</t>
  </si>
  <si>
    <t>274-2024-06-30</t>
  </si>
  <si>
    <t>274-2024-12-31</t>
  </si>
  <si>
    <t>Relación Estudiante-Docente Tiempo completo</t>
  </si>
  <si>
    <t>Gestión Docente</t>
  </si>
  <si>
    <t>276-2022-06-30</t>
  </si>
  <si>
    <t>Característica 19: Componente de interacción y relevancia social</t>
  </si>
  <si>
    <t>276-2022-12-31</t>
  </si>
  <si>
    <t>276-2023-06-30</t>
  </si>
  <si>
    <t>276-2023-12-31</t>
  </si>
  <si>
    <t>276-2024-06-30</t>
  </si>
  <si>
    <t>276-2024-12-31</t>
  </si>
  <si>
    <t>Relación estudiante docente Tiempo Completo Equivalente</t>
  </si>
  <si>
    <t>277-2023-06-30</t>
  </si>
  <si>
    <t>277-2023-12-31</t>
  </si>
  <si>
    <t>277-2024-06-30</t>
  </si>
  <si>
    <t>277-2024-12-31</t>
  </si>
  <si>
    <t>Número de renovaciones de registro calificado</t>
  </si>
  <si>
    <t>Creación, modificación y cierre de programas académicos</t>
  </si>
  <si>
    <t>323-2022-12-31</t>
  </si>
  <si>
    <t>Fortalecer la oferta educativa y la innovación curricular</t>
  </si>
  <si>
    <t>Contar con un portafolio de programas académicos innovador de calidad, pertinente y flexible, que responda a las necesidades del estudiante y del entorno.</t>
  </si>
  <si>
    <t>323-2023-06-30</t>
  </si>
  <si>
    <t>323-2023-12-31</t>
  </si>
  <si>
    <t>323-2024-06-30</t>
  </si>
  <si>
    <t>323-2024-12-31</t>
  </si>
  <si>
    <t>Número de programas nuevos con registro calificado aprobado</t>
  </si>
  <si>
    <t>325-2022-06-30</t>
  </si>
  <si>
    <t>325-2022-12-31</t>
  </si>
  <si>
    <t>325-2023-06-30</t>
  </si>
  <si>
    <t>325-2023-12-31</t>
  </si>
  <si>
    <t>325-2024-06-30</t>
  </si>
  <si>
    <t>325-2024-12-31</t>
  </si>
  <si>
    <t>Nivel de empleabilidad del graduado</t>
  </si>
  <si>
    <t>Gestión de Graduados</t>
  </si>
  <si>
    <t>Metrica</t>
  </si>
  <si>
    <t>331-2023-12-31</t>
  </si>
  <si>
    <t>Mejorar la empleabilidad de nuestros graduados</t>
  </si>
  <si>
    <t>Factor 12. Comunidad de egresados</t>
  </si>
  <si>
    <t>Característica 37: Egresados y programas académicos</t>
  </si>
  <si>
    <t>331-2024-12-31</t>
  </si>
  <si>
    <t>Índice de rotación</t>
  </si>
  <si>
    <t>332-2022-06-30</t>
  </si>
  <si>
    <t>Implementar el Plan Talento para colaboradores alineado con la estrategia.</t>
  </si>
  <si>
    <t>332-2022-12-31</t>
  </si>
  <si>
    <t>332-2023-06-30</t>
  </si>
  <si>
    <t>332-2023-12-31</t>
  </si>
  <si>
    <t>DEC</t>
  </si>
  <si>
    <t>332-2024-06-30</t>
  </si>
  <si>
    <t>332-2024-12-31</t>
  </si>
  <si>
    <t>Resultado de la evaluación 360 (evaluación por competencias)</t>
  </si>
  <si>
    <t>334-2023-12-31</t>
  </si>
  <si>
    <t>Característica 32: Interacción académica de los profesores</t>
  </si>
  <si>
    <t>334-2024-12-31</t>
  </si>
  <si>
    <t>Cumplimiento de diagnóstico necesidades de capacitación por área</t>
  </si>
  <si>
    <t>335-2023-12-31</t>
  </si>
  <si>
    <t>335-2024-12-31</t>
  </si>
  <si>
    <t>Programas acreditables acreditados Sede Bogotá</t>
  </si>
  <si>
    <t>Autoevaluación institucional</t>
  </si>
  <si>
    <t>339-2023-12-31</t>
  </si>
  <si>
    <t>339-2024-12-31</t>
  </si>
  <si>
    <t>Cobertura de tableros BI en procesos</t>
  </si>
  <si>
    <t>DATOS Y ANALÍTICA</t>
  </si>
  <si>
    <t>353-2023-06-30</t>
  </si>
  <si>
    <t>Fortalecer la gestión por procesos y la toma de decisiones basada en el análisis de los datos</t>
  </si>
  <si>
    <t>Promover el uso de los datos, a partir del diseño e implementación de soluciones analíticas</t>
  </si>
  <si>
    <t>Característica 15: Sistema interno de aseguramiento de la calidad</t>
  </si>
  <si>
    <t>353-2023-12-31</t>
  </si>
  <si>
    <t>Índice de Inclusión **</t>
  </si>
  <si>
    <t>Gestión de la Responsabilidad Social</t>
  </si>
  <si>
    <t>361-2023-12-31</t>
  </si>
  <si>
    <t>Mantener altos índices de inclusión institucional</t>
  </si>
  <si>
    <t>361-2024-12-31</t>
  </si>
  <si>
    <t>Impacto de actividades de Responsabilidad y proyección</t>
  </si>
  <si>
    <t>364-2023-06-30</t>
  </si>
  <si>
    <t xml:space="preserve">Propiciar espacios de interacción con la comunidad del entorno </t>
  </si>
  <si>
    <t>Factor 8. Visibilidad nacional e internacional</t>
  </si>
  <si>
    <t>Característica 25: Inserción de la institución en contextos académicos nacionales e internacionales</t>
  </si>
  <si>
    <t>364-2023-12-31</t>
  </si>
  <si>
    <t>364-2024-06-30</t>
  </si>
  <si>
    <t>364-2024-12-31</t>
  </si>
  <si>
    <t>Estudiantes con Becas</t>
  </si>
  <si>
    <t>367-2023-12-31</t>
  </si>
  <si>
    <t>Mantener hasta el 5% de estudiantes becados, sobre el total de estudiantes</t>
  </si>
  <si>
    <t>367-2024-12-31</t>
  </si>
  <si>
    <t>Participación de POLI- voluntariados (Estudiantes- Colaboradores)</t>
  </si>
  <si>
    <t>Linea Base</t>
  </si>
  <si>
    <t>369-2023-06-30</t>
  </si>
  <si>
    <t>369-2023-12-31</t>
  </si>
  <si>
    <t>369-2024-06-30</t>
  </si>
  <si>
    <t>369-2024-12-31</t>
  </si>
  <si>
    <t>Cumplimiento EBIDTA</t>
  </si>
  <si>
    <t>376-2022-06-30</t>
  </si>
  <si>
    <t>376-2022-12-30</t>
  </si>
  <si>
    <t>376-2023-06-30</t>
  </si>
  <si>
    <t>376-2023-12-31</t>
  </si>
  <si>
    <t>376-2024-06-30</t>
  </si>
  <si>
    <t>376-2024-12-31</t>
  </si>
  <si>
    <t>CAPEX</t>
  </si>
  <si>
    <t>377-2023-06-30</t>
  </si>
  <si>
    <t>377-2023-12-31</t>
  </si>
  <si>
    <t>377-2024-06-30</t>
  </si>
  <si>
    <t>377-2024-12-31</t>
  </si>
  <si>
    <t>Total estudiantes nuevos</t>
  </si>
  <si>
    <t>Inscripción, admisión y matrícula de estudiantes nuevos</t>
  </si>
  <si>
    <t>379-2022-06-30</t>
  </si>
  <si>
    <t>379-2022-12-31</t>
  </si>
  <si>
    <t>379-2023-06-30</t>
  </si>
  <si>
    <t>379-2023-12-31</t>
  </si>
  <si>
    <t>379-2024-06-30</t>
  </si>
  <si>
    <t>379-2024-12-31</t>
  </si>
  <si>
    <t>Ingresos totales de educación para la vida</t>
  </si>
  <si>
    <t>Mercadeo y venta de educación para la vida</t>
  </si>
  <si>
    <t>385-2022-06-30</t>
  </si>
  <si>
    <t>Educación_para_toda_la_vida</t>
  </si>
  <si>
    <t>Impulsar y potenciar la educación continua</t>
  </si>
  <si>
    <t>Incrementar en más del 50% los ingresos de B2B Y B2G para el año 2026</t>
  </si>
  <si>
    <t>385-2022-12-31</t>
  </si>
  <si>
    <t>385-2023-06-30</t>
  </si>
  <si>
    <t>385-2023-12-31</t>
  </si>
  <si>
    <t>385-2024-06-30</t>
  </si>
  <si>
    <t>385-2024-12-31</t>
  </si>
  <si>
    <t>Brand equity</t>
  </si>
  <si>
    <t>423-2022-12-31</t>
  </si>
  <si>
    <t>Posicionar al POLI como una de las opciones más atractivas para iniciar los estudios de educación superior.</t>
  </si>
  <si>
    <t>423-2023-12-31</t>
  </si>
  <si>
    <t>423-2024-12-31</t>
  </si>
  <si>
    <t>Conocimiento espontaneo</t>
  </si>
  <si>
    <t>424-2022-12-31</t>
  </si>
  <si>
    <t>424-2023-12-31</t>
  </si>
  <si>
    <t>424-2024-12-31</t>
  </si>
  <si>
    <t>% de profesores (Contrato Indefinido- Fijo) impactados plan de desarrollo docente</t>
  </si>
  <si>
    <t>460-2024-12-31</t>
  </si>
  <si>
    <t>Avanzar en la construcción de una cultura de buena docencia centrada en el estudiante, su aprendizaje y en la excelencia pedagógica del equipo de profesores.</t>
  </si>
  <si>
    <t>Cumplimiento de las acciones del Plan de mejoramiento GPW</t>
  </si>
  <si>
    <t>463-2024-06-30</t>
  </si>
  <si>
    <t>Característica 7: Administración y gestión</t>
  </si>
  <si>
    <t>463-2024-12-31</t>
  </si>
  <si>
    <t>% de depuración histórico  SNIES</t>
  </si>
  <si>
    <t>465-2024-06-30</t>
  </si>
  <si>
    <t>Asegurar un esquema de gobierno y calidad de datos  institucional.</t>
  </si>
  <si>
    <t>Característica 27: Admisión y matrícula de estudiantes</t>
  </si>
  <si>
    <t>465-2024-12-31</t>
  </si>
  <si>
    <t>NPS Estudiantes</t>
  </si>
  <si>
    <t>EXPERIENCIA INSTITUCIONAL</t>
  </si>
  <si>
    <t>466-2024-06-30</t>
  </si>
  <si>
    <t>466-2024-12-31</t>
  </si>
  <si>
    <t>Cobertura de Recolección de Variables ADA (Arquitectura de datos para la analitica)</t>
  </si>
  <si>
    <t>472-2024-06-30</t>
  </si>
  <si>
    <t>472-2024-12-31</t>
  </si>
  <si>
    <t>Programas con resultados de aprendizaje definidos</t>
  </si>
  <si>
    <t>Gestión, Evaluación e Innovación Curricular</t>
  </si>
  <si>
    <t>476-2024-06-30</t>
  </si>
  <si>
    <t>Innovar en el currículo</t>
  </si>
  <si>
    <t>476-2024-12-31</t>
  </si>
  <si>
    <t>Estudiantes Presencial</t>
  </si>
  <si>
    <t>14.1-2022-06-30</t>
  </si>
  <si>
    <t>14.1-2022-12-31</t>
  </si>
  <si>
    <t>14.1-2023-06-30</t>
  </si>
  <si>
    <t>14.1-2023-12-31</t>
  </si>
  <si>
    <t>14.1-2024-06-30</t>
  </si>
  <si>
    <t>Estudiantes Virtual</t>
  </si>
  <si>
    <t>14.2-2022-06-30</t>
  </si>
  <si>
    <t>14.2-2022-12-31</t>
  </si>
  <si>
    <t>14.2-2023-06-30</t>
  </si>
  <si>
    <t>14.2-2023-12-31</t>
  </si>
  <si>
    <t>14.2-2024-06-30</t>
  </si>
  <si>
    <t>Estudiantes Pregrado</t>
  </si>
  <si>
    <t>14.3-2022-06-30</t>
  </si>
  <si>
    <t>14.3-2022-12-31</t>
  </si>
  <si>
    <t>14.3-2023-06-30</t>
  </si>
  <si>
    <t>14.3-2023-12-31</t>
  </si>
  <si>
    <t>14.3-2024-06-30</t>
  </si>
  <si>
    <t>Estudiantes Posgrado</t>
  </si>
  <si>
    <t>14.4-2022-06-30</t>
  </si>
  <si>
    <t>14.4-2022-12-30</t>
  </si>
  <si>
    <t>14.4-2023-06-30</t>
  </si>
  <si>
    <t>14.4-2023-12-31</t>
  </si>
  <si>
    <t>14.4-2024-06-30</t>
  </si>
  <si>
    <t>Total Ingresos B2B</t>
  </si>
  <si>
    <t>386.1-2023-06-30</t>
  </si>
  <si>
    <t>386.1-2023-12-31</t>
  </si>
  <si>
    <t>386.1-2024-06-30</t>
  </si>
  <si>
    <t>386.1-2024-12-31</t>
  </si>
  <si>
    <t>Total Ingresos B2G</t>
  </si>
  <si>
    <t>386.2-2023-06-30</t>
  </si>
  <si>
    <t>386.2-2023-12-31</t>
  </si>
  <si>
    <t>386.2-2024-06-30</t>
  </si>
  <si>
    <t>386.2-2024-12-31</t>
  </si>
  <si>
    <t>Otros ingresos (Cursos -Opciones de grado)</t>
  </si>
  <si>
    <t>386.3-2023-06-30</t>
  </si>
  <si>
    <t>386.3-2023-12-31</t>
  </si>
  <si>
    <t>386.3-2024-06-30</t>
  </si>
  <si>
    <t>386.3-2024-12-31</t>
  </si>
  <si>
    <t>77-2024-06-30</t>
  </si>
  <si>
    <t>77-2024-12-31</t>
  </si>
  <si>
    <t>96-2024-12-31</t>
  </si>
  <si>
    <t>97-2024-06-30</t>
  </si>
  <si>
    <t>97-2024-12-31</t>
  </si>
  <si>
    <t>98-2024-06-30</t>
  </si>
  <si>
    <t>98-2024-12-31</t>
  </si>
  <si>
    <t>14.1-2024-12-31</t>
  </si>
  <si>
    <t>14.2-2024-12-31</t>
  </si>
  <si>
    <t>14.3-2024-12-31</t>
  </si>
  <si>
    <t>14.4-2024-12-31</t>
  </si>
  <si>
    <t>194-2024-12-31</t>
  </si>
  <si>
    <t>2025-1</t>
  </si>
  <si>
    <t>476-2025-06-30</t>
  </si>
  <si>
    <t>148-2025-06-30</t>
  </si>
  <si>
    <t>339-2025-06-30</t>
  </si>
  <si>
    <t>325-2025-06-30</t>
  </si>
  <si>
    <t>323-2025-06-30</t>
  </si>
  <si>
    <t>276-2025-06-30</t>
  </si>
  <si>
    <t>14-2025-06-30</t>
  </si>
  <si>
    <t>379-2025-06-30</t>
  </si>
  <si>
    <t>274-2025-06-30</t>
  </si>
  <si>
    <t>14.1-2025-06-30</t>
  </si>
  <si>
    <t>14.2-2025-06-30</t>
  </si>
  <si>
    <t>14.3-2025-06-30</t>
  </si>
  <si>
    <t>14.4-2025-06-30</t>
  </si>
  <si>
    <t>98-2025-06-30</t>
  </si>
  <si>
    <t>194-2025-06-30</t>
  </si>
  <si>
    <t>193-2025-06-30</t>
  </si>
  <si>
    <t>245-2025-06-30</t>
  </si>
  <si>
    <t>205-2025-06-30</t>
  </si>
  <si>
    <t>204-2025-06-30</t>
  </si>
  <si>
    <t>364-2025-06-30</t>
  </si>
  <si>
    <t>376-2025-06-30</t>
  </si>
  <si>
    <t>203-2025-06-30</t>
  </si>
  <si>
    <t>207-2025-06-30</t>
  </si>
  <si>
    <t>369-2025-06-30</t>
  </si>
  <si>
    <t>No Aplica</t>
  </si>
  <si>
    <t>331-2025-06-30</t>
  </si>
  <si>
    <t>332-2025-06-30</t>
  </si>
  <si>
    <t>202-2025-06-30</t>
  </si>
  <si>
    <t>77-2025-06-30</t>
  </si>
  <si>
    <t>277-2025-06-30</t>
  </si>
  <si>
    <t xml:space="preserve">Ingresos totales de educación para la vida </t>
  </si>
  <si>
    <t>525-2025-06-30</t>
  </si>
  <si>
    <t>Total Ingresos B2B- B2C</t>
  </si>
  <si>
    <t>525.1-2025-06-30</t>
  </si>
  <si>
    <t xml:space="preserve">Total Ingresos B2G </t>
  </si>
  <si>
    <t>525.2-2025-06-30</t>
  </si>
  <si>
    <t>Total ingresos Opciones de grado</t>
  </si>
  <si>
    <t>525.3-2025-06-30</t>
  </si>
  <si>
    <t>Cierre</t>
  </si>
  <si>
    <t>148-2022-12-31</t>
  </si>
  <si>
    <t>tCO2e</t>
  </si>
  <si>
    <t>244-2022-12-31</t>
  </si>
  <si>
    <t>476-2023-12-31</t>
  </si>
  <si>
    <t>334-2022-12-31</t>
  </si>
  <si>
    <t>460-2023-12-31</t>
  </si>
  <si>
    <t>367-2022-12-31</t>
  </si>
  <si>
    <t>466-2022-12-31</t>
  </si>
  <si>
    <t>466-2023-12-31</t>
  </si>
  <si>
    <t>228-2023-12-31</t>
  </si>
  <si>
    <t>460-2025-06-30</t>
  </si>
  <si>
    <t>423-2025-06-30</t>
  </si>
  <si>
    <t>97-2025-06-30</t>
  </si>
  <si>
    <t>466-2025-06-30</t>
  </si>
  <si>
    <t>377-2025-06-30</t>
  </si>
  <si>
    <t>367-2025-06-30</t>
  </si>
  <si>
    <t>228-2025-06-30</t>
  </si>
  <si>
    <t>361-2025-06-30</t>
  </si>
  <si>
    <t>244-2025-06-30</t>
  </si>
  <si>
    <t>200-2025-06-30</t>
  </si>
  <si>
    <t>109-2025-06-30</t>
  </si>
  <si>
    <t>2025-2</t>
  </si>
  <si>
    <t>335-2025-12-31</t>
  </si>
  <si>
    <t>334-2025-06-30</t>
  </si>
  <si>
    <t>424-2025-06-30</t>
  </si>
  <si>
    <t>Nivel de Satisfacción Servicios Prestados</t>
  </si>
  <si>
    <t>Inclusión</t>
  </si>
  <si>
    <t>B2B</t>
  </si>
  <si>
    <t>B2G</t>
  </si>
  <si>
    <t>Cumplimiento EBITDA</t>
  </si>
  <si>
    <t>Operativo</t>
  </si>
  <si>
    <t>Inversión en CAPEX de la utilidad anterior (veces)</t>
  </si>
  <si>
    <t>% de profesores impactados plan de desarrollo docente</t>
  </si>
  <si>
    <t>% de profesores (Contrato Indefinido- Fijo) impactados plan de desarrollo docente *</t>
  </si>
  <si>
    <t>Porcentaje de cumplimiento del Acuerdo de Nivel de Servicio (ANS)</t>
  </si>
  <si>
    <t>Índice de Inclusión</t>
  </si>
  <si>
    <t>Total Matriculados antiguos</t>
  </si>
  <si>
    <t>% Estudiantes con Becas</t>
  </si>
  <si>
    <t>% Programas acreditables acreditados Sede Bogotá</t>
  </si>
  <si>
    <t>Noviembre</t>
  </si>
  <si>
    <t>Avance</t>
  </si>
  <si>
    <t>10.1</t>
  </si>
  <si>
    <t>Acreditación Institucional Sede Bogotá - Fase I</t>
  </si>
  <si>
    <t>Autoevaluación de programas académicos</t>
  </si>
  <si>
    <t>13.1</t>
  </si>
  <si>
    <t>Plan Talento</t>
  </si>
  <si>
    <t>Nuevo POLISIGS</t>
  </si>
  <si>
    <t>Certificación SGA sede los Colores</t>
  </si>
  <si>
    <t>Equidad de Genero</t>
  </si>
  <si>
    <t>Portal Universitario</t>
  </si>
  <si>
    <t>Data Lake Institucional</t>
  </si>
  <si>
    <t>Catalogo de recursos virtuales</t>
  </si>
  <si>
    <t>Acreditación Institucional Sede Bogotá - Fase II - Condiciones iniciales</t>
  </si>
  <si>
    <t>Centro de Idiomas Fase I</t>
  </si>
  <si>
    <t>CREA Centro de Recursos y Experiencias para el aprendizaje - Fase de Adecuación</t>
  </si>
  <si>
    <t>Actualización sistema de transporte rotativo</t>
  </si>
  <si>
    <t>Ecosistema E3</t>
  </si>
  <si>
    <t>Habilidades Poderosas</t>
  </si>
  <si>
    <t>Ser PRO Fase III</t>
  </si>
  <si>
    <t>Cultura de una buena docencia</t>
  </si>
  <si>
    <t>Proyecto Silver</t>
  </si>
  <si>
    <t>Prime</t>
  </si>
  <si>
    <t>Pricing</t>
  </si>
  <si>
    <t>Hubspot CRM</t>
  </si>
  <si>
    <t>Migración modelo de transporte rotativo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</si>
  <si>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</si>
  <si>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</si>
  <si>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</si>
  <si>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</si>
  <si>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</si>
  <si>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ADN Poli</t>
  </si>
  <si>
    <t>Gobierno de datos</t>
  </si>
  <si>
    <t>Herramientas de Gestión para el mejoramiento continuo</t>
  </si>
  <si>
    <t>Proyectos Ilumno Self Service S&amp;P</t>
  </si>
  <si>
    <t>SOPHIA Sistema de optimización y programación horaria institucional</t>
  </si>
  <si>
    <t>Proyecto de permanencia institucional</t>
  </si>
  <si>
    <t>Centro Gastronómico</t>
  </si>
  <si>
    <t>Gestión de Proyectos</t>
  </si>
  <si>
    <t>Gestión de calidad</t>
  </si>
  <si>
    <t>Gestión ambiental</t>
  </si>
  <si>
    <t>Gestión de la tecnología e innovación digital</t>
  </si>
  <si>
    <t>GESTIÓN JURÍDICA Y NORMATIVA</t>
  </si>
  <si>
    <t>Experiencia institucional</t>
  </si>
  <si>
    <t>Gestión de unidades académicas</t>
  </si>
  <si>
    <t>Biblioteca Institucional</t>
  </si>
  <si>
    <t>Gestión Infraestructura Física</t>
  </si>
  <si>
    <t>Operaciones Académicas</t>
  </si>
  <si>
    <t>Julio</t>
  </si>
  <si>
    <t>Característica 29: Planta profesoral</t>
  </si>
  <si>
    <t>Ampliar el alcance del Sistema Integrado - POLISIGS y su apropiación en la comunidad</t>
  </si>
  <si>
    <t>Característica 14: Formación y desarrollo tecnológico</t>
  </si>
  <si>
    <t>Incursionar en los niveles de educación media y de educación para el trabajo y el desarrollo humano</t>
  </si>
  <si>
    <t>Creación del Instituto para la Educación para el Trabajo y el Desarrollo Humano a través del cual se propone ofrecer 10 programas de IETDH con 750 estudiantes por programa al año 2026.</t>
  </si>
  <si>
    <t>Creación del colegio virtual -Tener una matrícula de 100 estudiantes en los niveles décimo y once de educación media al año 2026.</t>
  </si>
  <si>
    <t>Diseñar e implementar el Modelo de experiencia institucional donde se definan los principios, valores, cualidades, indicadores y variables.</t>
  </si>
  <si>
    <t>Característica 31: Experiencia del estudiante</t>
  </si>
  <si>
    <t>Ofrecer 250 Microcertificaciones con 
1000 estudiantes al año 2026</t>
  </si>
  <si>
    <t>Innovar en el modelo de bienestar universitario para velar por la calidad de vida de todos los actores del POLI.</t>
  </si>
  <si>
    <t>Creación de la asociación de graduados</t>
  </si>
  <si>
    <t>Impulsar la mejora y optimización de procesos</t>
  </si>
  <si>
    <t>Stand by</t>
  </si>
  <si>
    <t xml:space="preserve">Creación del colegio de educación media virtual </t>
  </si>
  <si>
    <t>Experiencia Institucional - Fase 2</t>
  </si>
  <si>
    <t>Experiencia Institucional - Fase 1</t>
  </si>
  <si>
    <t>Experiencia Institucional fase III - Hub de Experiencia y agilismo</t>
  </si>
  <si>
    <t>Innovación curricular</t>
  </si>
  <si>
    <t>Creación del Instituto de educación para el trabajo y desarrollo humano IETDH</t>
  </si>
  <si>
    <t>Monarca - Ecosistema Banner</t>
  </si>
  <si>
    <t>Redefinición de Modelo de seguimiento y acompañamiento al Graduado</t>
  </si>
  <si>
    <t>Reingenieria de aplicaciones</t>
  </si>
  <si>
    <t>Titulación Autogestionada</t>
  </si>
  <si>
    <t>Proyectos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</si>
  <si>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</si>
  <si>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</si>
  <si>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</si>
  <si>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</si>
  <si>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</si>
  <si>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</si>
  <si>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Prov-5</t>
  </si>
  <si>
    <t>Número de microcertificaciones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</si>
  <si>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</si>
  <si>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</si>
  <si>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</si>
  <si>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</si>
  <si>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</si>
  <si>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</si>
  <si>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</si>
  <si>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</si>
  <si>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</si>
  <si>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</si>
  <si>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</si>
  <si>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 xml:space="preserve">Índice de madurez analítica institucional y  por proceso </t>
  </si>
  <si>
    <t>Prov-16</t>
  </si>
  <si>
    <t>Desempeño de Modelos (Machine Learning - IA)</t>
  </si>
  <si>
    <t>Prov-17</t>
  </si>
  <si>
    <t>Número de programas IEDTH</t>
  </si>
  <si>
    <t>Prov-18</t>
  </si>
  <si>
    <t>Número de estudiantes en colegio virtual</t>
  </si>
  <si>
    <t>Diseño de Contenido Virtual</t>
  </si>
  <si>
    <t>Diseñar e implemetar nuevos modelo de evaluación institucional de programas</t>
  </si>
  <si>
    <t>Contar con una estrategia de comunicaciones integrada  que apalanque  la cultura y el posicionamiento institucional</t>
  </si>
  <si>
    <t>Al 2025 alcanzar la acreditación institucional en alta calidad de la sede Bogotá</t>
  </si>
  <si>
    <t>Implementar el Plan Talento para colaboradores alineado con la estrategia</t>
  </si>
  <si>
    <t>14.1</t>
  </si>
  <si>
    <t>14.2</t>
  </si>
  <si>
    <t>14.3</t>
  </si>
  <si>
    <t>14.4</t>
  </si>
  <si>
    <t>386.1</t>
  </si>
  <si>
    <t>386.2</t>
  </si>
  <si>
    <t>386.3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</si>
</sst>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yyyy\-mm\-dd\ hh:mm:ss"/>
    <numFmt numFmtId="165" formatCode="yyyy\-mm\-dd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2" fillId="0" borderId="0" applyFill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1" xfId="0" applyBorder="1"/>
    <xf numFmtId="0" fontId="0" fillId="2" borderId="0" xfId="0" applyFill="1"/>
    <xf numFmtId="0" fontId="0" fillId="0" borderId="1" xfId="0" applyBorder="1" applyAlignment="1">
      <alignment horizontal="right"/>
    </xf>
    <xf numFmtId="0" fontId="2" fillId="0" borderId="1" xfId="0" applyFont="1" applyBorder="1"/>
    <xf numFmtId="14" fontId="0" fillId="0" borderId="1" xfId="0" applyNumberFormat="1" applyBorder="1"/>
    <xf numFmtId="1" fontId="0" fillId="0" borderId="1" xfId="0" applyNumberFormat="1" applyBorder="1"/>
    <xf numFmtId="0" fontId="0" fillId="3" borderId="1" xfId="0" applyFill="1" applyBorder="1"/>
    <xf numFmtId="4" fontId="0" fillId="0" borderId="1" xfId="0" applyNumberFormat="1" applyBorder="1"/>
    <xf numFmtId="3" fontId="0" fillId="0" borderId="1" xfId="0" applyNumberFormat="1" applyBorder="1"/>
    <xf numFmtId="165" fontId="0" fillId="0" borderId="1" xfId="0" applyNumberFormat="1" applyBorder="1"/>
    <xf numFmtId="0" fontId="3" fillId="0" borderId="1" xfId="1" applyFont="1" applyFill="1" applyBorder="1" applyProtection="1"/>
    <xf numFmtId="0" fontId="0" fillId="2" borderId="1" xfId="0" applyFill="1" applyBorder="1"/>
    <xf numFmtId="9" fontId="0" fillId="0" borderId="1" xfId="0" applyNumberFormat="1" applyBorder="1"/>
    <xf numFmtId="0" fontId="2" fillId="0" borderId="1" xfId="0" applyFont="1" applyBorder="1" applyAlignment="1">
      <alignment horizontal="right"/>
    </xf>
  </cellXfs>
  <cellStyles count="4">
    <cellStyle name="Millares 2" xfId="2" xr:uid="{2B248724-A66E-415B-8BBA-BBCDE8553B51}"/>
    <cellStyle name="Millares 3" xfId="3" xr:uid="{2F2E4F41-5978-4AC7-8DCC-6E822778B063}"/>
    <cellStyle name="Normal" xfId="0" builtinId="0"/>
    <cellStyle name="Normal 2" xfId="1" xr:uid="{E6474115-E034-47AA-AE39-934325146E0E}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658"/>
  <sheetViews>
    <sheetView tabSelected="1" workbookViewId="0">
      <pane ySplit="1" topLeftCell="A422" activePane="bottomLeft" state="frozen"/>
      <selection pane="bottomLeft"/>
    </sheetView>
  </sheetViews>
  <sheetFormatPr baseColWidth="10" defaultColWidth="8.88671875" defaultRowHeight="14.4" x14ac:dyDescent="0.3"/>
  <cols>
    <col min="2" max="2" width="41.44140625" customWidth="1"/>
    <col min="3" max="5" width="8.88671875" customWidth="1"/>
    <col min="6" max="6" width="10.33203125" customWidth="1"/>
    <col min="7" max="7" width="8.88671875" customWidth="1"/>
    <col min="8" max="8" width="11.33203125" customWidth="1"/>
    <col min="9" max="9" width="8.88671875" customWidth="1"/>
    <col min="10" max="10" width="14.88671875" bestFit="1" customWidth="1"/>
    <col min="11" max="11" width="8.88671875" customWidth="1"/>
    <col min="12" max="12" width="14.109375" bestFit="1" customWidth="1"/>
    <col min="17" max="17" width="15.5546875" bestFit="1" customWidth="1"/>
    <col min="25" max="25" width="38.5546875" customWidth="1"/>
  </cols>
  <sheetData>
    <row r="1" spans="1:3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555</v>
      </c>
    </row>
    <row r="2" spans="1:30" x14ac:dyDescent="0.3">
      <c r="A2" s="3">
        <v>14</v>
      </c>
      <c r="B2" s="3" t="s">
        <v>29</v>
      </c>
      <c r="C2" s="3" t="s">
        <v>30</v>
      </c>
      <c r="D2" s="3" t="s">
        <v>31</v>
      </c>
      <c r="E2" s="3" t="s">
        <v>32</v>
      </c>
      <c r="F2" s="12">
        <v>43281</v>
      </c>
      <c r="G2" s="3">
        <v>2018</v>
      </c>
      <c r="H2" s="3" t="str">
        <f t="shared" ref="H2:H13" si="0">PROPER(TEXT(F2,"mmmm"))</f>
        <v>Junio</v>
      </c>
      <c r="I2" s="3" t="str">
        <f t="shared" ref="I2:I13" si="1">IF(H2="Junio",G2&amp;"-1",G2&amp;"-2")</f>
        <v>2018-1</v>
      </c>
      <c r="J2" s="3">
        <v>1</v>
      </c>
      <c r="K2" s="3"/>
      <c r="L2" s="11">
        <v>49229</v>
      </c>
      <c r="M2" s="3"/>
      <c r="N2" s="3"/>
      <c r="O2" s="3" t="s">
        <v>35</v>
      </c>
      <c r="P2" s="3" t="s">
        <v>35</v>
      </c>
      <c r="Q2" s="3" t="str">
        <f>A2&amp;"-"&amp;YEAR(F2)&amp;"-"&amp;IF(LEN(MONTH(F2))=1,"0"&amp;MONTH(F2),MONTH(F2))&amp;"-"&amp;IF(LEN(DAY(F2))=1,"0"&amp;DAY(F2),DAY(F2))</f>
        <v>14-2018-06-30</v>
      </c>
      <c r="R2" s="3">
        <v>0</v>
      </c>
      <c r="S2" s="3">
        <v>0</v>
      </c>
      <c r="T2" s="3" t="s">
        <v>31</v>
      </c>
      <c r="U2" s="3" t="s">
        <v>37</v>
      </c>
      <c r="V2" s="3" t="s">
        <v>30</v>
      </c>
      <c r="W2" s="3" t="s">
        <v>38</v>
      </c>
      <c r="X2" s="3" t="s">
        <v>39</v>
      </c>
      <c r="Y2" s="3" t="s">
        <v>40</v>
      </c>
      <c r="Z2" s="3" t="s">
        <v>41</v>
      </c>
      <c r="AA2" s="3" t="s">
        <v>42</v>
      </c>
      <c r="AB2" s="3" t="s">
        <v>43</v>
      </c>
      <c r="AC2" s="3" t="s">
        <v>31</v>
      </c>
      <c r="AD2" s="3">
        <v>0</v>
      </c>
    </row>
    <row r="3" spans="1:30" x14ac:dyDescent="0.3">
      <c r="A3" s="3">
        <v>14</v>
      </c>
      <c r="B3" s="3" t="s">
        <v>29</v>
      </c>
      <c r="C3" s="3" t="s">
        <v>186</v>
      </c>
      <c r="D3" s="3" t="s">
        <v>31</v>
      </c>
      <c r="E3" s="3" t="s">
        <v>32</v>
      </c>
      <c r="F3" s="12">
        <v>43465</v>
      </c>
      <c r="G3" s="3">
        <v>2018</v>
      </c>
      <c r="H3" s="3" t="str">
        <f t="shared" si="0"/>
        <v>Diciembre</v>
      </c>
      <c r="I3" s="3" t="str">
        <f t="shared" si="1"/>
        <v>2018-2</v>
      </c>
      <c r="J3" s="3">
        <v>2</v>
      </c>
      <c r="K3" s="3"/>
      <c r="L3" s="11">
        <v>50701</v>
      </c>
      <c r="M3" s="3"/>
      <c r="N3" s="3"/>
      <c r="O3" s="3" t="s">
        <v>35</v>
      </c>
      <c r="P3" s="3" t="s">
        <v>35</v>
      </c>
      <c r="Q3" s="3" t="str">
        <f t="shared" ref="Q3:Q66" si="2">A3&amp;"-"&amp;YEAR(F3)&amp;"-"&amp;IF(LEN(MONTH(F3))=1,"0"&amp;MONTH(F3),MONTH(F3))&amp;"-"&amp;IF(LEN(DAY(F3))=1,"0"&amp;DAY(F3),DAY(F3))</f>
        <v>14-2018-12-31</v>
      </c>
      <c r="R3" s="3">
        <v>0</v>
      </c>
      <c r="S3" s="3">
        <v>0</v>
      </c>
      <c r="T3" s="3" t="s">
        <v>31</v>
      </c>
      <c r="U3" s="3" t="s">
        <v>37</v>
      </c>
      <c r="V3" s="3" t="s">
        <v>30</v>
      </c>
      <c r="W3" s="3" t="s">
        <v>38</v>
      </c>
      <c r="X3" s="3" t="s">
        <v>39</v>
      </c>
      <c r="Y3" s="3" t="s">
        <v>40</v>
      </c>
      <c r="Z3" s="3" t="s">
        <v>41</v>
      </c>
      <c r="AA3" s="3" t="s">
        <v>42</v>
      </c>
      <c r="AB3" s="3" t="s">
        <v>43</v>
      </c>
      <c r="AC3" s="3" t="s">
        <v>31</v>
      </c>
      <c r="AD3" s="3">
        <v>0</v>
      </c>
    </row>
    <row r="4" spans="1:30" x14ac:dyDescent="0.3">
      <c r="A4" s="3">
        <v>14</v>
      </c>
      <c r="B4" s="3" t="s">
        <v>29</v>
      </c>
      <c r="C4" s="3" t="s">
        <v>186</v>
      </c>
      <c r="D4" s="3" t="s">
        <v>31</v>
      </c>
      <c r="E4" s="3" t="s">
        <v>32</v>
      </c>
      <c r="F4" s="12">
        <v>43465</v>
      </c>
      <c r="G4" s="3">
        <f t="shared" ref="G4:G13" si="3">YEAR(F4)</f>
        <v>2018</v>
      </c>
      <c r="H4" s="3" t="str">
        <f t="shared" si="0"/>
        <v>Diciembre</v>
      </c>
      <c r="I4" s="3" t="str">
        <f t="shared" si="1"/>
        <v>2018-2</v>
      </c>
      <c r="J4" s="3"/>
      <c r="K4" s="3"/>
      <c r="L4" s="11">
        <v>50701</v>
      </c>
      <c r="M4" s="3"/>
      <c r="N4" s="3"/>
      <c r="O4" s="3" t="s">
        <v>35</v>
      </c>
      <c r="P4" s="3" t="s">
        <v>35</v>
      </c>
      <c r="Q4" s="3" t="str">
        <f t="shared" si="2"/>
        <v>14-2018-12-31</v>
      </c>
      <c r="R4" s="3">
        <v>0</v>
      </c>
      <c r="S4" s="3">
        <v>0</v>
      </c>
      <c r="T4" s="3" t="s">
        <v>443</v>
      </c>
      <c r="U4" s="3" t="s">
        <v>37</v>
      </c>
      <c r="V4" s="3" t="s">
        <v>30</v>
      </c>
      <c r="W4" s="3" t="s">
        <v>38</v>
      </c>
      <c r="X4" s="3" t="s">
        <v>39</v>
      </c>
      <c r="Y4" s="3" t="s">
        <v>40</v>
      </c>
      <c r="Z4" s="3" t="s">
        <v>41</v>
      </c>
      <c r="AA4" s="3" t="s">
        <v>42</v>
      </c>
      <c r="AB4" s="3" t="s">
        <v>43</v>
      </c>
      <c r="AC4" s="3" t="s">
        <v>31</v>
      </c>
      <c r="AD4" s="3">
        <v>0</v>
      </c>
    </row>
    <row r="5" spans="1:30" x14ac:dyDescent="0.3">
      <c r="A5" s="3">
        <v>14</v>
      </c>
      <c r="B5" s="3" t="s">
        <v>29</v>
      </c>
      <c r="C5" s="3" t="s">
        <v>30</v>
      </c>
      <c r="D5" s="3" t="s">
        <v>31</v>
      </c>
      <c r="E5" s="3" t="s">
        <v>32</v>
      </c>
      <c r="F5" s="12">
        <v>43646</v>
      </c>
      <c r="G5" s="3">
        <f t="shared" si="3"/>
        <v>2019</v>
      </c>
      <c r="H5" s="3" t="str">
        <f t="shared" si="0"/>
        <v>Junio</v>
      </c>
      <c r="I5" s="3" t="str">
        <f t="shared" si="1"/>
        <v>2019-1</v>
      </c>
      <c r="J5" s="3">
        <v>1</v>
      </c>
      <c r="K5" s="3"/>
      <c r="L5" s="11">
        <v>54495</v>
      </c>
      <c r="M5" s="3"/>
      <c r="N5" s="3"/>
      <c r="O5" s="3" t="s">
        <v>35</v>
      </c>
      <c r="P5" s="3" t="s">
        <v>35</v>
      </c>
      <c r="Q5" s="3" t="str">
        <f t="shared" si="2"/>
        <v>14-2019-06-30</v>
      </c>
      <c r="R5" s="3">
        <v>0</v>
      </c>
      <c r="S5" s="3">
        <v>0</v>
      </c>
      <c r="T5" s="3" t="s">
        <v>31</v>
      </c>
      <c r="U5" s="3" t="s">
        <v>37</v>
      </c>
      <c r="V5" s="3" t="s">
        <v>30</v>
      </c>
      <c r="W5" s="3" t="s">
        <v>38</v>
      </c>
      <c r="X5" s="3" t="s">
        <v>39</v>
      </c>
      <c r="Y5" s="3" t="s">
        <v>40</v>
      </c>
      <c r="Z5" s="3" t="s">
        <v>41</v>
      </c>
      <c r="AA5" s="3" t="s">
        <v>42</v>
      </c>
      <c r="AB5" s="3" t="s">
        <v>43</v>
      </c>
      <c r="AC5" s="3" t="s">
        <v>31</v>
      </c>
      <c r="AD5" s="3">
        <v>0</v>
      </c>
    </row>
    <row r="6" spans="1:30" x14ac:dyDescent="0.3">
      <c r="A6" s="3">
        <v>14</v>
      </c>
      <c r="B6" s="3" t="s">
        <v>29</v>
      </c>
      <c r="C6" s="3" t="s">
        <v>186</v>
      </c>
      <c r="D6" s="3" t="s">
        <v>31</v>
      </c>
      <c r="E6" s="3" t="s">
        <v>32</v>
      </c>
      <c r="F6" s="12">
        <v>43830</v>
      </c>
      <c r="G6" s="3">
        <f t="shared" si="3"/>
        <v>2019</v>
      </c>
      <c r="H6" s="3" t="str">
        <f t="shared" si="0"/>
        <v>Diciembre</v>
      </c>
      <c r="I6" s="3" t="str">
        <f t="shared" si="1"/>
        <v>2019-2</v>
      </c>
      <c r="J6" s="3">
        <v>2</v>
      </c>
      <c r="K6" s="3"/>
      <c r="L6" s="11">
        <v>53197</v>
      </c>
      <c r="M6" s="3"/>
      <c r="N6" s="3"/>
      <c r="O6" s="3" t="s">
        <v>35</v>
      </c>
      <c r="P6" s="3" t="s">
        <v>35</v>
      </c>
      <c r="Q6" s="3" t="str">
        <f t="shared" si="2"/>
        <v>14-2019-12-31</v>
      </c>
      <c r="R6" s="3">
        <v>0</v>
      </c>
      <c r="S6" s="3">
        <v>0</v>
      </c>
      <c r="T6" s="3" t="s">
        <v>31</v>
      </c>
      <c r="U6" s="3" t="s">
        <v>37</v>
      </c>
      <c r="V6" s="3" t="s">
        <v>30</v>
      </c>
      <c r="W6" s="3" t="s">
        <v>38</v>
      </c>
      <c r="X6" s="3" t="s">
        <v>39</v>
      </c>
      <c r="Y6" s="3" t="s">
        <v>40</v>
      </c>
      <c r="Z6" s="3" t="s">
        <v>41</v>
      </c>
      <c r="AA6" s="3" t="s">
        <v>42</v>
      </c>
      <c r="AB6" s="3" t="s">
        <v>43</v>
      </c>
      <c r="AC6" s="3" t="s">
        <v>31</v>
      </c>
      <c r="AD6" s="3">
        <v>0</v>
      </c>
    </row>
    <row r="7" spans="1:30" x14ac:dyDescent="0.3">
      <c r="A7" s="3">
        <v>14</v>
      </c>
      <c r="B7" s="3" t="s">
        <v>29</v>
      </c>
      <c r="C7" s="3" t="s">
        <v>186</v>
      </c>
      <c r="D7" s="3" t="s">
        <v>31</v>
      </c>
      <c r="E7" s="3" t="s">
        <v>32</v>
      </c>
      <c r="F7" s="12">
        <v>43830</v>
      </c>
      <c r="G7" s="3">
        <f t="shared" si="3"/>
        <v>2019</v>
      </c>
      <c r="H7" s="3" t="str">
        <f t="shared" si="0"/>
        <v>Diciembre</v>
      </c>
      <c r="I7" s="3" t="str">
        <f t="shared" si="1"/>
        <v>2019-2</v>
      </c>
      <c r="J7" s="3"/>
      <c r="K7" s="3"/>
      <c r="L7" s="11">
        <v>53197</v>
      </c>
      <c r="M7" s="3"/>
      <c r="N7" s="3"/>
      <c r="O7" s="3" t="s">
        <v>35</v>
      </c>
      <c r="P7" s="3" t="s">
        <v>35</v>
      </c>
      <c r="Q7" s="3" t="str">
        <f t="shared" si="2"/>
        <v>14-2019-12-31</v>
      </c>
      <c r="R7" s="3">
        <v>0</v>
      </c>
      <c r="S7" s="3">
        <v>0</v>
      </c>
      <c r="T7" s="3" t="s">
        <v>443</v>
      </c>
      <c r="U7" s="3" t="s">
        <v>37</v>
      </c>
      <c r="V7" s="3" t="s">
        <v>30</v>
      </c>
      <c r="W7" s="3" t="s">
        <v>38</v>
      </c>
      <c r="X7" s="3" t="s">
        <v>39</v>
      </c>
      <c r="Y7" s="3" t="s">
        <v>40</v>
      </c>
      <c r="Z7" s="3" t="s">
        <v>41</v>
      </c>
      <c r="AA7" s="3" t="s">
        <v>42</v>
      </c>
      <c r="AB7" s="3" t="s">
        <v>43</v>
      </c>
      <c r="AC7" s="3" t="s">
        <v>31</v>
      </c>
      <c r="AD7" s="3">
        <v>0</v>
      </c>
    </row>
    <row r="8" spans="1:30" x14ac:dyDescent="0.3">
      <c r="A8" s="3">
        <v>14</v>
      </c>
      <c r="B8" s="3" t="s">
        <v>29</v>
      </c>
      <c r="C8" s="3" t="s">
        <v>30</v>
      </c>
      <c r="D8" s="3" t="s">
        <v>31</v>
      </c>
      <c r="E8" s="3" t="s">
        <v>32</v>
      </c>
      <c r="F8" s="12">
        <v>44012</v>
      </c>
      <c r="G8" s="3">
        <f t="shared" si="3"/>
        <v>2020</v>
      </c>
      <c r="H8" s="3" t="str">
        <f t="shared" si="0"/>
        <v>Junio</v>
      </c>
      <c r="I8" s="3" t="str">
        <f t="shared" si="1"/>
        <v>2020-1</v>
      </c>
      <c r="J8" s="3">
        <v>1</v>
      </c>
      <c r="K8" s="3"/>
      <c r="L8" s="11">
        <v>55541</v>
      </c>
      <c r="M8" s="3"/>
      <c r="N8" s="3"/>
      <c r="O8" s="3" t="s">
        <v>35</v>
      </c>
      <c r="P8" s="3" t="s">
        <v>35</v>
      </c>
      <c r="Q8" s="3" t="str">
        <f t="shared" si="2"/>
        <v>14-2020-06-30</v>
      </c>
      <c r="R8" s="3">
        <v>0</v>
      </c>
      <c r="S8" s="3">
        <v>0</v>
      </c>
      <c r="T8" s="3" t="s">
        <v>31</v>
      </c>
      <c r="U8" s="3" t="s">
        <v>37</v>
      </c>
      <c r="V8" s="3" t="s">
        <v>30</v>
      </c>
      <c r="W8" s="3" t="s">
        <v>38</v>
      </c>
      <c r="X8" s="3" t="s">
        <v>39</v>
      </c>
      <c r="Y8" s="3" t="s">
        <v>40</v>
      </c>
      <c r="Z8" s="3" t="s">
        <v>41</v>
      </c>
      <c r="AA8" s="3" t="s">
        <v>42</v>
      </c>
      <c r="AB8" s="3" t="s">
        <v>43</v>
      </c>
      <c r="AC8" s="3" t="s">
        <v>31</v>
      </c>
      <c r="AD8" s="3">
        <v>0</v>
      </c>
    </row>
    <row r="9" spans="1:30" x14ac:dyDescent="0.3">
      <c r="A9" s="3">
        <v>14</v>
      </c>
      <c r="B9" s="3" t="s">
        <v>29</v>
      </c>
      <c r="C9" s="3" t="s">
        <v>186</v>
      </c>
      <c r="D9" s="3" t="s">
        <v>31</v>
      </c>
      <c r="E9" s="3" t="s">
        <v>32</v>
      </c>
      <c r="F9" s="12">
        <v>44196</v>
      </c>
      <c r="G9" s="3">
        <f t="shared" si="3"/>
        <v>2020</v>
      </c>
      <c r="H9" s="3" t="str">
        <f t="shared" si="0"/>
        <v>Diciembre</v>
      </c>
      <c r="I9" s="3" t="str">
        <f t="shared" si="1"/>
        <v>2020-2</v>
      </c>
      <c r="J9" s="3">
        <v>2</v>
      </c>
      <c r="K9" s="3"/>
      <c r="L9" s="11">
        <v>51195</v>
      </c>
      <c r="M9" s="3"/>
      <c r="N9" s="3"/>
      <c r="O9" s="3" t="s">
        <v>35</v>
      </c>
      <c r="P9" s="3" t="s">
        <v>35</v>
      </c>
      <c r="Q9" s="3" t="str">
        <f t="shared" si="2"/>
        <v>14-2020-12-31</v>
      </c>
      <c r="R9" s="3">
        <v>0</v>
      </c>
      <c r="S9" s="3">
        <v>0</v>
      </c>
      <c r="T9" s="3" t="s">
        <v>31</v>
      </c>
      <c r="U9" s="3" t="s">
        <v>37</v>
      </c>
      <c r="V9" s="3" t="s">
        <v>30</v>
      </c>
      <c r="W9" s="3" t="s">
        <v>38</v>
      </c>
      <c r="X9" s="3" t="s">
        <v>39</v>
      </c>
      <c r="Y9" s="3" t="s">
        <v>40</v>
      </c>
      <c r="Z9" s="3" t="s">
        <v>41</v>
      </c>
      <c r="AA9" s="3" t="s">
        <v>42</v>
      </c>
      <c r="AB9" s="3" t="s">
        <v>43</v>
      </c>
      <c r="AC9" s="3" t="s">
        <v>31</v>
      </c>
      <c r="AD9" s="3">
        <v>0</v>
      </c>
    </row>
    <row r="10" spans="1:30" x14ac:dyDescent="0.3">
      <c r="A10" s="3">
        <v>14</v>
      </c>
      <c r="B10" s="3" t="s">
        <v>29</v>
      </c>
      <c r="C10" s="3" t="s">
        <v>186</v>
      </c>
      <c r="D10" s="3" t="s">
        <v>31</v>
      </c>
      <c r="E10" s="3" t="s">
        <v>32</v>
      </c>
      <c r="F10" s="12">
        <v>44196</v>
      </c>
      <c r="G10" s="3">
        <f t="shared" si="3"/>
        <v>2020</v>
      </c>
      <c r="H10" s="3" t="str">
        <f t="shared" si="0"/>
        <v>Diciembre</v>
      </c>
      <c r="I10" s="3" t="str">
        <f t="shared" si="1"/>
        <v>2020-2</v>
      </c>
      <c r="J10" s="3"/>
      <c r="K10" s="3"/>
      <c r="L10" s="11">
        <v>51195</v>
      </c>
      <c r="M10" s="3"/>
      <c r="N10" s="3"/>
      <c r="O10" s="3" t="s">
        <v>35</v>
      </c>
      <c r="P10" s="3" t="s">
        <v>35</v>
      </c>
      <c r="Q10" s="3" t="str">
        <f t="shared" si="2"/>
        <v>14-2020-12-31</v>
      </c>
      <c r="R10" s="3">
        <v>0</v>
      </c>
      <c r="S10" s="3">
        <v>0</v>
      </c>
      <c r="T10" s="3" t="s">
        <v>443</v>
      </c>
      <c r="U10" s="3" t="s">
        <v>37</v>
      </c>
      <c r="V10" s="3" t="s">
        <v>30</v>
      </c>
      <c r="W10" s="3" t="s">
        <v>38</v>
      </c>
      <c r="X10" s="3" t="s">
        <v>39</v>
      </c>
      <c r="Y10" s="3" t="s">
        <v>40</v>
      </c>
      <c r="Z10" s="3" t="s">
        <v>41</v>
      </c>
      <c r="AA10" s="3" t="s">
        <v>42</v>
      </c>
      <c r="AB10" s="3" t="s">
        <v>43</v>
      </c>
      <c r="AC10" s="3" t="s">
        <v>31</v>
      </c>
      <c r="AD10" s="3">
        <v>0</v>
      </c>
    </row>
    <row r="11" spans="1:30" x14ac:dyDescent="0.3">
      <c r="A11" s="3">
        <v>14</v>
      </c>
      <c r="B11" s="3" t="s">
        <v>29</v>
      </c>
      <c r="C11" s="3" t="s">
        <v>30</v>
      </c>
      <c r="D11" s="3" t="s">
        <v>31</v>
      </c>
      <c r="E11" s="3" t="s">
        <v>32</v>
      </c>
      <c r="F11" s="12">
        <v>44377</v>
      </c>
      <c r="G11" s="3">
        <f t="shared" si="3"/>
        <v>2021</v>
      </c>
      <c r="H11" s="3" t="str">
        <f t="shared" si="0"/>
        <v>Junio</v>
      </c>
      <c r="I11" s="3" t="str">
        <f t="shared" si="1"/>
        <v>2021-1</v>
      </c>
      <c r="J11" s="3">
        <v>1</v>
      </c>
      <c r="K11" s="3"/>
      <c r="L11" s="11">
        <v>51694</v>
      </c>
      <c r="M11" s="3"/>
      <c r="N11" s="3"/>
      <c r="O11" s="3" t="s">
        <v>35</v>
      </c>
      <c r="P11" s="3" t="s">
        <v>35</v>
      </c>
      <c r="Q11" s="3" t="str">
        <f t="shared" si="2"/>
        <v>14-2021-06-30</v>
      </c>
      <c r="R11" s="3">
        <v>0</v>
      </c>
      <c r="S11" s="3">
        <v>0</v>
      </c>
      <c r="T11" s="3" t="s">
        <v>31</v>
      </c>
      <c r="U11" s="3" t="s">
        <v>37</v>
      </c>
      <c r="V11" s="3" t="s">
        <v>30</v>
      </c>
      <c r="W11" s="3" t="s">
        <v>38</v>
      </c>
      <c r="X11" s="3" t="s">
        <v>39</v>
      </c>
      <c r="Y11" s="3" t="s">
        <v>40</v>
      </c>
      <c r="Z11" s="3" t="s">
        <v>41</v>
      </c>
      <c r="AA11" s="3" t="s">
        <v>42</v>
      </c>
      <c r="AB11" s="3" t="s">
        <v>43</v>
      </c>
      <c r="AC11" s="3" t="s">
        <v>31</v>
      </c>
      <c r="AD11" s="3">
        <v>0</v>
      </c>
    </row>
    <row r="12" spans="1:30" x14ac:dyDescent="0.3">
      <c r="A12" s="3">
        <v>14</v>
      </c>
      <c r="B12" s="3" t="s">
        <v>29</v>
      </c>
      <c r="C12" s="3" t="s">
        <v>186</v>
      </c>
      <c r="D12" s="3" t="s">
        <v>31</v>
      </c>
      <c r="E12" s="3" t="s">
        <v>32</v>
      </c>
      <c r="F12" s="12">
        <v>44561</v>
      </c>
      <c r="G12" s="3">
        <f t="shared" si="3"/>
        <v>2021</v>
      </c>
      <c r="H12" s="3" t="str">
        <f t="shared" si="0"/>
        <v>Diciembre</v>
      </c>
      <c r="I12" s="3" t="str">
        <f t="shared" si="1"/>
        <v>2021-2</v>
      </c>
      <c r="J12" s="3">
        <v>2</v>
      </c>
      <c r="K12" s="3"/>
      <c r="L12" s="11">
        <v>49166</v>
      </c>
      <c r="M12" s="3"/>
      <c r="N12" s="3"/>
      <c r="O12" s="3" t="s">
        <v>35</v>
      </c>
      <c r="P12" s="3" t="s">
        <v>35</v>
      </c>
      <c r="Q12" s="3" t="str">
        <f t="shared" si="2"/>
        <v>14-2021-12-31</v>
      </c>
      <c r="R12" s="3">
        <v>0</v>
      </c>
      <c r="S12" s="3">
        <v>0</v>
      </c>
      <c r="T12" s="3" t="s">
        <v>31</v>
      </c>
      <c r="U12" s="3" t="s">
        <v>37</v>
      </c>
      <c r="V12" s="3" t="s">
        <v>30</v>
      </c>
      <c r="W12" s="3" t="s">
        <v>38</v>
      </c>
      <c r="X12" s="3" t="s">
        <v>39</v>
      </c>
      <c r="Y12" s="3" t="s">
        <v>40</v>
      </c>
      <c r="Z12" s="3" t="s">
        <v>41</v>
      </c>
      <c r="AA12" s="3" t="s">
        <v>42</v>
      </c>
      <c r="AB12" s="3" t="s">
        <v>43</v>
      </c>
      <c r="AC12" s="3" t="s">
        <v>31</v>
      </c>
      <c r="AD12" s="3">
        <v>0</v>
      </c>
    </row>
    <row r="13" spans="1:30" x14ac:dyDescent="0.3">
      <c r="A13" s="3">
        <v>14</v>
      </c>
      <c r="B13" s="3" t="s">
        <v>29</v>
      </c>
      <c r="C13" s="3" t="s">
        <v>186</v>
      </c>
      <c r="D13" s="3" t="s">
        <v>31</v>
      </c>
      <c r="E13" s="3" t="s">
        <v>32</v>
      </c>
      <c r="F13" s="12">
        <v>44561</v>
      </c>
      <c r="G13" s="3">
        <f t="shared" si="3"/>
        <v>2021</v>
      </c>
      <c r="H13" s="3" t="str">
        <f t="shared" si="0"/>
        <v>Diciembre</v>
      </c>
      <c r="I13" s="3" t="str">
        <f t="shared" si="1"/>
        <v>2021-2</v>
      </c>
      <c r="J13" s="3"/>
      <c r="K13" s="3"/>
      <c r="L13" s="11">
        <v>49166</v>
      </c>
      <c r="M13" s="3"/>
      <c r="N13" s="3"/>
      <c r="O13" s="3" t="s">
        <v>35</v>
      </c>
      <c r="P13" s="3" t="s">
        <v>35</v>
      </c>
      <c r="Q13" s="3" t="str">
        <f t="shared" si="2"/>
        <v>14-2021-12-31</v>
      </c>
      <c r="R13" s="3">
        <v>0</v>
      </c>
      <c r="S13" s="3">
        <v>0</v>
      </c>
      <c r="T13" s="3" t="s">
        <v>443</v>
      </c>
      <c r="U13" s="3" t="s">
        <v>37</v>
      </c>
      <c r="V13" s="3" t="s">
        <v>30</v>
      </c>
      <c r="W13" s="3" t="s">
        <v>38</v>
      </c>
      <c r="X13" s="3" t="s">
        <v>39</v>
      </c>
      <c r="Y13" s="3" t="s">
        <v>40</v>
      </c>
      <c r="Z13" s="3" t="s">
        <v>41</v>
      </c>
      <c r="AA13" s="3" t="s">
        <v>42</v>
      </c>
      <c r="AB13" s="3" t="s">
        <v>43</v>
      </c>
      <c r="AC13" s="3" t="s">
        <v>31</v>
      </c>
      <c r="AD13" s="3">
        <v>0</v>
      </c>
    </row>
    <row r="14" spans="1:30" x14ac:dyDescent="0.3">
      <c r="A14" s="3">
        <v>14</v>
      </c>
      <c r="B14" s="3" t="s">
        <v>29</v>
      </c>
      <c r="C14" s="3" t="s">
        <v>30</v>
      </c>
      <c r="D14" s="3" t="s">
        <v>31</v>
      </c>
      <c r="E14" s="3" t="s">
        <v>32</v>
      </c>
      <c r="F14" s="12">
        <v>44742</v>
      </c>
      <c r="G14" s="3">
        <v>2022</v>
      </c>
      <c r="H14" s="3" t="s">
        <v>33</v>
      </c>
      <c r="I14" s="3" t="s">
        <v>34</v>
      </c>
      <c r="J14" s="3">
        <v>1</v>
      </c>
      <c r="K14" s="3">
        <v>49004</v>
      </c>
      <c r="L14" s="3">
        <v>51012</v>
      </c>
      <c r="M14" s="3">
        <v>1.040976246836993</v>
      </c>
      <c r="N14" s="3">
        <v>1.040976246836993</v>
      </c>
      <c r="O14" s="3" t="s">
        <v>35</v>
      </c>
      <c r="P14" s="3" t="s">
        <v>35</v>
      </c>
      <c r="Q14" s="3" t="str">
        <f t="shared" si="2"/>
        <v>14-2022-06-30</v>
      </c>
      <c r="R14" s="3">
        <v>0</v>
      </c>
      <c r="S14" s="3">
        <v>0</v>
      </c>
      <c r="T14" s="3" t="s">
        <v>31</v>
      </c>
      <c r="U14" s="3" t="s">
        <v>37</v>
      </c>
      <c r="V14" s="3" t="s">
        <v>30</v>
      </c>
      <c r="W14" s="3" t="s">
        <v>38</v>
      </c>
      <c r="X14" s="3" t="s">
        <v>39</v>
      </c>
      <c r="Y14" s="3" t="s">
        <v>40</v>
      </c>
      <c r="Z14" s="3" t="s">
        <v>41</v>
      </c>
      <c r="AA14" s="3" t="s">
        <v>42</v>
      </c>
      <c r="AB14" s="3" t="s">
        <v>43</v>
      </c>
      <c r="AC14" s="3" t="s">
        <v>31</v>
      </c>
      <c r="AD14" s="3">
        <v>0</v>
      </c>
    </row>
    <row r="15" spans="1:30" x14ac:dyDescent="0.3">
      <c r="A15" s="3">
        <v>14</v>
      </c>
      <c r="B15" s="3" t="s">
        <v>29</v>
      </c>
      <c r="C15" s="3" t="s">
        <v>30</v>
      </c>
      <c r="D15" s="3" t="s">
        <v>31</v>
      </c>
      <c r="E15" s="3" t="s">
        <v>32</v>
      </c>
      <c r="F15" s="12">
        <v>44926</v>
      </c>
      <c r="G15" s="3">
        <v>2022</v>
      </c>
      <c r="H15" s="3" t="s">
        <v>44</v>
      </c>
      <c r="I15" s="3" t="s">
        <v>45</v>
      </c>
      <c r="J15" s="3">
        <v>2</v>
      </c>
      <c r="K15" s="3">
        <v>50430</v>
      </c>
      <c r="L15" s="3">
        <v>50241</v>
      </c>
      <c r="M15" s="3">
        <v>0.99625223081499104</v>
      </c>
      <c r="N15" s="3">
        <v>0.99625223081499104</v>
      </c>
      <c r="O15" s="3" t="s">
        <v>35</v>
      </c>
      <c r="P15" s="3" t="s">
        <v>35</v>
      </c>
      <c r="Q15" s="3" t="str">
        <f t="shared" si="2"/>
        <v>14-2022-12-31</v>
      </c>
      <c r="R15" s="3">
        <v>0</v>
      </c>
      <c r="S15" s="3">
        <v>0</v>
      </c>
      <c r="T15" s="3" t="s">
        <v>31</v>
      </c>
      <c r="U15" s="3" t="s">
        <v>37</v>
      </c>
      <c r="V15" s="3" t="s">
        <v>30</v>
      </c>
      <c r="W15" s="3" t="s">
        <v>38</v>
      </c>
      <c r="X15" s="3" t="s">
        <v>39</v>
      </c>
      <c r="Y15" s="3" t="s">
        <v>40</v>
      </c>
      <c r="Z15" s="3" t="s">
        <v>41</v>
      </c>
      <c r="AA15" s="3" t="s">
        <v>42</v>
      </c>
      <c r="AB15" s="3" t="s">
        <v>43</v>
      </c>
      <c r="AC15" s="3" t="s">
        <v>31</v>
      </c>
      <c r="AD15" s="3">
        <v>0</v>
      </c>
    </row>
    <row r="16" spans="1:30" x14ac:dyDescent="0.3">
      <c r="A16" s="3">
        <v>14</v>
      </c>
      <c r="B16" s="3" t="s">
        <v>29</v>
      </c>
      <c r="C16" s="3" t="s">
        <v>186</v>
      </c>
      <c r="D16" s="3" t="s">
        <v>31</v>
      </c>
      <c r="E16" s="3" t="s">
        <v>32</v>
      </c>
      <c r="F16" s="12">
        <v>44926</v>
      </c>
      <c r="G16" s="3">
        <v>2022</v>
      </c>
      <c r="H16" s="3" t="s">
        <v>44</v>
      </c>
      <c r="I16" s="3" t="s">
        <v>45</v>
      </c>
      <c r="J16" s="3"/>
      <c r="K16" s="3">
        <v>50430</v>
      </c>
      <c r="L16" s="3">
        <v>50241</v>
      </c>
      <c r="M16" s="3">
        <v>0.99625223081499104</v>
      </c>
      <c r="N16" s="3">
        <v>0.99625223081499104</v>
      </c>
      <c r="O16" s="3" t="s">
        <v>35</v>
      </c>
      <c r="P16" s="3" t="s">
        <v>35</v>
      </c>
      <c r="Q16" s="3" t="str">
        <f t="shared" si="2"/>
        <v>14-2022-12-31</v>
      </c>
      <c r="R16" s="3">
        <v>0</v>
      </c>
      <c r="S16" s="3">
        <v>0</v>
      </c>
      <c r="T16" s="3" t="s">
        <v>443</v>
      </c>
      <c r="U16" s="3" t="s">
        <v>37</v>
      </c>
      <c r="V16" s="3" t="s">
        <v>30</v>
      </c>
      <c r="W16" s="3" t="s">
        <v>38</v>
      </c>
      <c r="X16" s="3" t="s">
        <v>39</v>
      </c>
      <c r="Y16" s="3" t="s">
        <v>40</v>
      </c>
      <c r="Z16" s="3" t="s">
        <v>41</v>
      </c>
      <c r="AA16" s="3" t="s">
        <v>42</v>
      </c>
      <c r="AB16" s="3" t="s">
        <v>43</v>
      </c>
      <c r="AC16" s="3" t="s">
        <v>31</v>
      </c>
      <c r="AD16" s="3">
        <v>0</v>
      </c>
    </row>
    <row r="17" spans="1:30" x14ac:dyDescent="0.3">
      <c r="A17" s="3">
        <v>14</v>
      </c>
      <c r="B17" s="3" t="s">
        <v>29</v>
      </c>
      <c r="C17" s="3" t="s">
        <v>30</v>
      </c>
      <c r="D17" s="3" t="s">
        <v>31</v>
      </c>
      <c r="E17" s="3" t="s">
        <v>32</v>
      </c>
      <c r="F17" s="12">
        <v>45107</v>
      </c>
      <c r="G17" s="3">
        <v>2023</v>
      </c>
      <c r="H17" s="3" t="s">
        <v>33</v>
      </c>
      <c r="I17" s="3" t="s">
        <v>47</v>
      </c>
      <c r="J17" s="3">
        <v>1</v>
      </c>
      <c r="K17" s="3">
        <v>52177</v>
      </c>
      <c r="L17" s="3">
        <v>51473</v>
      </c>
      <c r="M17" s="3">
        <v>0.98650746497498898</v>
      </c>
      <c r="N17" s="3">
        <v>0.98650746497498898</v>
      </c>
      <c r="O17" s="3" t="s">
        <v>35</v>
      </c>
      <c r="P17" s="3" t="s">
        <v>35</v>
      </c>
      <c r="Q17" s="3" t="str">
        <f t="shared" si="2"/>
        <v>14-2023-06-30</v>
      </c>
      <c r="R17" s="3">
        <v>0</v>
      </c>
      <c r="S17" s="3">
        <v>0</v>
      </c>
      <c r="T17" s="3" t="s">
        <v>31</v>
      </c>
      <c r="U17" s="3" t="s">
        <v>37</v>
      </c>
      <c r="V17" s="3" t="s">
        <v>30</v>
      </c>
      <c r="W17" s="3" t="s">
        <v>38</v>
      </c>
      <c r="X17" s="3" t="s">
        <v>39</v>
      </c>
      <c r="Y17" s="3" t="s">
        <v>40</v>
      </c>
      <c r="Z17" s="3" t="s">
        <v>41</v>
      </c>
      <c r="AA17" s="3" t="s">
        <v>42</v>
      </c>
      <c r="AB17" s="3" t="s">
        <v>43</v>
      </c>
      <c r="AC17" s="3" t="s">
        <v>31</v>
      </c>
      <c r="AD17" s="3">
        <v>0</v>
      </c>
    </row>
    <row r="18" spans="1:30" x14ac:dyDescent="0.3">
      <c r="A18" s="3">
        <v>14</v>
      </c>
      <c r="B18" s="3" t="s">
        <v>29</v>
      </c>
      <c r="C18" s="3" t="s">
        <v>30</v>
      </c>
      <c r="D18" s="3" t="s">
        <v>31</v>
      </c>
      <c r="E18" s="3" t="s">
        <v>32</v>
      </c>
      <c r="F18" s="12">
        <v>45291</v>
      </c>
      <c r="G18" s="3">
        <v>2023</v>
      </c>
      <c r="H18" s="3" t="s">
        <v>44</v>
      </c>
      <c r="I18" s="3" t="s">
        <v>49</v>
      </c>
      <c r="J18" s="3">
        <v>2</v>
      </c>
      <c r="K18" s="3">
        <v>51687</v>
      </c>
      <c r="L18" s="3">
        <v>51375</v>
      </c>
      <c r="M18" s="3">
        <v>0.99396366591212493</v>
      </c>
      <c r="N18" s="3">
        <v>0.99396366591212493</v>
      </c>
      <c r="O18" s="3" t="s">
        <v>35</v>
      </c>
      <c r="P18" s="3" t="s">
        <v>35</v>
      </c>
      <c r="Q18" s="3" t="str">
        <f t="shared" si="2"/>
        <v>14-2023-12-31</v>
      </c>
      <c r="R18" s="3">
        <v>0</v>
      </c>
      <c r="S18" s="3">
        <v>0</v>
      </c>
      <c r="T18" s="3" t="s">
        <v>31</v>
      </c>
      <c r="U18" s="3" t="s">
        <v>37</v>
      </c>
      <c r="V18" s="3" t="s">
        <v>30</v>
      </c>
      <c r="W18" s="3" t="s">
        <v>38</v>
      </c>
      <c r="X18" s="3" t="s">
        <v>39</v>
      </c>
      <c r="Y18" s="3" t="s">
        <v>40</v>
      </c>
      <c r="Z18" s="3" t="s">
        <v>41</v>
      </c>
      <c r="AA18" s="3" t="s">
        <v>42</v>
      </c>
      <c r="AB18" s="3" t="s">
        <v>43</v>
      </c>
      <c r="AC18" s="3" t="s">
        <v>31</v>
      </c>
      <c r="AD18" s="3">
        <v>0</v>
      </c>
    </row>
    <row r="19" spans="1:30" x14ac:dyDescent="0.3">
      <c r="A19" s="3">
        <v>14</v>
      </c>
      <c r="B19" s="3" t="s">
        <v>29</v>
      </c>
      <c r="C19" s="3" t="s">
        <v>186</v>
      </c>
      <c r="D19" s="3" t="s">
        <v>31</v>
      </c>
      <c r="E19" s="3" t="s">
        <v>32</v>
      </c>
      <c r="F19" s="12">
        <v>45291</v>
      </c>
      <c r="G19" s="3">
        <v>2023</v>
      </c>
      <c r="H19" s="3" t="s">
        <v>44</v>
      </c>
      <c r="I19" s="3" t="s">
        <v>49</v>
      </c>
      <c r="J19" s="3"/>
      <c r="K19" s="3">
        <v>51687</v>
      </c>
      <c r="L19" s="3">
        <v>51375</v>
      </c>
      <c r="M19" s="3">
        <v>0.99396366591212493</v>
      </c>
      <c r="N19" s="3">
        <v>0.99396366591212493</v>
      </c>
      <c r="O19" s="3" t="s">
        <v>35</v>
      </c>
      <c r="P19" s="3" t="s">
        <v>35</v>
      </c>
      <c r="Q19" s="3" t="str">
        <f t="shared" si="2"/>
        <v>14-2023-12-31</v>
      </c>
      <c r="R19" s="3">
        <v>0</v>
      </c>
      <c r="S19" s="3">
        <v>0</v>
      </c>
      <c r="T19" s="3" t="s">
        <v>443</v>
      </c>
      <c r="U19" s="3" t="s">
        <v>37</v>
      </c>
      <c r="V19" s="3" t="s">
        <v>30</v>
      </c>
      <c r="W19" s="3" t="s">
        <v>38</v>
      </c>
      <c r="X19" s="3" t="s">
        <v>39</v>
      </c>
      <c r="Y19" s="3" t="s">
        <v>40</v>
      </c>
      <c r="Z19" s="3" t="s">
        <v>41</v>
      </c>
      <c r="AA19" s="3" t="s">
        <v>42</v>
      </c>
      <c r="AB19" s="3" t="s">
        <v>43</v>
      </c>
      <c r="AC19" s="3" t="s">
        <v>31</v>
      </c>
      <c r="AD19" s="3">
        <v>0</v>
      </c>
    </row>
    <row r="20" spans="1:30" x14ac:dyDescent="0.3">
      <c r="A20" s="3">
        <v>14</v>
      </c>
      <c r="B20" s="3" t="s">
        <v>29</v>
      </c>
      <c r="C20" s="3" t="s">
        <v>30</v>
      </c>
      <c r="D20" s="3" t="s">
        <v>31</v>
      </c>
      <c r="E20" s="3" t="s">
        <v>32</v>
      </c>
      <c r="F20" s="12">
        <v>45473</v>
      </c>
      <c r="G20" s="3">
        <v>2024</v>
      </c>
      <c r="H20" s="3" t="s">
        <v>33</v>
      </c>
      <c r="I20" s="3" t="s">
        <v>51</v>
      </c>
      <c r="J20" s="3">
        <v>1</v>
      </c>
      <c r="K20" s="3">
        <v>52403.186118801452</v>
      </c>
      <c r="L20" s="3">
        <v>52585</v>
      </c>
      <c r="M20" s="3">
        <v>1.00346951959727</v>
      </c>
      <c r="N20" s="3">
        <v>1.00346951959727</v>
      </c>
      <c r="O20" s="3" t="s">
        <v>35</v>
      </c>
      <c r="P20" s="3" t="s">
        <v>35</v>
      </c>
      <c r="Q20" s="3" t="str">
        <f t="shared" si="2"/>
        <v>14-2024-06-30</v>
      </c>
      <c r="R20" s="3">
        <v>0</v>
      </c>
      <c r="S20" s="3">
        <v>0</v>
      </c>
      <c r="T20" s="3" t="s">
        <v>31</v>
      </c>
      <c r="U20" s="3" t="s">
        <v>37</v>
      </c>
      <c r="V20" s="3" t="s">
        <v>30</v>
      </c>
      <c r="W20" s="3" t="s">
        <v>38</v>
      </c>
      <c r="X20" s="3" t="s">
        <v>39</v>
      </c>
      <c r="Y20" s="3" t="s">
        <v>40</v>
      </c>
      <c r="Z20" s="3" t="s">
        <v>41</v>
      </c>
      <c r="AA20" s="3" t="s">
        <v>42</v>
      </c>
      <c r="AB20" s="3" t="s">
        <v>43</v>
      </c>
      <c r="AC20" s="3" t="s">
        <v>31</v>
      </c>
      <c r="AD20" s="3">
        <v>0</v>
      </c>
    </row>
    <row r="21" spans="1:30" x14ac:dyDescent="0.3">
      <c r="A21" s="3">
        <v>14</v>
      </c>
      <c r="B21" s="3" t="s">
        <v>29</v>
      </c>
      <c r="C21" s="3" t="s">
        <v>30</v>
      </c>
      <c r="D21" s="3" t="s">
        <v>31</v>
      </c>
      <c r="E21" s="3" t="s">
        <v>32</v>
      </c>
      <c r="F21" s="12">
        <v>45657</v>
      </c>
      <c r="G21" s="3">
        <v>2024</v>
      </c>
      <c r="H21" s="3" t="s">
        <v>44</v>
      </c>
      <c r="I21" s="3" t="s">
        <v>53</v>
      </c>
      <c r="J21" s="3">
        <v>2</v>
      </c>
      <c r="K21" s="3">
        <v>51116.334115206948</v>
      </c>
      <c r="L21" s="3">
        <v>52005</v>
      </c>
      <c r="M21" s="3">
        <v>1.017385164647961</v>
      </c>
      <c r="N21" s="3">
        <v>1.017385164647961</v>
      </c>
      <c r="O21" s="3" t="s">
        <v>35</v>
      </c>
      <c r="P21" s="3" t="s">
        <v>35</v>
      </c>
      <c r="Q21" s="3" t="str">
        <f t="shared" si="2"/>
        <v>14-2024-12-31</v>
      </c>
      <c r="R21" s="3">
        <v>0</v>
      </c>
      <c r="S21" s="3">
        <v>0</v>
      </c>
      <c r="T21" s="3" t="s">
        <v>31</v>
      </c>
      <c r="U21" s="3" t="s">
        <v>37</v>
      </c>
      <c r="V21" s="3" t="s">
        <v>30</v>
      </c>
      <c r="W21" s="3" t="s">
        <v>38</v>
      </c>
      <c r="X21" s="3" t="s">
        <v>39</v>
      </c>
      <c r="Y21" s="3" t="s">
        <v>40</v>
      </c>
      <c r="Z21" s="3" t="s">
        <v>41</v>
      </c>
      <c r="AA21" s="3" t="s">
        <v>42</v>
      </c>
      <c r="AB21" s="3" t="s">
        <v>43</v>
      </c>
      <c r="AC21" s="3" t="s">
        <v>31</v>
      </c>
      <c r="AD21" s="3">
        <v>0</v>
      </c>
    </row>
    <row r="22" spans="1:30" x14ac:dyDescent="0.3">
      <c r="A22" s="3">
        <v>14</v>
      </c>
      <c r="B22" s="3" t="s">
        <v>29</v>
      </c>
      <c r="C22" s="3" t="s">
        <v>186</v>
      </c>
      <c r="D22" s="3" t="s">
        <v>31</v>
      </c>
      <c r="E22" s="3" t="s">
        <v>32</v>
      </c>
      <c r="F22" s="12">
        <v>45657</v>
      </c>
      <c r="G22" s="3">
        <v>2024</v>
      </c>
      <c r="H22" s="3" t="s">
        <v>44</v>
      </c>
      <c r="I22" s="3" t="s">
        <v>53</v>
      </c>
      <c r="J22" s="3"/>
      <c r="K22" s="3">
        <v>51116.334115206948</v>
      </c>
      <c r="L22" s="3">
        <v>52005</v>
      </c>
      <c r="M22" s="3">
        <v>1.017385164647961</v>
      </c>
      <c r="N22" s="3">
        <v>1.017385164647961</v>
      </c>
      <c r="O22" s="3" t="s">
        <v>35</v>
      </c>
      <c r="P22" s="3" t="s">
        <v>35</v>
      </c>
      <c r="Q22" s="3" t="str">
        <f t="shared" si="2"/>
        <v>14-2024-12-31</v>
      </c>
      <c r="R22" s="3">
        <v>0</v>
      </c>
      <c r="S22" s="3">
        <v>0</v>
      </c>
      <c r="T22" s="3" t="s">
        <v>443</v>
      </c>
      <c r="U22" s="3" t="s">
        <v>37</v>
      </c>
      <c r="V22" s="3" t="s">
        <v>30</v>
      </c>
      <c r="W22" s="3" t="s">
        <v>38</v>
      </c>
      <c r="X22" s="3" t="s">
        <v>39</v>
      </c>
      <c r="Y22" s="3" t="s">
        <v>40</v>
      </c>
      <c r="Z22" s="3" t="s">
        <v>41</v>
      </c>
      <c r="AA22" s="3" t="s">
        <v>42</v>
      </c>
      <c r="AB22" s="3" t="s">
        <v>43</v>
      </c>
      <c r="AC22" s="3" t="s">
        <v>31</v>
      </c>
      <c r="AD22" s="3">
        <v>0</v>
      </c>
    </row>
    <row r="23" spans="1:30" x14ac:dyDescent="0.3">
      <c r="A23" s="3">
        <v>14</v>
      </c>
      <c r="B23" s="3" t="s">
        <v>29</v>
      </c>
      <c r="C23" s="3" t="s">
        <v>186</v>
      </c>
      <c r="D23" s="3" t="s">
        <v>31</v>
      </c>
      <c r="E23" s="3" t="s">
        <v>32</v>
      </c>
      <c r="F23" s="12">
        <v>45838</v>
      </c>
      <c r="G23" s="3">
        <v>2025</v>
      </c>
      <c r="H23" s="3" t="s">
        <v>33</v>
      </c>
      <c r="I23" s="3" t="s">
        <v>404</v>
      </c>
      <c r="J23" s="3">
        <v>1</v>
      </c>
      <c r="K23" s="3">
        <v>53634</v>
      </c>
      <c r="L23" s="3">
        <v>56505</v>
      </c>
      <c r="M23" s="3">
        <v>1.053509834995805</v>
      </c>
      <c r="N23" s="3">
        <v>1.053509834995805</v>
      </c>
      <c r="O23" s="3" t="s">
        <v>35</v>
      </c>
      <c r="P23" s="3" t="s">
        <v>35</v>
      </c>
      <c r="Q23" s="3" t="str">
        <f t="shared" si="2"/>
        <v>14-2025-06-30</v>
      </c>
      <c r="R23" s="3">
        <v>0</v>
      </c>
      <c r="S23" s="3">
        <v>0</v>
      </c>
      <c r="T23" s="3" t="s">
        <v>31</v>
      </c>
      <c r="U23" s="3" t="s">
        <v>37</v>
      </c>
      <c r="V23" s="3" t="s">
        <v>30</v>
      </c>
      <c r="W23" s="3" t="s">
        <v>38</v>
      </c>
      <c r="X23" s="3" t="s">
        <v>39</v>
      </c>
      <c r="Y23" s="3" t="s">
        <v>40</v>
      </c>
      <c r="Z23" s="3" t="s">
        <v>41</v>
      </c>
      <c r="AA23" s="3" t="s">
        <v>42</v>
      </c>
      <c r="AB23" s="3" t="s">
        <v>43</v>
      </c>
      <c r="AC23" s="3" t="s">
        <v>31</v>
      </c>
      <c r="AD23" s="3">
        <v>0</v>
      </c>
    </row>
    <row r="24" spans="1:30" x14ac:dyDescent="0.3">
      <c r="A24" s="3">
        <v>14</v>
      </c>
      <c r="B24" s="3" t="s">
        <v>29</v>
      </c>
      <c r="C24" s="3" t="s">
        <v>186</v>
      </c>
      <c r="D24" s="3" t="s">
        <v>31</v>
      </c>
      <c r="E24" s="3" t="s">
        <v>32</v>
      </c>
      <c r="F24" s="12">
        <v>46022</v>
      </c>
      <c r="G24" s="3">
        <v>2025</v>
      </c>
      <c r="H24" s="3" t="s">
        <v>44</v>
      </c>
      <c r="I24" s="3" t="s">
        <v>465</v>
      </c>
      <c r="J24" s="3">
        <v>2</v>
      </c>
      <c r="K24" s="3">
        <v>55756</v>
      </c>
      <c r="L24" s="11">
        <v>56931</v>
      </c>
      <c r="M24" s="3">
        <f>+L24/K24</f>
        <v>1.0210739651337972</v>
      </c>
      <c r="N24" s="3">
        <f>+L24/K24</f>
        <v>1.0210739651337972</v>
      </c>
      <c r="O24" s="3" t="s">
        <v>35</v>
      </c>
      <c r="P24" s="3" t="s">
        <v>35</v>
      </c>
      <c r="Q24" s="3" t="str">
        <f t="shared" si="2"/>
        <v>14-2025-12-31</v>
      </c>
      <c r="R24" s="3">
        <v>0</v>
      </c>
      <c r="S24" s="3">
        <v>0</v>
      </c>
      <c r="T24" s="3" t="s">
        <v>31</v>
      </c>
      <c r="U24" s="3" t="s">
        <v>37</v>
      </c>
      <c r="V24" s="3" t="s">
        <v>30</v>
      </c>
      <c r="W24" s="3" t="s">
        <v>38</v>
      </c>
      <c r="X24" s="3" t="s">
        <v>39</v>
      </c>
      <c r="Y24" s="3" t="s">
        <v>40</v>
      </c>
      <c r="Z24" s="3" t="s">
        <v>41</v>
      </c>
      <c r="AA24" s="3" t="s">
        <v>42</v>
      </c>
      <c r="AB24" s="3" t="s">
        <v>43</v>
      </c>
      <c r="AC24" s="3" t="s">
        <v>31</v>
      </c>
      <c r="AD24" s="3">
        <v>0</v>
      </c>
    </row>
    <row r="25" spans="1:30" x14ac:dyDescent="0.3">
      <c r="A25" s="3">
        <v>14</v>
      </c>
      <c r="B25" s="3" t="s">
        <v>29</v>
      </c>
      <c r="C25" s="3" t="s">
        <v>186</v>
      </c>
      <c r="D25" s="3" t="s">
        <v>31</v>
      </c>
      <c r="E25" s="3" t="s">
        <v>32</v>
      </c>
      <c r="F25" s="12">
        <v>46022</v>
      </c>
      <c r="G25" s="3">
        <v>2025</v>
      </c>
      <c r="H25" s="3" t="s">
        <v>44</v>
      </c>
      <c r="I25" s="3" t="s">
        <v>465</v>
      </c>
      <c r="J25" s="3"/>
      <c r="K25" s="3">
        <v>55756</v>
      </c>
      <c r="L25" s="11">
        <v>56931</v>
      </c>
      <c r="M25" s="3">
        <f>+L25/K25</f>
        <v>1.0210739651337972</v>
      </c>
      <c r="N25" s="3">
        <f>+L25/K25</f>
        <v>1.0210739651337972</v>
      </c>
      <c r="O25" s="3" t="s">
        <v>35</v>
      </c>
      <c r="P25" s="3" t="s">
        <v>35</v>
      </c>
      <c r="Q25" s="3" t="str">
        <f t="shared" si="2"/>
        <v>14-2025-12-31</v>
      </c>
      <c r="R25" s="3">
        <v>0</v>
      </c>
      <c r="S25" s="3">
        <v>0</v>
      </c>
      <c r="T25" s="3" t="s">
        <v>443</v>
      </c>
      <c r="U25" s="3" t="s">
        <v>37</v>
      </c>
      <c r="V25" s="3" t="s">
        <v>30</v>
      </c>
      <c r="W25" s="3" t="s">
        <v>38</v>
      </c>
      <c r="X25" s="3" t="s">
        <v>39</v>
      </c>
      <c r="Y25" s="3" t="s">
        <v>40</v>
      </c>
      <c r="Z25" s="3" t="s">
        <v>41</v>
      </c>
      <c r="AA25" s="3" t="s">
        <v>42</v>
      </c>
      <c r="AB25" s="3" t="s">
        <v>43</v>
      </c>
      <c r="AC25" s="3" t="s">
        <v>31</v>
      </c>
      <c r="AD25" s="3">
        <v>0</v>
      </c>
    </row>
    <row r="26" spans="1:30" x14ac:dyDescent="0.3">
      <c r="A26" s="3">
        <v>14.1</v>
      </c>
      <c r="B26" s="3" t="s">
        <v>353</v>
      </c>
      <c r="C26" s="3" t="s">
        <v>186</v>
      </c>
      <c r="D26" s="3" t="s">
        <v>31</v>
      </c>
      <c r="E26" s="3" t="s">
        <v>32</v>
      </c>
      <c r="F26" s="12">
        <v>43281</v>
      </c>
      <c r="G26" s="3">
        <f t="shared" ref="G26:G37" si="4">YEAR(F26)</f>
        <v>2018</v>
      </c>
      <c r="H26" s="3" t="str">
        <f t="shared" ref="H26:H37" si="5">PROPER(TEXT(F26,"mmmm"))</f>
        <v>Junio</v>
      </c>
      <c r="I26" s="3" t="str">
        <f t="shared" ref="I26:I37" si="6">IF(H26="Junio",G26&amp;"-1",G26&amp;"-2")</f>
        <v>2018-1</v>
      </c>
      <c r="J26" s="3">
        <v>1</v>
      </c>
      <c r="K26" s="3"/>
      <c r="L26" s="11">
        <v>10066</v>
      </c>
      <c r="M26" s="3"/>
      <c r="N26" s="3"/>
      <c r="O26" s="3" t="s">
        <v>35</v>
      </c>
      <c r="P26" s="3" t="s">
        <v>35</v>
      </c>
      <c r="Q26" s="3" t="str">
        <f t="shared" si="2"/>
        <v>14,1-2018-06-30</v>
      </c>
      <c r="R26" s="3">
        <v>0</v>
      </c>
      <c r="S26" s="3">
        <v>0</v>
      </c>
      <c r="T26" s="3" t="s">
        <v>31</v>
      </c>
      <c r="U26" s="3" t="s">
        <v>37</v>
      </c>
      <c r="V26" s="3" t="s">
        <v>30</v>
      </c>
      <c r="W26" s="3" t="s">
        <v>38</v>
      </c>
      <c r="X26" s="3" t="s">
        <v>39</v>
      </c>
      <c r="Y26" s="3" t="s">
        <v>40</v>
      </c>
      <c r="Z26" s="3" t="s">
        <v>86</v>
      </c>
      <c r="AA26" s="3" t="s">
        <v>339</v>
      </c>
      <c r="AB26" s="3" t="s">
        <v>78</v>
      </c>
      <c r="AC26" s="3" t="s">
        <v>31</v>
      </c>
      <c r="AD26" s="3">
        <v>0</v>
      </c>
    </row>
    <row r="27" spans="1:30" x14ac:dyDescent="0.3">
      <c r="A27" s="3">
        <v>14.1</v>
      </c>
      <c r="B27" s="3" t="s">
        <v>353</v>
      </c>
      <c r="C27" s="3" t="s">
        <v>186</v>
      </c>
      <c r="D27" s="3" t="s">
        <v>31</v>
      </c>
      <c r="E27" s="3" t="s">
        <v>32</v>
      </c>
      <c r="F27" s="12">
        <v>43465</v>
      </c>
      <c r="G27" s="3">
        <f t="shared" si="4"/>
        <v>2018</v>
      </c>
      <c r="H27" s="3" t="str">
        <f t="shared" si="5"/>
        <v>Diciembre</v>
      </c>
      <c r="I27" s="3" t="str">
        <f t="shared" si="6"/>
        <v>2018-2</v>
      </c>
      <c r="J27" s="3">
        <v>2</v>
      </c>
      <c r="K27" s="3"/>
      <c r="L27" s="11">
        <v>9830</v>
      </c>
      <c r="M27" s="3"/>
      <c r="N27" s="3"/>
      <c r="O27" s="3" t="s">
        <v>35</v>
      </c>
      <c r="P27" s="3" t="s">
        <v>35</v>
      </c>
      <c r="Q27" s="3" t="str">
        <f t="shared" si="2"/>
        <v>14,1-2018-12-31</v>
      </c>
      <c r="R27" s="3">
        <v>0</v>
      </c>
      <c r="S27" s="3">
        <v>0</v>
      </c>
      <c r="T27" s="3" t="s">
        <v>31</v>
      </c>
      <c r="U27" s="3" t="s">
        <v>37</v>
      </c>
      <c r="V27" s="3" t="s">
        <v>30</v>
      </c>
      <c r="W27" s="3" t="s">
        <v>38</v>
      </c>
      <c r="X27" s="3" t="s">
        <v>39</v>
      </c>
      <c r="Y27" s="3" t="s">
        <v>40</v>
      </c>
      <c r="Z27" s="3" t="s">
        <v>86</v>
      </c>
      <c r="AA27" s="3" t="s">
        <v>339</v>
      </c>
      <c r="AB27" s="3" t="s">
        <v>78</v>
      </c>
      <c r="AC27" s="3" t="s">
        <v>31</v>
      </c>
      <c r="AD27" s="3">
        <v>0</v>
      </c>
    </row>
    <row r="28" spans="1:30" x14ac:dyDescent="0.3">
      <c r="A28" s="3">
        <v>14.1</v>
      </c>
      <c r="B28" s="3" t="s">
        <v>353</v>
      </c>
      <c r="C28" s="3" t="s">
        <v>186</v>
      </c>
      <c r="D28" s="3" t="s">
        <v>31</v>
      </c>
      <c r="E28" s="3" t="s">
        <v>32</v>
      </c>
      <c r="F28" s="12">
        <v>43465</v>
      </c>
      <c r="G28" s="3">
        <f t="shared" si="4"/>
        <v>2018</v>
      </c>
      <c r="H28" s="3" t="str">
        <f t="shared" si="5"/>
        <v>Diciembre</v>
      </c>
      <c r="I28" s="3" t="str">
        <f t="shared" si="6"/>
        <v>2018-2</v>
      </c>
      <c r="J28" s="3"/>
      <c r="K28" s="3"/>
      <c r="L28" s="3">
        <v>19896</v>
      </c>
      <c r="M28" s="3"/>
      <c r="N28" s="3"/>
      <c r="O28" s="3" t="s">
        <v>35</v>
      </c>
      <c r="P28" s="3" t="s">
        <v>35</v>
      </c>
      <c r="Q28" s="3" t="str">
        <f t="shared" si="2"/>
        <v>14,1-2018-12-31</v>
      </c>
      <c r="R28" s="3">
        <v>0</v>
      </c>
      <c r="S28" s="3">
        <v>0</v>
      </c>
      <c r="T28" s="3" t="s">
        <v>443</v>
      </c>
      <c r="U28" s="3" t="s">
        <v>37</v>
      </c>
      <c r="V28" s="3" t="s">
        <v>30</v>
      </c>
      <c r="W28" s="3" t="s">
        <v>38</v>
      </c>
      <c r="X28" s="3" t="s">
        <v>39</v>
      </c>
      <c r="Y28" s="3" t="s">
        <v>40</v>
      </c>
      <c r="Z28" s="3" t="s">
        <v>86</v>
      </c>
      <c r="AA28" s="3" t="s">
        <v>339</v>
      </c>
      <c r="AB28" s="3" t="s">
        <v>78</v>
      </c>
      <c r="AC28" s="3" t="s">
        <v>31</v>
      </c>
      <c r="AD28" s="3">
        <v>0</v>
      </c>
    </row>
    <row r="29" spans="1:30" x14ac:dyDescent="0.3">
      <c r="A29" s="3">
        <v>14.1</v>
      </c>
      <c r="B29" s="3" t="s">
        <v>353</v>
      </c>
      <c r="C29" s="3" t="s">
        <v>186</v>
      </c>
      <c r="D29" s="3" t="s">
        <v>31</v>
      </c>
      <c r="E29" s="3" t="s">
        <v>32</v>
      </c>
      <c r="F29" s="12">
        <v>43646</v>
      </c>
      <c r="G29" s="3">
        <f t="shared" si="4"/>
        <v>2019</v>
      </c>
      <c r="H29" s="3" t="str">
        <f t="shared" si="5"/>
        <v>Junio</v>
      </c>
      <c r="I29" s="3" t="str">
        <f t="shared" si="6"/>
        <v>2019-1</v>
      </c>
      <c r="J29" s="3">
        <v>1</v>
      </c>
      <c r="K29" s="3"/>
      <c r="L29" s="11">
        <v>9864</v>
      </c>
      <c r="M29" s="3"/>
      <c r="N29" s="3"/>
      <c r="O29" s="3" t="s">
        <v>35</v>
      </c>
      <c r="P29" s="3" t="s">
        <v>35</v>
      </c>
      <c r="Q29" s="3" t="str">
        <f t="shared" si="2"/>
        <v>14,1-2019-06-30</v>
      </c>
      <c r="R29" s="3">
        <v>0</v>
      </c>
      <c r="S29" s="3">
        <v>0</v>
      </c>
      <c r="T29" s="3" t="s">
        <v>31</v>
      </c>
      <c r="U29" s="3" t="s">
        <v>37</v>
      </c>
      <c r="V29" s="3" t="s">
        <v>30</v>
      </c>
      <c r="W29" s="3" t="s">
        <v>38</v>
      </c>
      <c r="X29" s="3" t="s">
        <v>39</v>
      </c>
      <c r="Y29" s="3" t="s">
        <v>40</v>
      </c>
      <c r="Z29" s="3" t="s">
        <v>86</v>
      </c>
      <c r="AA29" s="3" t="s">
        <v>339</v>
      </c>
      <c r="AB29" s="3" t="s">
        <v>78</v>
      </c>
      <c r="AC29" s="3" t="s">
        <v>31</v>
      </c>
      <c r="AD29" s="3">
        <v>0</v>
      </c>
    </row>
    <row r="30" spans="1:30" x14ac:dyDescent="0.3">
      <c r="A30" s="3">
        <v>14.1</v>
      </c>
      <c r="B30" s="3" t="s">
        <v>353</v>
      </c>
      <c r="C30" s="3" t="s">
        <v>186</v>
      </c>
      <c r="D30" s="3" t="s">
        <v>31</v>
      </c>
      <c r="E30" s="3" t="s">
        <v>32</v>
      </c>
      <c r="F30" s="12">
        <v>43830</v>
      </c>
      <c r="G30" s="3">
        <f t="shared" si="4"/>
        <v>2019</v>
      </c>
      <c r="H30" s="3" t="str">
        <f t="shared" si="5"/>
        <v>Diciembre</v>
      </c>
      <c r="I30" s="3" t="str">
        <f t="shared" si="6"/>
        <v>2019-2</v>
      </c>
      <c r="J30" s="3">
        <v>2</v>
      </c>
      <c r="K30" s="3"/>
      <c r="L30" s="11">
        <v>9586</v>
      </c>
      <c r="M30" s="3"/>
      <c r="N30" s="3"/>
      <c r="O30" s="3" t="s">
        <v>35</v>
      </c>
      <c r="P30" s="3" t="s">
        <v>35</v>
      </c>
      <c r="Q30" s="3" t="str">
        <f t="shared" si="2"/>
        <v>14,1-2019-12-31</v>
      </c>
      <c r="R30" s="3">
        <v>0</v>
      </c>
      <c r="S30" s="3">
        <v>0</v>
      </c>
      <c r="T30" s="3" t="s">
        <v>31</v>
      </c>
      <c r="U30" s="3" t="s">
        <v>37</v>
      </c>
      <c r="V30" s="3" t="s">
        <v>30</v>
      </c>
      <c r="W30" s="3" t="s">
        <v>38</v>
      </c>
      <c r="X30" s="3" t="s">
        <v>39</v>
      </c>
      <c r="Y30" s="3" t="s">
        <v>40</v>
      </c>
      <c r="Z30" s="3" t="s">
        <v>86</v>
      </c>
      <c r="AA30" s="3" t="s">
        <v>339</v>
      </c>
      <c r="AB30" s="3" t="s">
        <v>78</v>
      </c>
      <c r="AC30" s="3" t="s">
        <v>31</v>
      </c>
      <c r="AD30" s="3">
        <v>0</v>
      </c>
    </row>
    <row r="31" spans="1:30" x14ac:dyDescent="0.3">
      <c r="A31" s="3">
        <v>14.1</v>
      </c>
      <c r="B31" s="3" t="s">
        <v>353</v>
      </c>
      <c r="C31" s="3" t="s">
        <v>186</v>
      </c>
      <c r="D31" s="3" t="s">
        <v>31</v>
      </c>
      <c r="E31" s="3" t="s">
        <v>32</v>
      </c>
      <c r="F31" s="12">
        <v>43830</v>
      </c>
      <c r="G31" s="3">
        <f t="shared" si="4"/>
        <v>2019</v>
      </c>
      <c r="H31" s="3" t="str">
        <f t="shared" si="5"/>
        <v>Diciembre</v>
      </c>
      <c r="I31" s="3" t="str">
        <f t="shared" si="6"/>
        <v>2019-2</v>
      </c>
      <c r="J31" s="3"/>
      <c r="K31" s="3"/>
      <c r="L31" s="3">
        <v>19450</v>
      </c>
      <c r="M31" s="3"/>
      <c r="N31" s="3"/>
      <c r="O31" s="3" t="s">
        <v>35</v>
      </c>
      <c r="P31" s="3" t="s">
        <v>35</v>
      </c>
      <c r="Q31" s="3" t="str">
        <f t="shared" si="2"/>
        <v>14,1-2019-12-31</v>
      </c>
      <c r="R31" s="3">
        <v>0</v>
      </c>
      <c r="S31" s="3">
        <v>0</v>
      </c>
      <c r="T31" s="3" t="s">
        <v>443</v>
      </c>
      <c r="U31" s="3" t="s">
        <v>37</v>
      </c>
      <c r="V31" s="3" t="s">
        <v>30</v>
      </c>
      <c r="W31" s="3" t="s">
        <v>38</v>
      </c>
      <c r="X31" s="3" t="s">
        <v>39</v>
      </c>
      <c r="Y31" s="3" t="s">
        <v>40</v>
      </c>
      <c r="Z31" s="3" t="s">
        <v>86</v>
      </c>
      <c r="AA31" s="3" t="s">
        <v>339</v>
      </c>
      <c r="AB31" s="3" t="s">
        <v>78</v>
      </c>
      <c r="AC31" s="3" t="s">
        <v>31</v>
      </c>
      <c r="AD31" s="3">
        <v>0</v>
      </c>
    </row>
    <row r="32" spans="1:30" x14ac:dyDescent="0.3">
      <c r="A32" s="3">
        <v>14.1</v>
      </c>
      <c r="B32" s="3" t="s">
        <v>353</v>
      </c>
      <c r="C32" s="3" t="s">
        <v>186</v>
      </c>
      <c r="D32" s="3" t="s">
        <v>31</v>
      </c>
      <c r="E32" s="3" t="s">
        <v>32</v>
      </c>
      <c r="F32" s="12">
        <v>44012</v>
      </c>
      <c r="G32" s="3">
        <f t="shared" si="4"/>
        <v>2020</v>
      </c>
      <c r="H32" s="3" t="str">
        <f t="shared" si="5"/>
        <v>Junio</v>
      </c>
      <c r="I32" s="3" t="str">
        <f t="shared" si="6"/>
        <v>2020-1</v>
      </c>
      <c r="J32" s="3">
        <v>1</v>
      </c>
      <c r="K32" s="3"/>
      <c r="L32" s="11">
        <v>9828</v>
      </c>
      <c r="M32" s="3"/>
      <c r="N32" s="3"/>
      <c r="O32" s="3" t="s">
        <v>35</v>
      </c>
      <c r="P32" s="3" t="s">
        <v>35</v>
      </c>
      <c r="Q32" s="3" t="str">
        <f t="shared" si="2"/>
        <v>14,1-2020-06-30</v>
      </c>
      <c r="R32" s="3">
        <v>0</v>
      </c>
      <c r="S32" s="3">
        <v>0</v>
      </c>
      <c r="T32" s="3" t="s">
        <v>31</v>
      </c>
      <c r="U32" s="3" t="s">
        <v>37</v>
      </c>
      <c r="V32" s="3" t="s">
        <v>30</v>
      </c>
      <c r="W32" s="3" t="s">
        <v>38</v>
      </c>
      <c r="X32" s="3" t="s">
        <v>39</v>
      </c>
      <c r="Y32" s="3" t="s">
        <v>40</v>
      </c>
      <c r="Z32" s="3" t="s">
        <v>86</v>
      </c>
      <c r="AA32" s="3" t="s">
        <v>339</v>
      </c>
      <c r="AB32" s="3" t="s">
        <v>78</v>
      </c>
      <c r="AC32" s="3" t="s">
        <v>31</v>
      </c>
      <c r="AD32" s="3">
        <v>0</v>
      </c>
    </row>
    <row r="33" spans="1:30" x14ac:dyDescent="0.3">
      <c r="A33" s="3">
        <v>14.1</v>
      </c>
      <c r="B33" s="3" t="s">
        <v>353</v>
      </c>
      <c r="C33" s="3" t="s">
        <v>186</v>
      </c>
      <c r="D33" s="3" t="s">
        <v>31</v>
      </c>
      <c r="E33" s="3" t="s">
        <v>32</v>
      </c>
      <c r="F33" s="12">
        <v>44196</v>
      </c>
      <c r="G33" s="3">
        <f t="shared" si="4"/>
        <v>2020</v>
      </c>
      <c r="H33" s="3" t="str">
        <f t="shared" si="5"/>
        <v>Diciembre</v>
      </c>
      <c r="I33" s="3" t="str">
        <f t="shared" si="6"/>
        <v>2020-2</v>
      </c>
      <c r="J33" s="3">
        <v>2</v>
      </c>
      <c r="K33" s="3"/>
      <c r="L33" s="11">
        <v>7748</v>
      </c>
      <c r="M33" s="3"/>
      <c r="N33" s="3"/>
      <c r="O33" s="3" t="s">
        <v>35</v>
      </c>
      <c r="P33" s="3" t="s">
        <v>35</v>
      </c>
      <c r="Q33" s="3" t="str">
        <f t="shared" si="2"/>
        <v>14,1-2020-12-31</v>
      </c>
      <c r="R33" s="3">
        <v>0</v>
      </c>
      <c r="S33" s="3">
        <v>0</v>
      </c>
      <c r="T33" s="3" t="s">
        <v>31</v>
      </c>
      <c r="U33" s="3" t="s">
        <v>37</v>
      </c>
      <c r="V33" s="3" t="s">
        <v>30</v>
      </c>
      <c r="W33" s="3" t="s">
        <v>38</v>
      </c>
      <c r="X33" s="3" t="s">
        <v>39</v>
      </c>
      <c r="Y33" s="3" t="s">
        <v>40</v>
      </c>
      <c r="Z33" s="3" t="s">
        <v>86</v>
      </c>
      <c r="AA33" s="3" t="s">
        <v>339</v>
      </c>
      <c r="AB33" s="3" t="s">
        <v>78</v>
      </c>
      <c r="AC33" s="3" t="s">
        <v>31</v>
      </c>
      <c r="AD33" s="3">
        <v>0</v>
      </c>
    </row>
    <row r="34" spans="1:30" x14ac:dyDescent="0.3">
      <c r="A34" s="3">
        <v>14.1</v>
      </c>
      <c r="B34" s="3" t="s">
        <v>353</v>
      </c>
      <c r="C34" s="3" t="s">
        <v>186</v>
      </c>
      <c r="D34" s="3" t="s">
        <v>31</v>
      </c>
      <c r="E34" s="3" t="s">
        <v>32</v>
      </c>
      <c r="F34" s="12">
        <v>44196</v>
      </c>
      <c r="G34" s="3">
        <f t="shared" si="4"/>
        <v>2020</v>
      </c>
      <c r="H34" s="3" t="str">
        <f t="shared" si="5"/>
        <v>Diciembre</v>
      </c>
      <c r="I34" s="3" t="str">
        <f t="shared" si="6"/>
        <v>2020-2</v>
      </c>
      <c r="J34" s="3"/>
      <c r="K34" s="3"/>
      <c r="L34" s="3">
        <v>17576</v>
      </c>
      <c r="M34" s="3"/>
      <c r="N34" s="3"/>
      <c r="O34" s="3" t="s">
        <v>35</v>
      </c>
      <c r="P34" s="3" t="s">
        <v>35</v>
      </c>
      <c r="Q34" s="3" t="str">
        <f t="shared" si="2"/>
        <v>14,1-2020-12-31</v>
      </c>
      <c r="R34" s="3">
        <v>0</v>
      </c>
      <c r="S34" s="3">
        <v>0</v>
      </c>
      <c r="T34" s="3" t="s">
        <v>443</v>
      </c>
      <c r="U34" s="3" t="s">
        <v>37</v>
      </c>
      <c r="V34" s="3" t="s">
        <v>30</v>
      </c>
      <c r="W34" s="3" t="s">
        <v>38</v>
      </c>
      <c r="X34" s="3" t="s">
        <v>39</v>
      </c>
      <c r="Y34" s="3" t="s">
        <v>40</v>
      </c>
      <c r="Z34" s="3" t="s">
        <v>86</v>
      </c>
      <c r="AA34" s="3" t="s">
        <v>339</v>
      </c>
      <c r="AB34" s="3" t="s">
        <v>78</v>
      </c>
      <c r="AC34" s="3" t="s">
        <v>31</v>
      </c>
      <c r="AD34" s="3">
        <v>0</v>
      </c>
    </row>
    <row r="35" spans="1:30" x14ac:dyDescent="0.3">
      <c r="A35" s="3">
        <v>14.1</v>
      </c>
      <c r="B35" s="3" t="s">
        <v>353</v>
      </c>
      <c r="C35" s="3" t="s">
        <v>186</v>
      </c>
      <c r="D35" s="3" t="s">
        <v>31</v>
      </c>
      <c r="E35" s="3" t="s">
        <v>32</v>
      </c>
      <c r="F35" s="12">
        <v>44377</v>
      </c>
      <c r="G35" s="3">
        <f t="shared" si="4"/>
        <v>2021</v>
      </c>
      <c r="H35" s="3" t="str">
        <f t="shared" si="5"/>
        <v>Junio</v>
      </c>
      <c r="I35" s="3" t="str">
        <f t="shared" si="6"/>
        <v>2021-1</v>
      </c>
      <c r="J35" s="3">
        <v>1</v>
      </c>
      <c r="K35" s="3"/>
      <c r="L35" s="11">
        <v>8125</v>
      </c>
      <c r="M35" s="3"/>
      <c r="N35" s="3"/>
      <c r="O35" s="3" t="s">
        <v>35</v>
      </c>
      <c r="P35" s="3" t="s">
        <v>35</v>
      </c>
      <c r="Q35" s="3" t="str">
        <f t="shared" si="2"/>
        <v>14,1-2021-06-30</v>
      </c>
      <c r="R35" s="3">
        <v>0</v>
      </c>
      <c r="S35" s="3">
        <v>0</v>
      </c>
      <c r="T35" s="3" t="s">
        <v>31</v>
      </c>
      <c r="U35" s="3" t="s">
        <v>37</v>
      </c>
      <c r="V35" s="3" t="s">
        <v>30</v>
      </c>
      <c r="W35" s="3" t="s">
        <v>38</v>
      </c>
      <c r="X35" s="3" t="s">
        <v>39</v>
      </c>
      <c r="Y35" s="3" t="s">
        <v>40</v>
      </c>
      <c r="Z35" s="3" t="s">
        <v>86</v>
      </c>
      <c r="AA35" s="3" t="s">
        <v>339</v>
      </c>
      <c r="AB35" s="3" t="s">
        <v>78</v>
      </c>
      <c r="AC35" s="3" t="s">
        <v>31</v>
      </c>
      <c r="AD35" s="3">
        <v>0</v>
      </c>
    </row>
    <row r="36" spans="1:30" x14ac:dyDescent="0.3">
      <c r="A36" s="3">
        <v>14.1</v>
      </c>
      <c r="B36" s="3" t="s">
        <v>353</v>
      </c>
      <c r="C36" s="3" t="s">
        <v>186</v>
      </c>
      <c r="D36" s="3" t="s">
        <v>31</v>
      </c>
      <c r="E36" s="3" t="s">
        <v>32</v>
      </c>
      <c r="F36" s="12">
        <v>44561</v>
      </c>
      <c r="G36" s="3">
        <f t="shared" si="4"/>
        <v>2021</v>
      </c>
      <c r="H36" s="3" t="str">
        <f t="shared" si="5"/>
        <v>Diciembre</v>
      </c>
      <c r="I36" s="3" t="str">
        <f t="shared" si="6"/>
        <v>2021-2</v>
      </c>
      <c r="J36" s="3">
        <v>2</v>
      </c>
      <c r="K36" s="3"/>
      <c r="L36" s="11">
        <v>7626</v>
      </c>
      <c r="M36" s="3"/>
      <c r="N36" s="3"/>
      <c r="O36" s="3" t="s">
        <v>35</v>
      </c>
      <c r="P36" s="3" t="s">
        <v>35</v>
      </c>
      <c r="Q36" s="3" t="str">
        <f t="shared" si="2"/>
        <v>14,1-2021-12-31</v>
      </c>
      <c r="R36" s="3">
        <v>0</v>
      </c>
      <c r="S36" s="3">
        <v>0</v>
      </c>
      <c r="T36" s="3" t="s">
        <v>31</v>
      </c>
      <c r="U36" s="3" t="s">
        <v>37</v>
      </c>
      <c r="V36" s="3" t="s">
        <v>30</v>
      </c>
      <c r="W36" s="3" t="s">
        <v>38</v>
      </c>
      <c r="X36" s="3" t="s">
        <v>39</v>
      </c>
      <c r="Y36" s="3" t="s">
        <v>40</v>
      </c>
      <c r="Z36" s="3" t="s">
        <v>86</v>
      </c>
      <c r="AA36" s="3" t="s">
        <v>339</v>
      </c>
      <c r="AB36" s="3" t="s">
        <v>78</v>
      </c>
      <c r="AC36" s="3" t="s">
        <v>31</v>
      </c>
      <c r="AD36" s="3">
        <v>0</v>
      </c>
    </row>
    <row r="37" spans="1:30" x14ac:dyDescent="0.3">
      <c r="A37" s="3">
        <v>14.1</v>
      </c>
      <c r="B37" s="3" t="s">
        <v>353</v>
      </c>
      <c r="C37" s="3" t="s">
        <v>186</v>
      </c>
      <c r="D37" s="3" t="s">
        <v>31</v>
      </c>
      <c r="E37" s="3" t="s">
        <v>32</v>
      </c>
      <c r="F37" s="12">
        <v>44561</v>
      </c>
      <c r="G37" s="3">
        <f t="shared" si="4"/>
        <v>2021</v>
      </c>
      <c r="H37" s="3" t="str">
        <f t="shared" si="5"/>
        <v>Diciembre</v>
      </c>
      <c r="I37" s="3" t="str">
        <f t="shared" si="6"/>
        <v>2021-2</v>
      </c>
      <c r="J37" s="3"/>
      <c r="K37" s="3"/>
      <c r="L37" s="3">
        <v>15751</v>
      </c>
      <c r="M37" s="3"/>
      <c r="N37" s="3"/>
      <c r="O37" s="3" t="s">
        <v>35</v>
      </c>
      <c r="P37" s="3" t="s">
        <v>35</v>
      </c>
      <c r="Q37" s="3" t="str">
        <f t="shared" si="2"/>
        <v>14,1-2021-12-31</v>
      </c>
      <c r="R37" s="3">
        <v>0</v>
      </c>
      <c r="S37" s="3">
        <v>0</v>
      </c>
      <c r="T37" s="3" t="s">
        <v>443</v>
      </c>
      <c r="U37" s="3" t="s">
        <v>37</v>
      </c>
      <c r="V37" s="3" t="s">
        <v>30</v>
      </c>
      <c r="W37" s="3" t="s">
        <v>38</v>
      </c>
      <c r="X37" s="3" t="s">
        <v>39</v>
      </c>
      <c r="Y37" s="3" t="s">
        <v>40</v>
      </c>
      <c r="Z37" s="3" t="s">
        <v>86</v>
      </c>
      <c r="AA37" s="3" t="s">
        <v>339</v>
      </c>
      <c r="AB37" s="3" t="s">
        <v>78</v>
      </c>
      <c r="AC37" s="3" t="s">
        <v>31</v>
      </c>
      <c r="AD37" s="3">
        <v>0</v>
      </c>
    </row>
    <row r="38" spans="1:30" x14ac:dyDescent="0.3">
      <c r="A38" s="3">
        <v>14.1</v>
      </c>
      <c r="B38" s="3" t="s">
        <v>353</v>
      </c>
      <c r="C38" s="3" t="s">
        <v>30</v>
      </c>
      <c r="D38" s="3" t="s">
        <v>31</v>
      </c>
      <c r="E38" s="3" t="s">
        <v>32</v>
      </c>
      <c r="F38" s="12">
        <v>44742</v>
      </c>
      <c r="G38" s="3">
        <v>2022</v>
      </c>
      <c r="H38" s="3" t="s">
        <v>33</v>
      </c>
      <c r="I38" s="3" t="s">
        <v>34</v>
      </c>
      <c r="J38" s="3">
        <v>1</v>
      </c>
      <c r="K38" s="3">
        <v>7541</v>
      </c>
      <c r="L38" s="3">
        <v>7651</v>
      </c>
      <c r="M38" s="3">
        <v>1.0145869248110331</v>
      </c>
      <c r="N38" s="3">
        <v>1.0145869248110331</v>
      </c>
      <c r="O38" s="3" t="s">
        <v>35</v>
      </c>
      <c r="P38" s="3" t="s">
        <v>35</v>
      </c>
      <c r="Q38" s="3" t="str">
        <f t="shared" si="2"/>
        <v>14,1-2022-06-30</v>
      </c>
      <c r="R38" s="3">
        <v>0</v>
      </c>
      <c r="S38" s="3">
        <v>0</v>
      </c>
      <c r="T38" s="3" t="s">
        <v>31</v>
      </c>
      <c r="U38" s="3" t="s">
        <v>37</v>
      </c>
      <c r="V38" s="3" t="s">
        <v>30</v>
      </c>
      <c r="W38" s="3" t="s">
        <v>38</v>
      </c>
      <c r="X38" s="3" t="s">
        <v>39</v>
      </c>
      <c r="Y38" s="3" t="s">
        <v>40</v>
      </c>
      <c r="Z38" s="3" t="s">
        <v>86</v>
      </c>
      <c r="AA38" s="3" t="s">
        <v>339</v>
      </c>
      <c r="AB38" s="3" t="s">
        <v>78</v>
      </c>
      <c r="AC38" s="3" t="s">
        <v>31</v>
      </c>
      <c r="AD38" s="3">
        <v>0</v>
      </c>
    </row>
    <row r="39" spans="1:30" x14ac:dyDescent="0.3">
      <c r="A39" s="3">
        <v>14.1</v>
      </c>
      <c r="B39" s="3" t="s">
        <v>353</v>
      </c>
      <c r="C39" s="3" t="s">
        <v>30</v>
      </c>
      <c r="D39" s="3" t="s">
        <v>31</v>
      </c>
      <c r="E39" s="3" t="s">
        <v>32</v>
      </c>
      <c r="F39" s="12">
        <v>44926</v>
      </c>
      <c r="G39" s="3">
        <v>2022</v>
      </c>
      <c r="H39" s="3" t="s">
        <v>44</v>
      </c>
      <c r="I39" s="3" t="s">
        <v>45</v>
      </c>
      <c r="J39" s="3">
        <v>2</v>
      </c>
      <c r="K39" s="3">
        <v>6730</v>
      </c>
      <c r="L39" s="3">
        <v>7539</v>
      </c>
      <c r="M39" s="3">
        <v>1.1202080237741461</v>
      </c>
      <c r="N39" s="3">
        <v>1.1202080237741461</v>
      </c>
      <c r="O39" s="3" t="s">
        <v>35</v>
      </c>
      <c r="P39" s="3" t="s">
        <v>35</v>
      </c>
      <c r="Q39" s="3" t="str">
        <f t="shared" si="2"/>
        <v>14,1-2022-12-31</v>
      </c>
      <c r="R39" s="3">
        <v>0</v>
      </c>
      <c r="S39" s="3">
        <v>0</v>
      </c>
      <c r="T39" s="3" t="s">
        <v>31</v>
      </c>
      <c r="U39" s="3" t="s">
        <v>37</v>
      </c>
      <c r="V39" s="3" t="s">
        <v>30</v>
      </c>
      <c r="W39" s="3" t="s">
        <v>38</v>
      </c>
      <c r="X39" s="3" t="s">
        <v>39</v>
      </c>
      <c r="Y39" s="3" t="s">
        <v>40</v>
      </c>
      <c r="Z39" s="3" t="s">
        <v>86</v>
      </c>
      <c r="AA39" s="3" t="s">
        <v>339</v>
      </c>
      <c r="AB39" s="3" t="s">
        <v>78</v>
      </c>
      <c r="AC39" s="3" t="s">
        <v>31</v>
      </c>
      <c r="AD39" s="3">
        <v>0</v>
      </c>
    </row>
    <row r="40" spans="1:30" x14ac:dyDescent="0.3">
      <c r="A40" s="3">
        <v>14.1</v>
      </c>
      <c r="B40" s="3" t="s">
        <v>353</v>
      </c>
      <c r="C40" s="3" t="s">
        <v>186</v>
      </c>
      <c r="D40" s="3" t="s">
        <v>31</v>
      </c>
      <c r="E40" s="3" t="s">
        <v>32</v>
      </c>
      <c r="F40" s="12">
        <v>44926</v>
      </c>
      <c r="G40" s="3">
        <v>2022</v>
      </c>
      <c r="H40" s="3" t="s">
        <v>44</v>
      </c>
      <c r="I40" s="3" t="s">
        <v>45</v>
      </c>
      <c r="J40" s="3"/>
      <c r="K40" s="3">
        <v>14271</v>
      </c>
      <c r="L40" s="3">
        <v>15190</v>
      </c>
      <c r="M40" s="3">
        <v>1.0643963282180651</v>
      </c>
      <c r="N40" s="3">
        <v>1.0643963282180651</v>
      </c>
      <c r="O40" s="3" t="s">
        <v>35</v>
      </c>
      <c r="P40" s="3" t="s">
        <v>35</v>
      </c>
      <c r="Q40" s="3" t="str">
        <f t="shared" si="2"/>
        <v>14,1-2022-12-31</v>
      </c>
      <c r="R40" s="3">
        <v>0</v>
      </c>
      <c r="S40" s="3">
        <v>0</v>
      </c>
      <c r="T40" s="3" t="s">
        <v>443</v>
      </c>
      <c r="U40" s="3" t="s">
        <v>37</v>
      </c>
      <c r="V40" s="3" t="s">
        <v>30</v>
      </c>
      <c r="W40" s="3" t="s">
        <v>38</v>
      </c>
      <c r="X40" s="3" t="s">
        <v>39</v>
      </c>
      <c r="Y40" s="3" t="s">
        <v>40</v>
      </c>
      <c r="Z40" s="3" t="s">
        <v>86</v>
      </c>
      <c r="AA40" s="3" t="s">
        <v>339</v>
      </c>
      <c r="AB40" s="3" t="s">
        <v>78</v>
      </c>
      <c r="AC40" s="3" t="s">
        <v>31</v>
      </c>
      <c r="AD40" s="3">
        <v>0</v>
      </c>
    </row>
    <row r="41" spans="1:30" x14ac:dyDescent="0.3">
      <c r="A41" s="3">
        <v>14.1</v>
      </c>
      <c r="B41" s="3" t="s">
        <v>353</v>
      </c>
      <c r="C41" s="3" t="s">
        <v>30</v>
      </c>
      <c r="D41" s="3" t="s">
        <v>31</v>
      </c>
      <c r="E41" s="3" t="s">
        <v>32</v>
      </c>
      <c r="F41" s="12">
        <v>45107</v>
      </c>
      <c r="G41" s="3">
        <v>2023</v>
      </c>
      <c r="H41" s="3" t="s">
        <v>33</v>
      </c>
      <c r="I41" s="3" t="s">
        <v>47</v>
      </c>
      <c r="J41" s="3">
        <v>1</v>
      </c>
      <c r="K41" s="3">
        <v>7822</v>
      </c>
      <c r="L41" s="3">
        <v>7912</v>
      </c>
      <c r="M41" s="3">
        <v>1.0115060086934291</v>
      </c>
      <c r="N41" s="3">
        <v>1.0115060086934291</v>
      </c>
      <c r="O41" s="3" t="s">
        <v>35</v>
      </c>
      <c r="P41" s="3" t="s">
        <v>35</v>
      </c>
      <c r="Q41" s="3" t="str">
        <f t="shared" si="2"/>
        <v>14,1-2023-06-30</v>
      </c>
      <c r="R41" s="3">
        <v>0</v>
      </c>
      <c r="S41" s="3">
        <v>0</v>
      </c>
      <c r="T41" s="3" t="s">
        <v>31</v>
      </c>
      <c r="U41" s="3" t="s">
        <v>37</v>
      </c>
      <c r="V41" s="3" t="s">
        <v>30</v>
      </c>
      <c r="W41" s="3" t="s">
        <v>38</v>
      </c>
      <c r="X41" s="3" t="s">
        <v>39</v>
      </c>
      <c r="Y41" s="3" t="s">
        <v>40</v>
      </c>
      <c r="Z41" s="3" t="s">
        <v>86</v>
      </c>
      <c r="AA41" s="3" t="s">
        <v>339</v>
      </c>
      <c r="AB41" s="3" t="s">
        <v>78</v>
      </c>
      <c r="AC41" s="3" t="s">
        <v>31</v>
      </c>
      <c r="AD41" s="3">
        <v>0</v>
      </c>
    </row>
    <row r="42" spans="1:30" x14ac:dyDescent="0.3">
      <c r="A42" s="3">
        <v>14.1</v>
      </c>
      <c r="B42" s="3" t="s">
        <v>353</v>
      </c>
      <c r="C42" s="3" t="s">
        <v>186</v>
      </c>
      <c r="D42" s="3" t="s">
        <v>31</v>
      </c>
      <c r="E42" s="3" t="s">
        <v>32</v>
      </c>
      <c r="F42" s="12">
        <v>45291</v>
      </c>
      <c r="G42" s="3">
        <v>2023</v>
      </c>
      <c r="H42" s="3" t="s">
        <v>44</v>
      </c>
      <c r="I42" s="3" t="s">
        <v>49</v>
      </c>
      <c r="J42" s="3">
        <v>2</v>
      </c>
      <c r="K42" s="3">
        <v>7620</v>
      </c>
      <c r="L42" s="3">
        <v>8066</v>
      </c>
      <c r="M42" s="3">
        <v>1.058530183727034</v>
      </c>
      <c r="N42" s="3">
        <v>1.058530183727034</v>
      </c>
      <c r="O42" s="3" t="s">
        <v>35</v>
      </c>
      <c r="P42" s="3" t="s">
        <v>35</v>
      </c>
      <c r="Q42" s="3" t="str">
        <f t="shared" si="2"/>
        <v>14,1-2023-12-31</v>
      </c>
      <c r="R42" s="3">
        <v>0</v>
      </c>
      <c r="S42" s="3">
        <v>0</v>
      </c>
      <c r="T42" s="3" t="s">
        <v>31</v>
      </c>
      <c r="U42" s="3" t="s">
        <v>37</v>
      </c>
      <c r="V42" s="3" t="s">
        <v>30</v>
      </c>
      <c r="W42" s="3" t="s">
        <v>38</v>
      </c>
      <c r="X42" s="3" t="s">
        <v>39</v>
      </c>
      <c r="Y42" s="3" t="s">
        <v>40</v>
      </c>
      <c r="Z42" s="3" t="s">
        <v>86</v>
      </c>
      <c r="AA42" s="3" t="s">
        <v>339</v>
      </c>
      <c r="AB42" s="3" t="s">
        <v>78</v>
      </c>
      <c r="AC42" s="3" t="s">
        <v>31</v>
      </c>
      <c r="AD42" s="3">
        <v>0</v>
      </c>
    </row>
    <row r="43" spans="1:30" x14ac:dyDescent="0.3">
      <c r="A43" s="3">
        <v>14.1</v>
      </c>
      <c r="B43" s="3" t="s">
        <v>353</v>
      </c>
      <c r="C43" s="3" t="s">
        <v>186</v>
      </c>
      <c r="D43" s="3" t="s">
        <v>31</v>
      </c>
      <c r="E43" s="3" t="s">
        <v>32</v>
      </c>
      <c r="F43" s="12">
        <v>45291</v>
      </c>
      <c r="G43" s="3">
        <v>2023</v>
      </c>
      <c r="H43" s="3" t="s">
        <v>44</v>
      </c>
      <c r="I43" s="3" t="s">
        <v>49</v>
      </c>
      <c r="J43" s="3"/>
      <c r="K43" s="3">
        <v>15442</v>
      </c>
      <c r="L43" s="3">
        <v>15978</v>
      </c>
      <c r="M43" s="3">
        <v>1.034710529724129</v>
      </c>
      <c r="N43" s="3">
        <v>1.034710529724129</v>
      </c>
      <c r="O43" s="3" t="s">
        <v>35</v>
      </c>
      <c r="P43" s="3" t="s">
        <v>35</v>
      </c>
      <c r="Q43" s="3" t="str">
        <f t="shared" si="2"/>
        <v>14,1-2023-12-31</v>
      </c>
      <c r="R43" s="3">
        <v>0</v>
      </c>
      <c r="S43" s="3">
        <v>0</v>
      </c>
      <c r="T43" s="3" t="s">
        <v>443</v>
      </c>
      <c r="U43" s="3" t="s">
        <v>37</v>
      </c>
      <c r="V43" s="3" t="s">
        <v>30</v>
      </c>
      <c r="W43" s="3" t="s">
        <v>38</v>
      </c>
      <c r="X43" s="3" t="s">
        <v>39</v>
      </c>
      <c r="Y43" s="3" t="s">
        <v>40</v>
      </c>
      <c r="Z43" s="3" t="s">
        <v>86</v>
      </c>
      <c r="AA43" s="3" t="s">
        <v>339</v>
      </c>
      <c r="AB43" s="3" t="s">
        <v>78</v>
      </c>
      <c r="AC43" s="3" t="s">
        <v>31</v>
      </c>
      <c r="AD43" s="3">
        <v>0</v>
      </c>
    </row>
    <row r="44" spans="1:30" x14ac:dyDescent="0.3">
      <c r="A44" s="3">
        <v>14.1</v>
      </c>
      <c r="B44" s="3" t="s">
        <v>353</v>
      </c>
      <c r="C44" s="3" t="s">
        <v>186</v>
      </c>
      <c r="D44" s="3" t="s">
        <v>31</v>
      </c>
      <c r="E44" s="3" t="s">
        <v>32</v>
      </c>
      <c r="F44" s="12">
        <v>45473</v>
      </c>
      <c r="G44" s="3">
        <v>2024</v>
      </c>
      <c r="H44" s="3" t="s">
        <v>33</v>
      </c>
      <c r="I44" s="3" t="s">
        <v>51</v>
      </c>
      <c r="J44" s="3">
        <v>1</v>
      </c>
      <c r="K44" s="3">
        <v>8168</v>
      </c>
      <c r="L44" s="3">
        <v>8424</v>
      </c>
      <c r="M44" s="3">
        <v>1.031341821743389</v>
      </c>
      <c r="N44" s="3">
        <v>1.031341821743389</v>
      </c>
      <c r="O44" s="3" t="s">
        <v>35</v>
      </c>
      <c r="P44" s="3" t="s">
        <v>35</v>
      </c>
      <c r="Q44" s="3" t="str">
        <f t="shared" si="2"/>
        <v>14,1-2024-06-30</v>
      </c>
      <c r="R44" s="3">
        <v>0</v>
      </c>
      <c r="S44" s="3">
        <v>0</v>
      </c>
      <c r="T44" s="3" t="s">
        <v>31</v>
      </c>
      <c r="U44" s="3" t="s">
        <v>37</v>
      </c>
      <c r="V44" s="3" t="s">
        <v>30</v>
      </c>
      <c r="W44" s="3" t="s">
        <v>38</v>
      </c>
      <c r="X44" s="3" t="s">
        <v>39</v>
      </c>
      <c r="Y44" s="3" t="s">
        <v>40</v>
      </c>
      <c r="Z44" s="3" t="s">
        <v>86</v>
      </c>
      <c r="AA44" s="3" t="s">
        <v>339</v>
      </c>
      <c r="AB44" s="3" t="s">
        <v>78</v>
      </c>
      <c r="AC44" s="3" t="s">
        <v>31</v>
      </c>
      <c r="AD44" s="3">
        <v>0</v>
      </c>
    </row>
    <row r="45" spans="1:30" x14ac:dyDescent="0.3">
      <c r="A45" s="3">
        <v>14.1</v>
      </c>
      <c r="B45" s="3" t="s">
        <v>353</v>
      </c>
      <c r="C45" s="3" t="s">
        <v>186</v>
      </c>
      <c r="D45" s="3" t="s">
        <v>31</v>
      </c>
      <c r="E45" s="3" t="s">
        <v>32</v>
      </c>
      <c r="F45" s="12">
        <v>45657</v>
      </c>
      <c r="G45" s="3">
        <v>2024</v>
      </c>
      <c r="H45" s="3" t="s">
        <v>44</v>
      </c>
      <c r="I45" s="3" t="s">
        <v>53</v>
      </c>
      <c r="J45" s="3">
        <v>2</v>
      </c>
      <c r="K45" s="3">
        <v>7912</v>
      </c>
      <c r="L45" s="3">
        <v>8165</v>
      </c>
      <c r="M45" s="3">
        <v>1.031976744186047</v>
      </c>
      <c r="N45" s="3">
        <v>1.031976744186047</v>
      </c>
      <c r="O45" s="3" t="s">
        <v>35</v>
      </c>
      <c r="P45" s="3" t="s">
        <v>35</v>
      </c>
      <c r="Q45" s="3" t="str">
        <f t="shared" si="2"/>
        <v>14,1-2024-12-31</v>
      </c>
      <c r="R45" s="3">
        <v>0</v>
      </c>
      <c r="S45" s="3">
        <v>0</v>
      </c>
      <c r="T45" s="3" t="s">
        <v>31</v>
      </c>
      <c r="U45" s="3" t="s">
        <v>37</v>
      </c>
      <c r="V45" s="3" t="s">
        <v>30</v>
      </c>
      <c r="W45" s="3" t="s">
        <v>38</v>
      </c>
      <c r="X45" s="3" t="s">
        <v>39</v>
      </c>
      <c r="Y45" s="3" t="s">
        <v>40</v>
      </c>
      <c r="Z45" s="3" t="s">
        <v>86</v>
      </c>
      <c r="AA45" s="3" t="s">
        <v>339</v>
      </c>
      <c r="AB45" s="3" t="s">
        <v>78</v>
      </c>
      <c r="AC45" s="3" t="s">
        <v>31</v>
      </c>
      <c r="AD45" s="3">
        <v>0</v>
      </c>
    </row>
    <row r="46" spans="1:30" x14ac:dyDescent="0.3">
      <c r="A46" s="3">
        <v>14.1</v>
      </c>
      <c r="B46" s="3" t="s">
        <v>353</v>
      </c>
      <c r="C46" s="3" t="s">
        <v>186</v>
      </c>
      <c r="D46" s="3" t="s">
        <v>31</v>
      </c>
      <c r="E46" s="3" t="s">
        <v>32</v>
      </c>
      <c r="F46" s="12">
        <v>45657</v>
      </c>
      <c r="G46" s="3">
        <v>2024</v>
      </c>
      <c r="H46" s="3" t="s">
        <v>44</v>
      </c>
      <c r="I46" s="3" t="s">
        <v>53</v>
      </c>
      <c r="J46" s="3"/>
      <c r="K46" s="3">
        <v>16080</v>
      </c>
      <c r="L46" s="3">
        <v>16589</v>
      </c>
      <c r="M46" s="3">
        <v>1.0316542288557209</v>
      </c>
      <c r="N46" s="3">
        <v>1.0316542288557209</v>
      </c>
      <c r="O46" s="3" t="s">
        <v>35</v>
      </c>
      <c r="P46" s="3" t="s">
        <v>35</v>
      </c>
      <c r="Q46" s="3" t="str">
        <f t="shared" si="2"/>
        <v>14,1-2024-12-31</v>
      </c>
      <c r="R46" s="3">
        <v>0</v>
      </c>
      <c r="S46" s="3">
        <v>0</v>
      </c>
      <c r="T46" s="3" t="s">
        <v>443</v>
      </c>
      <c r="U46" s="3" t="s">
        <v>37</v>
      </c>
      <c r="V46" s="3" t="s">
        <v>30</v>
      </c>
      <c r="W46" s="3" t="s">
        <v>38</v>
      </c>
      <c r="X46" s="3" t="s">
        <v>39</v>
      </c>
      <c r="Y46" s="3" t="s">
        <v>40</v>
      </c>
      <c r="Z46" s="3" t="s">
        <v>86</v>
      </c>
      <c r="AA46" s="3" t="s">
        <v>339</v>
      </c>
      <c r="AB46" s="3" t="s">
        <v>78</v>
      </c>
      <c r="AC46" s="3" t="s">
        <v>31</v>
      </c>
      <c r="AD46" s="3">
        <v>0</v>
      </c>
    </row>
    <row r="47" spans="1:30" x14ac:dyDescent="0.3">
      <c r="A47" s="3">
        <v>14.1</v>
      </c>
      <c r="B47" s="3" t="s">
        <v>353</v>
      </c>
      <c r="C47" s="3" t="s">
        <v>186</v>
      </c>
      <c r="D47" s="3" t="s">
        <v>31</v>
      </c>
      <c r="E47" s="3" t="s">
        <v>32</v>
      </c>
      <c r="F47" s="12">
        <v>45838</v>
      </c>
      <c r="G47" s="3">
        <v>2025</v>
      </c>
      <c r="H47" s="3" t="s">
        <v>33</v>
      </c>
      <c r="I47" s="3" t="s">
        <v>404</v>
      </c>
      <c r="J47" s="3">
        <v>1</v>
      </c>
      <c r="K47" s="3">
        <v>8471</v>
      </c>
      <c r="L47" s="3">
        <v>8743</v>
      </c>
      <c r="M47" s="3">
        <f>+L47/K47</f>
        <v>1.0321095502301971</v>
      </c>
      <c r="N47" s="3">
        <v>1.0321095502301969</v>
      </c>
      <c r="O47" s="3" t="s">
        <v>35</v>
      </c>
      <c r="P47" s="3" t="s">
        <v>35</v>
      </c>
      <c r="Q47" s="3" t="str">
        <f t="shared" si="2"/>
        <v>14,1-2025-06-30</v>
      </c>
      <c r="R47" s="3">
        <v>0</v>
      </c>
      <c r="S47" s="3">
        <v>0</v>
      </c>
      <c r="T47" s="3" t="s">
        <v>31</v>
      </c>
      <c r="U47" s="3" t="s">
        <v>37</v>
      </c>
      <c r="V47" s="3" t="s">
        <v>30</v>
      </c>
      <c r="W47" s="3" t="s">
        <v>38</v>
      </c>
      <c r="X47" s="3" t="s">
        <v>39</v>
      </c>
      <c r="Y47" s="3" t="s">
        <v>40</v>
      </c>
      <c r="Z47" s="3" t="s">
        <v>86</v>
      </c>
      <c r="AA47" s="3" t="s">
        <v>339</v>
      </c>
      <c r="AB47" s="3" t="s">
        <v>78</v>
      </c>
      <c r="AC47" s="3" t="s">
        <v>31</v>
      </c>
      <c r="AD47" s="3">
        <v>0</v>
      </c>
    </row>
    <row r="48" spans="1:30" x14ac:dyDescent="0.3">
      <c r="A48" s="3">
        <v>14.1</v>
      </c>
      <c r="B48" s="3" t="s">
        <v>353</v>
      </c>
      <c r="C48" s="3" t="s">
        <v>186</v>
      </c>
      <c r="D48" s="3" t="s">
        <v>31</v>
      </c>
      <c r="E48" s="3" t="s">
        <v>32</v>
      </c>
      <c r="F48" s="12">
        <v>46022</v>
      </c>
      <c r="G48" s="3">
        <v>2025</v>
      </c>
      <c r="H48" s="3" t="s">
        <v>44</v>
      </c>
      <c r="I48" s="3" t="s">
        <v>465</v>
      </c>
      <c r="J48" s="3">
        <v>2</v>
      </c>
      <c r="K48" s="3">
        <v>8510</v>
      </c>
      <c r="L48" s="11">
        <v>8729</v>
      </c>
      <c r="M48" s="3">
        <f>+L48/K48</f>
        <v>1.0257344300822562</v>
      </c>
      <c r="N48" s="3">
        <f>+L48/K48</f>
        <v>1.0257344300822562</v>
      </c>
      <c r="O48" s="3" t="s">
        <v>35</v>
      </c>
      <c r="P48" s="3" t="s">
        <v>35</v>
      </c>
      <c r="Q48" s="3" t="str">
        <f t="shared" si="2"/>
        <v>14,1-2025-12-31</v>
      </c>
      <c r="R48" s="3">
        <v>0</v>
      </c>
      <c r="S48" s="3">
        <v>0</v>
      </c>
      <c r="T48" s="3" t="s">
        <v>31</v>
      </c>
      <c r="U48" s="3" t="s">
        <v>37</v>
      </c>
      <c r="V48" s="3" t="s">
        <v>30</v>
      </c>
      <c r="W48" s="3" t="s">
        <v>38</v>
      </c>
      <c r="X48" s="3" t="s">
        <v>39</v>
      </c>
      <c r="Y48" s="3" t="s">
        <v>40</v>
      </c>
      <c r="Z48" s="3" t="s">
        <v>86</v>
      </c>
      <c r="AA48" s="3" t="s">
        <v>339</v>
      </c>
      <c r="AB48" s="3" t="s">
        <v>78</v>
      </c>
      <c r="AC48" s="3" t="s">
        <v>31</v>
      </c>
      <c r="AD48" s="3">
        <v>0</v>
      </c>
    </row>
    <row r="49" spans="1:30" x14ac:dyDescent="0.3">
      <c r="A49" s="3">
        <v>14.1</v>
      </c>
      <c r="B49" s="3" t="s">
        <v>353</v>
      </c>
      <c r="C49" s="3" t="s">
        <v>186</v>
      </c>
      <c r="D49" s="3" t="s">
        <v>31</v>
      </c>
      <c r="E49" s="3" t="s">
        <v>32</v>
      </c>
      <c r="F49" s="12">
        <v>46022</v>
      </c>
      <c r="G49" s="3">
        <v>2025</v>
      </c>
      <c r="H49" s="3" t="s">
        <v>44</v>
      </c>
      <c r="I49" s="3" t="s">
        <v>465</v>
      </c>
      <c r="J49" s="3"/>
      <c r="K49" s="3">
        <v>16981</v>
      </c>
      <c r="L49" s="3">
        <v>17472</v>
      </c>
      <c r="M49" s="3">
        <f>+L49/K49</f>
        <v>1.0289146693363171</v>
      </c>
      <c r="N49" s="3">
        <f>+L49/K49</f>
        <v>1.0289146693363171</v>
      </c>
      <c r="O49" s="3" t="s">
        <v>35</v>
      </c>
      <c r="P49" s="3" t="s">
        <v>35</v>
      </c>
      <c r="Q49" s="3" t="str">
        <f t="shared" si="2"/>
        <v>14,1-2025-12-31</v>
      </c>
      <c r="R49" s="3">
        <v>0</v>
      </c>
      <c r="S49" s="3">
        <v>0</v>
      </c>
      <c r="T49" s="3" t="s">
        <v>443</v>
      </c>
      <c r="U49" s="3" t="s">
        <v>37</v>
      </c>
      <c r="V49" s="3" t="s">
        <v>30</v>
      </c>
      <c r="W49" s="3" t="s">
        <v>38</v>
      </c>
      <c r="X49" s="3" t="s">
        <v>39</v>
      </c>
      <c r="Y49" s="3" t="s">
        <v>40</v>
      </c>
      <c r="Z49" s="3" t="s">
        <v>86</v>
      </c>
      <c r="AA49" s="3" t="s">
        <v>339</v>
      </c>
      <c r="AB49" s="3" t="s">
        <v>78</v>
      </c>
      <c r="AC49" s="3" t="s">
        <v>31</v>
      </c>
      <c r="AD49" s="3">
        <v>0</v>
      </c>
    </row>
    <row r="50" spans="1:30" x14ac:dyDescent="0.3">
      <c r="A50" s="3">
        <v>14.2</v>
      </c>
      <c r="B50" s="3" t="s">
        <v>359</v>
      </c>
      <c r="C50" s="3" t="s">
        <v>30</v>
      </c>
      <c r="D50" s="3" t="s">
        <v>31</v>
      </c>
      <c r="E50" s="3" t="s">
        <v>32</v>
      </c>
      <c r="F50" s="12">
        <v>43281</v>
      </c>
      <c r="G50" s="3">
        <f t="shared" ref="G50:G61" si="7">YEAR(F50)</f>
        <v>2018</v>
      </c>
      <c r="H50" s="3" t="str">
        <f t="shared" ref="H50:H61" si="8">PROPER(TEXT(F50,"mmmm"))</f>
        <v>Junio</v>
      </c>
      <c r="I50" s="3" t="str">
        <f t="shared" ref="I50:I61" si="9">IF(H50="Junio",G50&amp;"-1",G50&amp;"-2")</f>
        <v>2018-1</v>
      </c>
      <c r="J50" s="3">
        <v>1</v>
      </c>
      <c r="K50" s="3"/>
      <c r="L50" s="11">
        <v>39163</v>
      </c>
      <c r="M50" s="3"/>
      <c r="N50" s="3"/>
      <c r="O50" s="3" t="s">
        <v>35</v>
      </c>
      <c r="P50" s="3" t="s">
        <v>35</v>
      </c>
      <c r="Q50" s="3" t="str">
        <f t="shared" si="2"/>
        <v>14,2-2018-06-30</v>
      </c>
      <c r="R50" s="3">
        <v>0</v>
      </c>
      <c r="S50" s="3">
        <v>0</v>
      </c>
      <c r="T50" s="3" t="s">
        <v>31</v>
      </c>
      <c r="U50" s="3" t="s">
        <v>37</v>
      </c>
      <c r="V50" s="3" t="s">
        <v>30</v>
      </c>
      <c r="W50" s="3" t="s">
        <v>38</v>
      </c>
      <c r="X50" s="3" t="s">
        <v>39</v>
      </c>
      <c r="Y50" s="3" t="s">
        <v>40</v>
      </c>
      <c r="Z50" s="3" t="s">
        <v>86</v>
      </c>
      <c r="AA50" s="3" t="s">
        <v>339</v>
      </c>
      <c r="AB50" s="3" t="s">
        <v>78</v>
      </c>
      <c r="AC50" s="3" t="s">
        <v>31</v>
      </c>
      <c r="AD50" s="3">
        <v>0</v>
      </c>
    </row>
    <row r="51" spans="1:30" x14ac:dyDescent="0.3">
      <c r="A51" s="3">
        <v>14.2</v>
      </c>
      <c r="B51" s="3" t="s">
        <v>359</v>
      </c>
      <c r="C51" s="3" t="s">
        <v>186</v>
      </c>
      <c r="D51" s="3" t="s">
        <v>31</v>
      </c>
      <c r="E51" s="3" t="s">
        <v>32</v>
      </c>
      <c r="F51" s="12">
        <v>43465</v>
      </c>
      <c r="G51" s="3">
        <f t="shared" si="7"/>
        <v>2018</v>
      </c>
      <c r="H51" s="3" t="str">
        <f t="shared" si="8"/>
        <v>Diciembre</v>
      </c>
      <c r="I51" s="3" t="str">
        <f t="shared" si="9"/>
        <v>2018-2</v>
      </c>
      <c r="J51" s="3">
        <v>2</v>
      </c>
      <c r="K51" s="3"/>
      <c r="L51" s="11">
        <v>40871</v>
      </c>
      <c r="M51" s="3"/>
      <c r="N51" s="3"/>
      <c r="O51" s="3" t="s">
        <v>35</v>
      </c>
      <c r="P51" s="3" t="s">
        <v>35</v>
      </c>
      <c r="Q51" s="3" t="str">
        <f t="shared" si="2"/>
        <v>14,2-2018-12-31</v>
      </c>
      <c r="R51" s="3">
        <v>0</v>
      </c>
      <c r="S51" s="3">
        <v>0</v>
      </c>
      <c r="T51" s="3" t="s">
        <v>31</v>
      </c>
      <c r="U51" s="3" t="s">
        <v>37</v>
      </c>
      <c r="V51" s="3" t="s">
        <v>30</v>
      </c>
      <c r="W51" s="3" t="s">
        <v>38</v>
      </c>
      <c r="X51" s="3" t="s">
        <v>39</v>
      </c>
      <c r="Y51" s="3" t="s">
        <v>40</v>
      </c>
      <c r="Z51" s="3" t="s">
        <v>86</v>
      </c>
      <c r="AA51" s="3" t="s">
        <v>339</v>
      </c>
      <c r="AB51" s="3" t="s">
        <v>78</v>
      </c>
      <c r="AC51" s="3" t="s">
        <v>31</v>
      </c>
      <c r="AD51" s="3">
        <v>0</v>
      </c>
    </row>
    <row r="52" spans="1:30" x14ac:dyDescent="0.3">
      <c r="A52" s="3">
        <v>14.2</v>
      </c>
      <c r="B52" s="3" t="s">
        <v>359</v>
      </c>
      <c r="C52" s="3" t="s">
        <v>186</v>
      </c>
      <c r="D52" s="3" t="s">
        <v>31</v>
      </c>
      <c r="E52" s="3" t="s">
        <v>32</v>
      </c>
      <c r="F52" s="12">
        <v>43465</v>
      </c>
      <c r="G52" s="3">
        <f t="shared" si="7"/>
        <v>2018</v>
      </c>
      <c r="H52" s="3" t="str">
        <f t="shared" si="8"/>
        <v>Diciembre</v>
      </c>
      <c r="I52" s="3" t="str">
        <f t="shared" si="9"/>
        <v>2018-2</v>
      </c>
      <c r="J52" s="3"/>
      <c r="K52" s="3"/>
      <c r="L52" s="3">
        <v>80034</v>
      </c>
      <c r="M52" s="3"/>
      <c r="N52" s="3"/>
      <c r="O52" s="3" t="s">
        <v>35</v>
      </c>
      <c r="P52" s="3" t="s">
        <v>35</v>
      </c>
      <c r="Q52" s="3" t="str">
        <f t="shared" si="2"/>
        <v>14,2-2018-12-31</v>
      </c>
      <c r="R52" s="3">
        <v>0</v>
      </c>
      <c r="S52" s="3">
        <v>0</v>
      </c>
      <c r="T52" s="3" t="s">
        <v>443</v>
      </c>
      <c r="U52" s="3" t="s">
        <v>37</v>
      </c>
      <c r="V52" s="3" t="s">
        <v>30</v>
      </c>
      <c r="W52" s="3" t="s">
        <v>38</v>
      </c>
      <c r="X52" s="3" t="s">
        <v>39</v>
      </c>
      <c r="Y52" s="3" t="s">
        <v>40</v>
      </c>
      <c r="Z52" s="3" t="s">
        <v>86</v>
      </c>
      <c r="AA52" s="3" t="s">
        <v>339</v>
      </c>
      <c r="AB52" s="3" t="s">
        <v>78</v>
      </c>
      <c r="AC52" s="3" t="s">
        <v>31</v>
      </c>
      <c r="AD52" s="3">
        <v>0</v>
      </c>
    </row>
    <row r="53" spans="1:30" x14ac:dyDescent="0.3">
      <c r="A53" s="3">
        <v>14.2</v>
      </c>
      <c r="B53" s="3" t="s">
        <v>359</v>
      </c>
      <c r="C53" s="3" t="s">
        <v>30</v>
      </c>
      <c r="D53" s="3" t="s">
        <v>31</v>
      </c>
      <c r="E53" s="3" t="s">
        <v>32</v>
      </c>
      <c r="F53" s="12">
        <v>43646</v>
      </c>
      <c r="G53" s="3">
        <f t="shared" si="7"/>
        <v>2019</v>
      </c>
      <c r="H53" s="3" t="str">
        <f t="shared" si="8"/>
        <v>Junio</v>
      </c>
      <c r="I53" s="3" t="str">
        <f t="shared" si="9"/>
        <v>2019-1</v>
      </c>
      <c r="J53" s="3">
        <v>1</v>
      </c>
      <c r="K53" s="3"/>
      <c r="L53" s="11">
        <v>44631</v>
      </c>
      <c r="M53" s="3"/>
      <c r="N53" s="3"/>
      <c r="O53" s="3" t="s">
        <v>35</v>
      </c>
      <c r="P53" s="3" t="s">
        <v>35</v>
      </c>
      <c r="Q53" s="3" t="str">
        <f t="shared" si="2"/>
        <v>14,2-2019-06-30</v>
      </c>
      <c r="R53" s="3">
        <v>0</v>
      </c>
      <c r="S53" s="3">
        <v>0</v>
      </c>
      <c r="T53" s="3" t="s">
        <v>31</v>
      </c>
      <c r="U53" s="3" t="s">
        <v>37</v>
      </c>
      <c r="V53" s="3" t="s">
        <v>30</v>
      </c>
      <c r="W53" s="3" t="s">
        <v>38</v>
      </c>
      <c r="X53" s="3" t="s">
        <v>39</v>
      </c>
      <c r="Y53" s="3" t="s">
        <v>40</v>
      </c>
      <c r="Z53" s="3" t="s">
        <v>86</v>
      </c>
      <c r="AA53" s="3" t="s">
        <v>339</v>
      </c>
      <c r="AB53" s="3" t="s">
        <v>78</v>
      </c>
      <c r="AC53" s="3" t="s">
        <v>31</v>
      </c>
      <c r="AD53" s="3">
        <v>0</v>
      </c>
    </row>
    <row r="54" spans="1:30" x14ac:dyDescent="0.3">
      <c r="A54" s="3">
        <v>14.2</v>
      </c>
      <c r="B54" s="3" t="s">
        <v>359</v>
      </c>
      <c r="C54" s="3" t="s">
        <v>186</v>
      </c>
      <c r="D54" s="3" t="s">
        <v>31</v>
      </c>
      <c r="E54" s="3" t="s">
        <v>32</v>
      </c>
      <c r="F54" s="12">
        <v>43830</v>
      </c>
      <c r="G54" s="3">
        <f t="shared" si="7"/>
        <v>2019</v>
      </c>
      <c r="H54" s="3" t="str">
        <f t="shared" si="8"/>
        <v>Diciembre</v>
      </c>
      <c r="I54" s="3" t="str">
        <f t="shared" si="9"/>
        <v>2019-2</v>
      </c>
      <c r="J54" s="3">
        <v>2</v>
      </c>
      <c r="K54" s="3"/>
      <c r="L54" s="11">
        <v>43611</v>
      </c>
      <c r="M54" s="3"/>
      <c r="N54" s="3"/>
      <c r="O54" s="3" t="s">
        <v>35</v>
      </c>
      <c r="P54" s="3" t="s">
        <v>35</v>
      </c>
      <c r="Q54" s="3" t="str">
        <f t="shared" si="2"/>
        <v>14,2-2019-12-31</v>
      </c>
      <c r="R54" s="3">
        <v>0</v>
      </c>
      <c r="S54" s="3">
        <v>0</v>
      </c>
      <c r="T54" s="3" t="s">
        <v>31</v>
      </c>
      <c r="U54" s="3" t="s">
        <v>37</v>
      </c>
      <c r="V54" s="3" t="s">
        <v>30</v>
      </c>
      <c r="W54" s="3" t="s">
        <v>38</v>
      </c>
      <c r="X54" s="3" t="s">
        <v>39</v>
      </c>
      <c r="Y54" s="3" t="s">
        <v>40</v>
      </c>
      <c r="Z54" s="3" t="s">
        <v>86</v>
      </c>
      <c r="AA54" s="3" t="s">
        <v>339</v>
      </c>
      <c r="AB54" s="3" t="s">
        <v>78</v>
      </c>
      <c r="AC54" s="3" t="s">
        <v>31</v>
      </c>
      <c r="AD54" s="3">
        <v>0</v>
      </c>
    </row>
    <row r="55" spans="1:30" x14ac:dyDescent="0.3">
      <c r="A55" s="3">
        <v>14.2</v>
      </c>
      <c r="B55" s="3" t="s">
        <v>359</v>
      </c>
      <c r="C55" s="3" t="s">
        <v>186</v>
      </c>
      <c r="D55" s="3" t="s">
        <v>31</v>
      </c>
      <c r="E55" s="3" t="s">
        <v>32</v>
      </c>
      <c r="F55" s="12">
        <v>43830</v>
      </c>
      <c r="G55" s="3">
        <f t="shared" si="7"/>
        <v>2019</v>
      </c>
      <c r="H55" s="3" t="str">
        <f t="shared" si="8"/>
        <v>Diciembre</v>
      </c>
      <c r="I55" s="3" t="str">
        <f t="shared" si="9"/>
        <v>2019-2</v>
      </c>
      <c r="J55" s="3"/>
      <c r="K55" s="3"/>
      <c r="L55" s="3">
        <v>88242</v>
      </c>
      <c r="M55" s="3"/>
      <c r="N55" s="3"/>
      <c r="O55" s="3" t="s">
        <v>35</v>
      </c>
      <c r="P55" s="3" t="s">
        <v>35</v>
      </c>
      <c r="Q55" s="3" t="str">
        <f t="shared" si="2"/>
        <v>14,2-2019-12-31</v>
      </c>
      <c r="R55" s="3">
        <v>0</v>
      </c>
      <c r="S55" s="3">
        <v>0</v>
      </c>
      <c r="T55" s="3" t="s">
        <v>443</v>
      </c>
      <c r="U55" s="3" t="s">
        <v>37</v>
      </c>
      <c r="V55" s="3" t="s">
        <v>30</v>
      </c>
      <c r="W55" s="3" t="s">
        <v>38</v>
      </c>
      <c r="X55" s="3" t="s">
        <v>39</v>
      </c>
      <c r="Y55" s="3" t="s">
        <v>40</v>
      </c>
      <c r="Z55" s="3" t="s">
        <v>86</v>
      </c>
      <c r="AA55" s="3" t="s">
        <v>339</v>
      </c>
      <c r="AB55" s="3" t="s">
        <v>78</v>
      </c>
      <c r="AC55" s="3" t="s">
        <v>31</v>
      </c>
      <c r="AD55" s="3">
        <v>0</v>
      </c>
    </row>
    <row r="56" spans="1:30" x14ac:dyDescent="0.3">
      <c r="A56" s="3">
        <v>14.2</v>
      </c>
      <c r="B56" s="3" t="s">
        <v>359</v>
      </c>
      <c r="C56" s="3" t="s">
        <v>30</v>
      </c>
      <c r="D56" s="3" t="s">
        <v>31</v>
      </c>
      <c r="E56" s="3" t="s">
        <v>32</v>
      </c>
      <c r="F56" s="12">
        <v>44012</v>
      </c>
      <c r="G56" s="3">
        <f t="shared" si="7"/>
        <v>2020</v>
      </c>
      <c r="H56" s="3" t="str">
        <f t="shared" si="8"/>
        <v>Junio</v>
      </c>
      <c r="I56" s="3" t="str">
        <f t="shared" si="9"/>
        <v>2020-1</v>
      </c>
      <c r="J56" s="3">
        <v>1</v>
      </c>
      <c r="K56" s="3"/>
      <c r="L56" s="11">
        <v>45713</v>
      </c>
      <c r="M56" s="3"/>
      <c r="N56" s="3"/>
      <c r="O56" s="3" t="s">
        <v>35</v>
      </c>
      <c r="P56" s="3" t="s">
        <v>35</v>
      </c>
      <c r="Q56" s="3" t="str">
        <f t="shared" si="2"/>
        <v>14,2-2020-06-30</v>
      </c>
      <c r="R56" s="3">
        <v>0</v>
      </c>
      <c r="S56" s="3">
        <v>0</v>
      </c>
      <c r="T56" s="3" t="s">
        <v>31</v>
      </c>
      <c r="U56" s="3" t="s">
        <v>37</v>
      </c>
      <c r="V56" s="3" t="s">
        <v>30</v>
      </c>
      <c r="W56" s="3" t="s">
        <v>38</v>
      </c>
      <c r="X56" s="3" t="s">
        <v>39</v>
      </c>
      <c r="Y56" s="3" t="s">
        <v>40</v>
      </c>
      <c r="Z56" s="3" t="s">
        <v>86</v>
      </c>
      <c r="AA56" s="3" t="s">
        <v>339</v>
      </c>
      <c r="AB56" s="3" t="s">
        <v>78</v>
      </c>
      <c r="AC56" s="3" t="s">
        <v>31</v>
      </c>
      <c r="AD56" s="3">
        <v>0</v>
      </c>
    </row>
    <row r="57" spans="1:30" x14ac:dyDescent="0.3">
      <c r="A57" s="3">
        <v>14.2</v>
      </c>
      <c r="B57" s="3" t="s">
        <v>359</v>
      </c>
      <c r="C57" s="3" t="s">
        <v>186</v>
      </c>
      <c r="D57" s="3" t="s">
        <v>31</v>
      </c>
      <c r="E57" s="3" t="s">
        <v>32</v>
      </c>
      <c r="F57" s="12">
        <v>44196</v>
      </c>
      <c r="G57" s="3">
        <f t="shared" si="7"/>
        <v>2020</v>
      </c>
      <c r="H57" s="3" t="str">
        <f t="shared" si="8"/>
        <v>Diciembre</v>
      </c>
      <c r="I57" s="3" t="str">
        <f t="shared" si="9"/>
        <v>2020-2</v>
      </c>
      <c r="J57" s="3">
        <v>2</v>
      </c>
      <c r="K57" s="3"/>
      <c r="L57" s="11">
        <v>43447</v>
      </c>
      <c r="M57" s="3"/>
      <c r="N57" s="3"/>
      <c r="O57" s="3" t="s">
        <v>35</v>
      </c>
      <c r="P57" s="3" t="s">
        <v>35</v>
      </c>
      <c r="Q57" s="3" t="str">
        <f t="shared" si="2"/>
        <v>14,2-2020-12-31</v>
      </c>
      <c r="R57" s="3">
        <v>0</v>
      </c>
      <c r="S57" s="3">
        <v>0</v>
      </c>
      <c r="T57" s="3" t="s">
        <v>31</v>
      </c>
      <c r="U57" s="3" t="s">
        <v>37</v>
      </c>
      <c r="V57" s="3" t="s">
        <v>30</v>
      </c>
      <c r="W57" s="3" t="s">
        <v>38</v>
      </c>
      <c r="X57" s="3" t="s">
        <v>39</v>
      </c>
      <c r="Y57" s="3" t="s">
        <v>40</v>
      </c>
      <c r="Z57" s="3" t="s">
        <v>86</v>
      </c>
      <c r="AA57" s="3" t="s">
        <v>339</v>
      </c>
      <c r="AB57" s="3" t="s">
        <v>78</v>
      </c>
      <c r="AC57" s="3" t="s">
        <v>31</v>
      </c>
      <c r="AD57" s="3">
        <v>0</v>
      </c>
    </row>
    <row r="58" spans="1:30" x14ac:dyDescent="0.3">
      <c r="A58" s="3">
        <v>14.2</v>
      </c>
      <c r="B58" s="3" t="s">
        <v>359</v>
      </c>
      <c r="C58" s="3" t="s">
        <v>186</v>
      </c>
      <c r="D58" s="3" t="s">
        <v>31</v>
      </c>
      <c r="E58" s="3" t="s">
        <v>32</v>
      </c>
      <c r="F58" s="12">
        <v>44196</v>
      </c>
      <c r="G58" s="3">
        <f t="shared" si="7"/>
        <v>2020</v>
      </c>
      <c r="H58" s="3" t="str">
        <f t="shared" si="8"/>
        <v>Diciembre</v>
      </c>
      <c r="I58" s="3" t="str">
        <f t="shared" si="9"/>
        <v>2020-2</v>
      </c>
      <c r="J58" s="3"/>
      <c r="K58" s="3"/>
      <c r="L58" s="3">
        <v>89160</v>
      </c>
      <c r="M58" s="3"/>
      <c r="N58" s="3"/>
      <c r="O58" s="3" t="s">
        <v>35</v>
      </c>
      <c r="P58" s="3" t="s">
        <v>35</v>
      </c>
      <c r="Q58" s="3" t="str">
        <f t="shared" si="2"/>
        <v>14,2-2020-12-31</v>
      </c>
      <c r="R58" s="3">
        <v>0</v>
      </c>
      <c r="S58" s="3">
        <v>0</v>
      </c>
      <c r="T58" s="3" t="s">
        <v>443</v>
      </c>
      <c r="U58" s="3" t="s">
        <v>37</v>
      </c>
      <c r="V58" s="3" t="s">
        <v>30</v>
      </c>
      <c r="W58" s="3" t="s">
        <v>38</v>
      </c>
      <c r="X58" s="3" t="s">
        <v>39</v>
      </c>
      <c r="Y58" s="3" t="s">
        <v>40</v>
      </c>
      <c r="Z58" s="3" t="s">
        <v>86</v>
      </c>
      <c r="AA58" s="3" t="s">
        <v>339</v>
      </c>
      <c r="AB58" s="3" t="s">
        <v>78</v>
      </c>
      <c r="AC58" s="3" t="s">
        <v>31</v>
      </c>
      <c r="AD58" s="3">
        <v>0</v>
      </c>
    </row>
    <row r="59" spans="1:30" x14ac:dyDescent="0.3">
      <c r="A59" s="3">
        <v>14.2</v>
      </c>
      <c r="B59" s="3" t="s">
        <v>359</v>
      </c>
      <c r="C59" s="3" t="s">
        <v>30</v>
      </c>
      <c r="D59" s="3" t="s">
        <v>31</v>
      </c>
      <c r="E59" s="3" t="s">
        <v>32</v>
      </c>
      <c r="F59" s="12">
        <v>44377</v>
      </c>
      <c r="G59" s="3">
        <f t="shared" si="7"/>
        <v>2021</v>
      </c>
      <c r="H59" s="3" t="str">
        <f t="shared" si="8"/>
        <v>Junio</v>
      </c>
      <c r="I59" s="3" t="str">
        <f t="shared" si="9"/>
        <v>2021-1</v>
      </c>
      <c r="J59" s="3">
        <v>1</v>
      </c>
      <c r="K59" s="3"/>
      <c r="L59" s="11">
        <v>43569</v>
      </c>
      <c r="M59" s="3"/>
      <c r="N59" s="3"/>
      <c r="O59" s="3" t="s">
        <v>35</v>
      </c>
      <c r="P59" s="3" t="s">
        <v>35</v>
      </c>
      <c r="Q59" s="3" t="str">
        <f t="shared" si="2"/>
        <v>14,2-2021-06-30</v>
      </c>
      <c r="R59" s="3">
        <v>0</v>
      </c>
      <c r="S59" s="3">
        <v>0</v>
      </c>
      <c r="T59" s="3" t="s">
        <v>31</v>
      </c>
      <c r="U59" s="3" t="s">
        <v>37</v>
      </c>
      <c r="V59" s="3" t="s">
        <v>30</v>
      </c>
      <c r="W59" s="3" t="s">
        <v>38</v>
      </c>
      <c r="X59" s="3" t="s">
        <v>39</v>
      </c>
      <c r="Y59" s="3" t="s">
        <v>40</v>
      </c>
      <c r="Z59" s="3" t="s">
        <v>86</v>
      </c>
      <c r="AA59" s="3" t="s">
        <v>339</v>
      </c>
      <c r="AB59" s="3" t="s">
        <v>78</v>
      </c>
      <c r="AC59" s="3" t="s">
        <v>31</v>
      </c>
      <c r="AD59" s="3">
        <v>0</v>
      </c>
    </row>
    <row r="60" spans="1:30" x14ac:dyDescent="0.3">
      <c r="A60" s="3">
        <v>14.2</v>
      </c>
      <c r="B60" s="3" t="s">
        <v>359</v>
      </c>
      <c r="C60" s="3" t="s">
        <v>186</v>
      </c>
      <c r="D60" s="3" t="s">
        <v>31</v>
      </c>
      <c r="E60" s="3" t="s">
        <v>32</v>
      </c>
      <c r="F60" s="12">
        <v>44561</v>
      </c>
      <c r="G60" s="3">
        <f t="shared" si="7"/>
        <v>2021</v>
      </c>
      <c r="H60" s="3" t="str">
        <f t="shared" si="8"/>
        <v>Diciembre</v>
      </c>
      <c r="I60" s="3" t="str">
        <f t="shared" si="9"/>
        <v>2021-2</v>
      </c>
      <c r="J60" s="3">
        <v>2</v>
      </c>
      <c r="K60" s="3"/>
      <c r="L60" s="11">
        <v>41540</v>
      </c>
      <c r="M60" s="3"/>
      <c r="N60" s="3"/>
      <c r="O60" s="3" t="s">
        <v>35</v>
      </c>
      <c r="P60" s="3" t="s">
        <v>35</v>
      </c>
      <c r="Q60" s="3" t="str">
        <f t="shared" si="2"/>
        <v>14,2-2021-12-31</v>
      </c>
      <c r="R60" s="3">
        <v>0</v>
      </c>
      <c r="S60" s="3">
        <v>0</v>
      </c>
      <c r="T60" s="3" t="s">
        <v>31</v>
      </c>
      <c r="U60" s="3" t="s">
        <v>37</v>
      </c>
      <c r="V60" s="3" t="s">
        <v>30</v>
      </c>
      <c r="W60" s="3" t="s">
        <v>38</v>
      </c>
      <c r="X60" s="3" t="s">
        <v>39</v>
      </c>
      <c r="Y60" s="3" t="s">
        <v>40</v>
      </c>
      <c r="Z60" s="3" t="s">
        <v>86</v>
      </c>
      <c r="AA60" s="3" t="s">
        <v>339</v>
      </c>
      <c r="AB60" s="3" t="s">
        <v>78</v>
      </c>
      <c r="AC60" s="3" t="s">
        <v>31</v>
      </c>
      <c r="AD60" s="3">
        <v>0</v>
      </c>
    </row>
    <row r="61" spans="1:30" x14ac:dyDescent="0.3">
      <c r="A61" s="3">
        <v>14.2</v>
      </c>
      <c r="B61" s="3" t="s">
        <v>359</v>
      </c>
      <c r="C61" s="3" t="s">
        <v>186</v>
      </c>
      <c r="D61" s="3" t="s">
        <v>31</v>
      </c>
      <c r="E61" s="3" t="s">
        <v>32</v>
      </c>
      <c r="F61" s="12">
        <v>44561</v>
      </c>
      <c r="G61" s="3">
        <f t="shared" si="7"/>
        <v>2021</v>
      </c>
      <c r="H61" s="3" t="str">
        <f t="shared" si="8"/>
        <v>Diciembre</v>
      </c>
      <c r="I61" s="3" t="str">
        <f t="shared" si="9"/>
        <v>2021-2</v>
      </c>
      <c r="J61" s="3"/>
      <c r="K61" s="3"/>
      <c r="L61" s="3">
        <v>85109</v>
      </c>
      <c r="M61" s="3"/>
      <c r="N61" s="3"/>
      <c r="O61" s="3" t="s">
        <v>35</v>
      </c>
      <c r="P61" s="3" t="s">
        <v>35</v>
      </c>
      <c r="Q61" s="3" t="str">
        <f t="shared" si="2"/>
        <v>14,2-2021-12-31</v>
      </c>
      <c r="R61" s="3">
        <v>0</v>
      </c>
      <c r="S61" s="3">
        <v>0</v>
      </c>
      <c r="T61" s="3" t="s">
        <v>443</v>
      </c>
      <c r="U61" s="3" t="s">
        <v>37</v>
      </c>
      <c r="V61" s="3" t="s">
        <v>30</v>
      </c>
      <c r="W61" s="3" t="s">
        <v>38</v>
      </c>
      <c r="X61" s="3" t="s">
        <v>39</v>
      </c>
      <c r="Y61" s="3" t="s">
        <v>40</v>
      </c>
      <c r="Z61" s="3" t="s">
        <v>86</v>
      </c>
      <c r="AA61" s="3" t="s">
        <v>339</v>
      </c>
      <c r="AB61" s="3" t="s">
        <v>78</v>
      </c>
      <c r="AC61" s="3" t="s">
        <v>31</v>
      </c>
      <c r="AD61" s="3">
        <v>0</v>
      </c>
    </row>
    <row r="62" spans="1:30" x14ac:dyDescent="0.3">
      <c r="A62" s="3">
        <v>14.2</v>
      </c>
      <c r="B62" s="3" t="s">
        <v>359</v>
      </c>
      <c r="C62" s="3" t="s">
        <v>30</v>
      </c>
      <c r="D62" s="3" t="s">
        <v>31</v>
      </c>
      <c r="E62" s="3" t="s">
        <v>32</v>
      </c>
      <c r="F62" s="12">
        <v>44742</v>
      </c>
      <c r="G62" s="3">
        <v>2022</v>
      </c>
      <c r="H62" s="3" t="s">
        <v>33</v>
      </c>
      <c r="I62" s="3" t="s">
        <v>34</v>
      </c>
      <c r="J62" s="3">
        <v>1</v>
      </c>
      <c r="K62" s="3">
        <v>42889</v>
      </c>
      <c r="L62" s="3">
        <v>43361</v>
      </c>
      <c r="M62" s="3">
        <v>1.010958520832848</v>
      </c>
      <c r="N62" s="3">
        <v>1.010958520832848</v>
      </c>
      <c r="O62" s="3" t="s">
        <v>35</v>
      </c>
      <c r="P62" s="3" t="s">
        <v>35</v>
      </c>
      <c r="Q62" s="3" t="str">
        <f t="shared" si="2"/>
        <v>14,2-2022-06-30</v>
      </c>
      <c r="R62" s="3">
        <v>0</v>
      </c>
      <c r="S62" s="3">
        <v>0</v>
      </c>
      <c r="T62" s="3" t="s">
        <v>31</v>
      </c>
      <c r="U62" s="3" t="s">
        <v>37</v>
      </c>
      <c r="V62" s="3" t="s">
        <v>30</v>
      </c>
      <c r="W62" s="3" t="s">
        <v>38</v>
      </c>
      <c r="X62" s="3" t="s">
        <v>39</v>
      </c>
      <c r="Y62" s="3" t="s">
        <v>40</v>
      </c>
      <c r="Z62" s="3" t="s">
        <v>86</v>
      </c>
      <c r="AA62" s="3" t="s">
        <v>339</v>
      </c>
      <c r="AB62" s="3" t="s">
        <v>78</v>
      </c>
      <c r="AC62" s="3" t="s">
        <v>31</v>
      </c>
      <c r="AD62" s="3">
        <v>0</v>
      </c>
    </row>
    <row r="63" spans="1:30" x14ac:dyDescent="0.3">
      <c r="A63" s="3">
        <v>14.2</v>
      </c>
      <c r="B63" s="3" t="s">
        <v>359</v>
      </c>
      <c r="C63" s="3" t="s">
        <v>30</v>
      </c>
      <c r="D63" s="3" t="s">
        <v>31</v>
      </c>
      <c r="E63" s="3" t="s">
        <v>32</v>
      </c>
      <c r="F63" s="12">
        <v>44926</v>
      </c>
      <c r="G63" s="3">
        <v>2022</v>
      </c>
      <c r="H63" s="3" t="s">
        <v>44</v>
      </c>
      <c r="I63" s="3" t="s">
        <v>45</v>
      </c>
      <c r="J63" s="3">
        <v>2</v>
      </c>
      <c r="K63" s="3">
        <v>42274</v>
      </c>
      <c r="L63" s="3">
        <v>42702</v>
      </c>
      <c r="M63" s="3">
        <v>1.0100534607560201</v>
      </c>
      <c r="N63" s="3">
        <v>1.0100534607560201</v>
      </c>
      <c r="O63" s="3" t="s">
        <v>35</v>
      </c>
      <c r="P63" s="3" t="s">
        <v>35</v>
      </c>
      <c r="Q63" s="3" t="str">
        <f t="shared" si="2"/>
        <v>14,2-2022-12-31</v>
      </c>
      <c r="R63" s="3">
        <v>0</v>
      </c>
      <c r="S63" s="3">
        <v>0</v>
      </c>
      <c r="T63" s="3" t="s">
        <v>31</v>
      </c>
      <c r="U63" s="3" t="s">
        <v>37</v>
      </c>
      <c r="V63" s="3" t="s">
        <v>30</v>
      </c>
      <c r="W63" s="3" t="s">
        <v>38</v>
      </c>
      <c r="X63" s="3" t="s">
        <v>39</v>
      </c>
      <c r="Y63" s="3" t="s">
        <v>40</v>
      </c>
      <c r="Z63" s="3" t="s">
        <v>86</v>
      </c>
      <c r="AA63" s="3" t="s">
        <v>339</v>
      </c>
      <c r="AB63" s="3" t="s">
        <v>78</v>
      </c>
      <c r="AC63" s="3" t="s">
        <v>31</v>
      </c>
      <c r="AD63" s="3">
        <v>0</v>
      </c>
    </row>
    <row r="64" spans="1:30" x14ac:dyDescent="0.3">
      <c r="A64" s="3">
        <v>14.2</v>
      </c>
      <c r="B64" s="3" t="s">
        <v>359</v>
      </c>
      <c r="C64" s="3" t="s">
        <v>30</v>
      </c>
      <c r="D64" s="3" t="s">
        <v>31</v>
      </c>
      <c r="E64" s="3" t="s">
        <v>32</v>
      </c>
      <c r="F64" s="12">
        <v>44926</v>
      </c>
      <c r="G64" s="3">
        <v>2022</v>
      </c>
      <c r="H64" s="3" t="s">
        <v>44</v>
      </c>
      <c r="I64" s="3" t="s">
        <v>45</v>
      </c>
      <c r="J64" s="3"/>
      <c r="K64" s="3">
        <v>85163</v>
      </c>
      <c r="L64" s="3">
        <v>86063</v>
      </c>
      <c r="M64" s="3">
        <v>1.010509258715639</v>
      </c>
      <c r="N64" s="3">
        <v>1.010509258715639</v>
      </c>
      <c r="O64" s="3" t="s">
        <v>35</v>
      </c>
      <c r="P64" s="3" t="s">
        <v>35</v>
      </c>
      <c r="Q64" s="3" t="str">
        <f t="shared" si="2"/>
        <v>14,2-2022-12-31</v>
      </c>
      <c r="R64" s="3">
        <v>0</v>
      </c>
      <c r="S64" s="3">
        <v>0</v>
      </c>
      <c r="T64" s="3" t="s">
        <v>443</v>
      </c>
      <c r="U64" s="3" t="s">
        <v>37</v>
      </c>
      <c r="V64" s="3" t="s">
        <v>30</v>
      </c>
      <c r="W64" s="3" t="s">
        <v>38</v>
      </c>
      <c r="X64" s="3" t="s">
        <v>39</v>
      </c>
      <c r="Y64" s="3" t="s">
        <v>40</v>
      </c>
      <c r="Z64" s="3" t="s">
        <v>86</v>
      </c>
      <c r="AA64" s="3" t="s">
        <v>339</v>
      </c>
      <c r="AB64" s="3" t="s">
        <v>78</v>
      </c>
      <c r="AC64" s="3" t="s">
        <v>31</v>
      </c>
      <c r="AD64" s="3">
        <v>0</v>
      </c>
    </row>
    <row r="65" spans="1:30" x14ac:dyDescent="0.3">
      <c r="A65" s="3">
        <v>14.2</v>
      </c>
      <c r="B65" s="3" t="s">
        <v>359</v>
      </c>
      <c r="C65" s="3" t="s">
        <v>30</v>
      </c>
      <c r="D65" s="3" t="s">
        <v>31</v>
      </c>
      <c r="E65" s="3" t="s">
        <v>32</v>
      </c>
      <c r="F65" s="12">
        <v>45107</v>
      </c>
      <c r="G65" s="3">
        <v>2023</v>
      </c>
      <c r="H65" s="3" t="s">
        <v>33</v>
      </c>
      <c r="I65" s="3" t="s">
        <v>47</v>
      </c>
      <c r="J65" s="3">
        <v>1</v>
      </c>
      <c r="K65" s="3">
        <v>44355</v>
      </c>
      <c r="L65" s="3">
        <v>43561</v>
      </c>
      <c r="M65" s="3">
        <v>0.98209897418554837</v>
      </c>
      <c r="N65" s="3">
        <v>0.98209897418554837</v>
      </c>
      <c r="O65" s="3" t="s">
        <v>35</v>
      </c>
      <c r="P65" s="3" t="s">
        <v>35</v>
      </c>
      <c r="Q65" s="3" t="str">
        <f t="shared" si="2"/>
        <v>14,2-2023-06-30</v>
      </c>
      <c r="R65" s="3">
        <v>0</v>
      </c>
      <c r="S65" s="3">
        <v>0</v>
      </c>
      <c r="T65" s="3" t="s">
        <v>31</v>
      </c>
      <c r="U65" s="3" t="s">
        <v>37</v>
      </c>
      <c r="V65" s="3" t="s">
        <v>30</v>
      </c>
      <c r="W65" s="3" t="s">
        <v>38</v>
      </c>
      <c r="X65" s="3" t="s">
        <v>39</v>
      </c>
      <c r="Y65" s="3" t="s">
        <v>40</v>
      </c>
      <c r="Z65" s="3" t="s">
        <v>86</v>
      </c>
      <c r="AA65" s="3" t="s">
        <v>339</v>
      </c>
      <c r="AB65" s="3" t="s">
        <v>78</v>
      </c>
      <c r="AC65" s="3" t="s">
        <v>31</v>
      </c>
      <c r="AD65" s="3">
        <v>0</v>
      </c>
    </row>
    <row r="66" spans="1:30" x14ac:dyDescent="0.3">
      <c r="A66" s="3">
        <v>14.2</v>
      </c>
      <c r="B66" s="3" t="s">
        <v>359</v>
      </c>
      <c r="C66" s="3" t="s">
        <v>186</v>
      </c>
      <c r="D66" s="3" t="s">
        <v>31</v>
      </c>
      <c r="E66" s="3" t="s">
        <v>32</v>
      </c>
      <c r="F66" s="12">
        <v>45291</v>
      </c>
      <c r="G66" s="3">
        <v>2023</v>
      </c>
      <c r="H66" s="3" t="s">
        <v>44</v>
      </c>
      <c r="I66" s="3" t="s">
        <v>49</v>
      </c>
      <c r="J66" s="3">
        <v>2</v>
      </c>
      <c r="K66" s="3">
        <v>44067</v>
      </c>
      <c r="L66" s="3">
        <v>43309</v>
      </c>
      <c r="M66" s="3">
        <v>0.98277622710872081</v>
      </c>
      <c r="N66" s="3">
        <v>0.98277622710872081</v>
      </c>
      <c r="O66" s="3" t="s">
        <v>35</v>
      </c>
      <c r="P66" s="3" t="s">
        <v>35</v>
      </c>
      <c r="Q66" s="3" t="str">
        <f t="shared" si="2"/>
        <v>14,2-2023-12-31</v>
      </c>
      <c r="R66" s="3">
        <v>0</v>
      </c>
      <c r="S66" s="3">
        <v>0</v>
      </c>
      <c r="T66" s="3" t="s">
        <v>31</v>
      </c>
      <c r="U66" s="3" t="s">
        <v>37</v>
      </c>
      <c r="V66" s="3" t="s">
        <v>30</v>
      </c>
      <c r="W66" s="3" t="s">
        <v>38</v>
      </c>
      <c r="X66" s="3" t="s">
        <v>39</v>
      </c>
      <c r="Y66" s="3" t="s">
        <v>40</v>
      </c>
      <c r="Z66" s="3" t="s">
        <v>86</v>
      </c>
      <c r="AA66" s="3" t="s">
        <v>339</v>
      </c>
      <c r="AB66" s="3" t="s">
        <v>78</v>
      </c>
      <c r="AC66" s="3" t="s">
        <v>31</v>
      </c>
      <c r="AD66" s="3">
        <v>0</v>
      </c>
    </row>
    <row r="67" spans="1:30" x14ac:dyDescent="0.3">
      <c r="A67" s="3">
        <v>14.2</v>
      </c>
      <c r="B67" s="3" t="s">
        <v>359</v>
      </c>
      <c r="C67" s="3" t="s">
        <v>186</v>
      </c>
      <c r="D67" s="3" t="s">
        <v>31</v>
      </c>
      <c r="E67" s="3" t="s">
        <v>32</v>
      </c>
      <c r="F67" s="12">
        <v>45291</v>
      </c>
      <c r="G67" s="3">
        <v>2023</v>
      </c>
      <c r="H67" s="3" t="s">
        <v>44</v>
      </c>
      <c r="I67" s="3" t="s">
        <v>49</v>
      </c>
      <c r="J67" s="3"/>
      <c r="K67" s="3">
        <v>88422</v>
      </c>
      <c r="L67" s="3">
        <v>86870</v>
      </c>
      <c r="M67" s="3">
        <v>0.98243649770419128</v>
      </c>
      <c r="N67" s="3">
        <v>0.98243649770419128</v>
      </c>
      <c r="O67" s="3" t="s">
        <v>35</v>
      </c>
      <c r="P67" s="3" t="s">
        <v>35</v>
      </c>
      <c r="Q67" s="3" t="str">
        <f t="shared" ref="Q67:Q130" si="10">A67&amp;"-"&amp;YEAR(F67)&amp;"-"&amp;IF(LEN(MONTH(F67))=1,"0"&amp;MONTH(F67),MONTH(F67))&amp;"-"&amp;IF(LEN(DAY(F67))=1,"0"&amp;DAY(F67),DAY(F67))</f>
        <v>14,2-2023-12-31</v>
      </c>
      <c r="R67" s="3">
        <v>0</v>
      </c>
      <c r="S67" s="3">
        <v>0</v>
      </c>
      <c r="T67" s="3" t="s">
        <v>443</v>
      </c>
      <c r="U67" s="3" t="s">
        <v>37</v>
      </c>
      <c r="V67" s="3" t="s">
        <v>30</v>
      </c>
      <c r="W67" s="3" t="s">
        <v>38</v>
      </c>
      <c r="X67" s="3" t="s">
        <v>39</v>
      </c>
      <c r="Y67" s="3" t="s">
        <v>40</v>
      </c>
      <c r="Z67" s="3" t="s">
        <v>86</v>
      </c>
      <c r="AA67" s="3" t="s">
        <v>339</v>
      </c>
      <c r="AB67" s="3" t="s">
        <v>78</v>
      </c>
      <c r="AC67" s="3" t="s">
        <v>31</v>
      </c>
      <c r="AD67" s="3">
        <v>0</v>
      </c>
    </row>
    <row r="68" spans="1:30" x14ac:dyDescent="0.3">
      <c r="A68" s="3">
        <v>14.2</v>
      </c>
      <c r="B68" s="3" t="s">
        <v>359</v>
      </c>
      <c r="C68" s="3" t="s">
        <v>186</v>
      </c>
      <c r="D68" s="3" t="s">
        <v>31</v>
      </c>
      <c r="E68" s="3" t="s">
        <v>32</v>
      </c>
      <c r="F68" s="12">
        <v>45473</v>
      </c>
      <c r="G68" s="3">
        <v>2024</v>
      </c>
      <c r="H68" s="3" t="s">
        <v>33</v>
      </c>
      <c r="I68" s="3" t="s">
        <v>51</v>
      </c>
      <c r="J68" s="3">
        <v>1</v>
      </c>
      <c r="K68" s="3">
        <v>44235</v>
      </c>
      <c r="L68" s="3">
        <v>44161</v>
      </c>
      <c r="M68" s="3">
        <v>0.99832711653667905</v>
      </c>
      <c r="N68" s="3">
        <v>1.0007686047563069</v>
      </c>
      <c r="O68" s="3" t="s">
        <v>35</v>
      </c>
      <c r="P68" s="3" t="s">
        <v>35</v>
      </c>
      <c r="Q68" s="3" t="str">
        <f t="shared" si="10"/>
        <v>14,2-2024-06-30</v>
      </c>
      <c r="R68" s="3">
        <v>0</v>
      </c>
      <c r="S68" s="3">
        <v>0</v>
      </c>
      <c r="T68" s="3" t="s">
        <v>31</v>
      </c>
      <c r="U68" s="3" t="s">
        <v>37</v>
      </c>
      <c r="V68" s="3" t="s">
        <v>30</v>
      </c>
      <c r="W68" s="3" t="s">
        <v>38</v>
      </c>
      <c r="X68" s="3" t="s">
        <v>39</v>
      </c>
      <c r="Y68" s="3" t="s">
        <v>40</v>
      </c>
      <c r="Z68" s="3" t="s">
        <v>86</v>
      </c>
      <c r="AA68" s="3" t="s">
        <v>339</v>
      </c>
      <c r="AB68" s="3" t="s">
        <v>78</v>
      </c>
      <c r="AC68" s="3" t="s">
        <v>31</v>
      </c>
      <c r="AD68" s="3">
        <v>0</v>
      </c>
    </row>
    <row r="69" spans="1:30" x14ac:dyDescent="0.3">
      <c r="A69" s="3">
        <v>14.2</v>
      </c>
      <c r="B69" s="3" t="s">
        <v>359</v>
      </c>
      <c r="C69" s="3" t="s">
        <v>186</v>
      </c>
      <c r="D69" s="3" t="s">
        <v>31</v>
      </c>
      <c r="E69" s="3" t="s">
        <v>32</v>
      </c>
      <c r="F69" s="12">
        <v>45657</v>
      </c>
      <c r="G69" s="3">
        <v>2024</v>
      </c>
      <c r="H69" s="3" t="s">
        <v>44</v>
      </c>
      <c r="I69" s="3" t="s">
        <v>53</v>
      </c>
      <c r="J69" s="3">
        <v>2</v>
      </c>
      <c r="K69" s="3">
        <v>43204</v>
      </c>
      <c r="L69" s="3">
        <v>43840</v>
      </c>
      <c r="M69" s="3">
        <v>1.0147208591797059</v>
      </c>
      <c r="N69" s="3">
        <v>1.0007686047563069</v>
      </c>
      <c r="O69" s="3" t="s">
        <v>35</v>
      </c>
      <c r="P69" s="3" t="s">
        <v>35</v>
      </c>
      <c r="Q69" s="3" t="str">
        <f t="shared" si="10"/>
        <v>14,2-2024-12-31</v>
      </c>
      <c r="R69" s="3">
        <v>0</v>
      </c>
      <c r="S69" s="3">
        <v>0</v>
      </c>
      <c r="T69" s="3" t="s">
        <v>31</v>
      </c>
      <c r="U69" s="3" t="s">
        <v>37</v>
      </c>
      <c r="V69" s="3" t="s">
        <v>30</v>
      </c>
      <c r="W69" s="3" t="s">
        <v>38</v>
      </c>
      <c r="X69" s="3" t="s">
        <v>39</v>
      </c>
      <c r="Y69" s="3" t="s">
        <v>40</v>
      </c>
      <c r="Z69" s="3" t="s">
        <v>86</v>
      </c>
      <c r="AA69" s="3" t="s">
        <v>339</v>
      </c>
      <c r="AB69" s="3" t="s">
        <v>78</v>
      </c>
      <c r="AC69" s="3" t="s">
        <v>31</v>
      </c>
      <c r="AD69" s="3">
        <v>0</v>
      </c>
    </row>
    <row r="70" spans="1:30" x14ac:dyDescent="0.3">
      <c r="A70" s="3">
        <v>14.2</v>
      </c>
      <c r="B70" s="3" t="s">
        <v>359</v>
      </c>
      <c r="C70" s="3" t="s">
        <v>186</v>
      </c>
      <c r="D70" s="3" t="s">
        <v>31</v>
      </c>
      <c r="E70" s="3" t="s">
        <v>32</v>
      </c>
      <c r="F70" s="12">
        <v>45657</v>
      </c>
      <c r="G70" s="3">
        <v>2024</v>
      </c>
      <c r="H70" s="3" t="s">
        <v>44</v>
      </c>
      <c r="I70" s="3" t="s">
        <v>53</v>
      </c>
      <c r="J70" s="3"/>
      <c r="K70" s="3">
        <v>87439</v>
      </c>
      <c r="L70" s="3">
        <v>88001</v>
      </c>
      <c r="M70" s="3">
        <v>1.006427337915575</v>
      </c>
      <c r="N70" s="3">
        <v>1.006427337915575</v>
      </c>
      <c r="O70" s="3" t="s">
        <v>35</v>
      </c>
      <c r="P70" s="3" t="s">
        <v>35</v>
      </c>
      <c r="Q70" s="3" t="str">
        <f t="shared" si="10"/>
        <v>14,2-2024-12-31</v>
      </c>
      <c r="R70" s="3">
        <v>0</v>
      </c>
      <c r="S70" s="3">
        <v>0</v>
      </c>
      <c r="T70" s="3" t="s">
        <v>443</v>
      </c>
      <c r="U70" s="3" t="s">
        <v>37</v>
      </c>
      <c r="V70" s="3" t="s">
        <v>30</v>
      </c>
      <c r="W70" s="3" t="s">
        <v>38</v>
      </c>
      <c r="X70" s="3" t="s">
        <v>39</v>
      </c>
      <c r="Y70" s="3" t="s">
        <v>40</v>
      </c>
      <c r="Z70" s="3" t="s">
        <v>86</v>
      </c>
      <c r="AA70" s="3" t="s">
        <v>339</v>
      </c>
      <c r="AB70" s="3" t="s">
        <v>78</v>
      </c>
      <c r="AC70" s="3" t="s">
        <v>31</v>
      </c>
      <c r="AD70" s="3">
        <v>0</v>
      </c>
    </row>
    <row r="71" spans="1:30" x14ac:dyDescent="0.3">
      <c r="A71" s="3">
        <v>14.2</v>
      </c>
      <c r="B71" s="3" t="s">
        <v>359</v>
      </c>
      <c r="C71" s="3" t="s">
        <v>186</v>
      </c>
      <c r="D71" s="3" t="s">
        <v>31</v>
      </c>
      <c r="E71" s="3" t="s">
        <v>32</v>
      </c>
      <c r="F71" s="12">
        <v>45838</v>
      </c>
      <c r="G71" s="3">
        <v>2025</v>
      </c>
      <c r="H71" s="3" t="s">
        <v>33</v>
      </c>
      <c r="I71" s="3" t="s">
        <v>404</v>
      </c>
      <c r="J71" s="3">
        <v>1</v>
      </c>
      <c r="K71" s="3">
        <v>45163</v>
      </c>
      <c r="L71" s="3">
        <v>47762</v>
      </c>
      <c r="M71" s="3">
        <f>+L71/K71</f>
        <v>1.0575471071452296</v>
      </c>
      <c r="N71" s="3">
        <f>+L71/K71</f>
        <v>1.0575471071452296</v>
      </c>
      <c r="O71" s="3" t="s">
        <v>35</v>
      </c>
      <c r="P71" s="3" t="s">
        <v>35</v>
      </c>
      <c r="Q71" s="3" t="str">
        <f t="shared" si="10"/>
        <v>14,2-2025-06-30</v>
      </c>
      <c r="R71" s="3">
        <v>0</v>
      </c>
      <c r="S71" s="3">
        <v>0</v>
      </c>
      <c r="T71" s="3" t="s">
        <v>31</v>
      </c>
      <c r="U71" s="3" t="s">
        <v>37</v>
      </c>
      <c r="V71" s="3" t="s">
        <v>30</v>
      </c>
      <c r="W71" s="3" t="s">
        <v>38</v>
      </c>
      <c r="X71" s="3" t="s">
        <v>39</v>
      </c>
      <c r="Y71" s="3" t="s">
        <v>40</v>
      </c>
      <c r="Z71" s="3" t="s">
        <v>86</v>
      </c>
      <c r="AA71" s="3" t="s">
        <v>339</v>
      </c>
      <c r="AB71" s="3" t="s">
        <v>78</v>
      </c>
      <c r="AC71" s="3" t="s">
        <v>31</v>
      </c>
      <c r="AD71" s="3">
        <v>0</v>
      </c>
    </row>
    <row r="72" spans="1:30" x14ac:dyDescent="0.3">
      <c r="A72" s="3">
        <v>14.2</v>
      </c>
      <c r="B72" s="3" t="s">
        <v>359</v>
      </c>
      <c r="C72" s="3" t="s">
        <v>186</v>
      </c>
      <c r="D72" s="3" t="s">
        <v>31</v>
      </c>
      <c r="E72" s="3" t="s">
        <v>32</v>
      </c>
      <c r="F72" s="12">
        <v>46022</v>
      </c>
      <c r="G72" s="3">
        <v>2025</v>
      </c>
      <c r="H72" s="3" t="s">
        <v>44</v>
      </c>
      <c r="I72" s="3" t="s">
        <v>465</v>
      </c>
      <c r="J72" s="3">
        <v>2</v>
      </c>
      <c r="K72" s="3">
        <v>47246</v>
      </c>
      <c r="L72" s="11">
        <v>48202</v>
      </c>
      <c r="M72" s="3">
        <f>+L72/K72</f>
        <v>1.020234517207806</v>
      </c>
      <c r="N72" s="3">
        <f>+L72/K72</f>
        <v>1.020234517207806</v>
      </c>
      <c r="O72" s="3" t="s">
        <v>35</v>
      </c>
      <c r="P72" s="3" t="s">
        <v>35</v>
      </c>
      <c r="Q72" s="3" t="str">
        <f t="shared" si="10"/>
        <v>14,2-2025-12-31</v>
      </c>
      <c r="R72" s="3">
        <v>0</v>
      </c>
      <c r="S72" s="3">
        <v>0</v>
      </c>
      <c r="T72" s="3" t="s">
        <v>31</v>
      </c>
      <c r="U72" s="3" t="s">
        <v>37</v>
      </c>
      <c r="V72" s="3" t="s">
        <v>30</v>
      </c>
      <c r="W72" s="3" t="s">
        <v>38</v>
      </c>
      <c r="X72" s="3" t="s">
        <v>39</v>
      </c>
      <c r="Y72" s="3" t="s">
        <v>40</v>
      </c>
      <c r="Z72" s="3" t="s">
        <v>86</v>
      </c>
      <c r="AA72" s="3" t="s">
        <v>339</v>
      </c>
      <c r="AB72" s="3" t="s">
        <v>78</v>
      </c>
      <c r="AC72" s="3" t="s">
        <v>31</v>
      </c>
      <c r="AD72" s="3">
        <v>0</v>
      </c>
    </row>
    <row r="73" spans="1:30" x14ac:dyDescent="0.3">
      <c r="A73" s="3">
        <v>14.2</v>
      </c>
      <c r="B73" s="3" t="s">
        <v>359</v>
      </c>
      <c r="C73" s="3" t="s">
        <v>186</v>
      </c>
      <c r="D73" s="3" t="s">
        <v>31</v>
      </c>
      <c r="E73" s="3" t="s">
        <v>32</v>
      </c>
      <c r="F73" s="12">
        <v>46022</v>
      </c>
      <c r="G73" s="3">
        <v>2025</v>
      </c>
      <c r="H73" s="3" t="s">
        <v>44</v>
      </c>
      <c r="I73" s="3" t="s">
        <v>465</v>
      </c>
      <c r="J73" s="3"/>
      <c r="K73" s="3">
        <v>92409</v>
      </c>
      <c r="L73" s="3">
        <v>95964</v>
      </c>
      <c r="M73" s="3">
        <f>+L73/K73</f>
        <v>1.0384702788689413</v>
      </c>
      <c r="N73" s="3">
        <f>+L73/K73</f>
        <v>1.0384702788689413</v>
      </c>
      <c r="O73" s="3" t="s">
        <v>35</v>
      </c>
      <c r="P73" s="3" t="s">
        <v>35</v>
      </c>
      <c r="Q73" s="3" t="str">
        <f t="shared" si="10"/>
        <v>14,2-2025-12-31</v>
      </c>
      <c r="R73" s="3">
        <v>0</v>
      </c>
      <c r="S73" s="3">
        <v>0</v>
      </c>
      <c r="T73" s="3" t="s">
        <v>443</v>
      </c>
      <c r="U73" s="3" t="s">
        <v>37</v>
      </c>
      <c r="V73" s="3" t="s">
        <v>30</v>
      </c>
      <c r="W73" s="3" t="s">
        <v>38</v>
      </c>
      <c r="X73" s="3" t="s">
        <v>39</v>
      </c>
      <c r="Y73" s="3" t="s">
        <v>40</v>
      </c>
      <c r="Z73" s="3" t="s">
        <v>86</v>
      </c>
      <c r="AA73" s="3" t="s">
        <v>339</v>
      </c>
      <c r="AB73" s="3" t="s">
        <v>78</v>
      </c>
      <c r="AC73" s="3" t="s">
        <v>31</v>
      </c>
      <c r="AD73" s="3">
        <v>0</v>
      </c>
    </row>
    <row r="74" spans="1:30" x14ac:dyDescent="0.3">
      <c r="A74" s="3">
        <v>14.3</v>
      </c>
      <c r="B74" s="3" t="s">
        <v>365</v>
      </c>
      <c r="C74" s="3" t="s">
        <v>186</v>
      </c>
      <c r="D74" s="3" t="s">
        <v>31</v>
      </c>
      <c r="E74" s="3" t="s">
        <v>32</v>
      </c>
      <c r="F74" s="12">
        <v>43281</v>
      </c>
      <c r="G74" s="3">
        <f t="shared" ref="G74:G85" si="11">YEAR(F74)</f>
        <v>2018</v>
      </c>
      <c r="H74" s="3" t="str">
        <f t="shared" ref="H74:H85" si="12">PROPER(TEXT(F74,"mmmm"))</f>
        <v>Junio</v>
      </c>
      <c r="I74" s="3" t="str">
        <f t="shared" ref="I74:I85" si="13">IF(H74="Junio",G74&amp;"-1",G74&amp;"-2")</f>
        <v>2018-1</v>
      </c>
      <c r="J74" s="3">
        <v>1</v>
      </c>
      <c r="K74" s="3"/>
      <c r="L74" s="11">
        <v>47522</v>
      </c>
      <c r="M74" s="3"/>
      <c r="N74" s="3"/>
      <c r="O74" s="3" t="s">
        <v>35</v>
      </c>
      <c r="P74" s="3" t="s">
        <v>35</v>
      </c>
      <c r="Q74" s="3" t="str">
        <f t="shared" si="10"/>
        <v>14,3-2018-06-30</v>
      </c>
      <c r="R74" s="3">
        <v>0</v>
      </c>
      <c r="S74" s="3">
        <v>0</v>
      </c>
      <c r="T74" s="3" t="s">
        <v>31</v>
      </c>
      <c r="U74" s="3" t="s">
        <v>37</v>
      </c>
      <c r="V74" s="3" t="s">
        <v>30</v>
      </c>
      <c r="W74" s="3" t="s">
        <v>38</v>
      </c>
      <c r="X74" s="3" t="s">
        <v>39</v>
      </c>
      <c r="Y74" s="3" t="s">
        <v>40</v>
      </c>
      <c r="Z74" s="3" t="s">
        <v>86</v>
      </c>
      <c r="AA74" s="3" t="s">
        <v>339</v>
      </c>
      <c r="AB74" s="3" t="s">
        <v>78</v>
      </c>
      <c r="AC74" s="3" t="s">
        <v>31</v>
      </c>
      <c r="AD74" s="3">
        <v>0</v>
      </c>
    </row>
    <row r="75" spans="1:30" x14ac:dyDescent="0.3">
      <c r="A75" s="3">
        <v>14.3</v>
      </c>
      <c r="B75" s="3" t="s">
        <v>365</v>
      </c>
      <c r="C75" s="3" t="s">
        <v>186</v>
      </c>
      <c r="D75" s="3" t="s">
        <v>31</v>
      </c>
      <c r="E75" s="3" t="s">
        <v>32</v>
      </c>
      <c r="F75" s="12">
        <v>43465</v>
      </c>
      <c r="G75" s="3">
        <f t="shared" si="11"/>
        <v>2018</v>
      </c>
      <c r="H75" s="3" t="str">
        <f t="shared" si="12"/>
        <v>Diciembre</v>
      </c>
      <c r="I75" s="3" t="str">
        <f t="shared" si="13"/>
        <v>2018-2</v>
      </c>
      <c r="J75" s="3">
        <v>2</v>
      </c>
      <c r="K75" s="3"/>
      <c r="L75" s="11">
        <v>48925</v>
      </c>
      <c r="M75" s="3"/>
      <c r="N75" s="3"/>
      <c r="O75" s="3" t="s">
        <v>35</v>
      </c>
      <c r="P75" s="3" t="s">
        <v>35</v>
      </c>
      <c r="Q75" s="3" t="str">
        <f t="shared" si="10"/>
        <v>14,3-2018-12-31</v>
      </c>
      <c r="R75" s="3">
        <v>0</v>
      </c>
      <c r="S75" s="3">
        <v>0</v>
      </c>
      <c r="T75" s="3" t="s">
        <v>31</v>
      </c>
      <c r="U75" s="3" t="s">
        <v>37</v>
      </c>
      <c r="V75" s="3" t="s">
        <v>30</v>
      </c>
      <c r="W75" s="3" t="s">
        <v>38</v>
      </c>
      <c r="X75" s="3" t="s">
        <v>39</v>
      </c>
      <c r="Y75" s="3" t="s">
        <v>40</v>
      </c>
      <c r="Z75" s="3" t="s">
        <v>86</v>
      </c>
      <c r="AA75" s="3" t="s">
        <v>339</v>
      </c>
      <c r="AB75" s="3" t="s">
        <v>78</v>
      </c>
      <c r="AC75" s="3" t="s">
        <v>31</v>
      </c>
      <c r="AD75" s="3">
        <v>0</v>
      </c>
    </row>
    <row r="76" spans="1:30" x14ac:dyDescent="0.3">
      <c r="A76" s="3">
        <v>14.3</v>
      </c>
      <c r="B76" s="3" t="s">
        <v>365</v>
      </c>
      <c r="C76" s="3" t="s">
        <v>186</v>
      </c>
      <c r="D76" s="3" t="s">
        <v>31</v>
      </c>
      <c r="E76" s="3" t="s">
        <v>32</v>
      </c>
      <c r="F76" s="12">
        <v>43465</v>
      </c>
      <c r="G76" s="3">
        <f t="shared" si="11"/>
        <v>2018</v>
      </c>
      <c r="H76" s="3" t="str">
        <f t="shared" si="12"/>
        <v>Diciembre</v>
      </c>
      <c r="I76" s="3" t="str">
        <f t="shared" si="13"/>
        <v>2018-2</v>
      </c>
      <c r="J76" s="3"/>
      <c r="K76" s="3"/>
      <c r="L76" s="3">
        <v>96447</v>
      </c>
      <c r="M76" s="3"/>
      <c r="N76" s="3"/>
      <c r="O76" s="3" t="s">
        <v>35</v>
      </c>
      <c r="P76" s="3" t="s">
        <v>35</v>
      </c>
      <c r="Q76" s="3" t="str">
        <f t="shared" si="10"/>
        <v>14,3-2018-12-31</v>
      </c>
      <c r="R76" s="3">
        <v>0</v>
      </c>
      <c r="S76" s="3">
        <v>0</v>
      </c>
      <c r="T76" s="3" t="s">
        <v>443</v>
      </c>
      <c r="U76" s="3" t="s">
        <v>37</v>
      </c>
      <c r="V76" s="3" t="s">
        <v>30</v>
      </c>
      <c r="W76" s="3" t="s">
        <v>38</v>
      </c>
      <c r="X76" s="3" t="s">
        <v>39</v>
      </c>
      <c r="Y76" s="3" t="s">
        <v>40</v>
      </c>
      <c r="Z76" s="3" t="s">
        <v>86</v>
      </c>
      <c r="AA76" s="3" t="s">
        <v>339</v>
      </c>
      <c r="AB76" s="3" t="s">
        <v>78</v>
      </c>
      <c r="AC76" s="3" t="s">
        <v>31</v>
      </c>
      <c r="AD76" s="3">
        <v>0</v>
      </c>
    </row>
    <row r="77" spans="1:30" x14ac:dyDescent="0.3">
      <c r="A77" s="3">
        <v>14.3</v>
      </c>
      <c r="B77" s="3" t="s">
        <v>365</v>
      </c>
      <c r="C77" s="3" t="s">
        <v>186</v>
      </c>
      <c r="D77" s="3" t="s">
        <v>31</v>
      </c>
      <c r="E77" s="3" t="s">
        <v>32</v>
      </c>
      <c r="F77" s="12">
        <v>43646</v>
      </c>
      <c r="G77" s="3">
        <f t="shared" si="11"/>
        <v>2019</v>
      </c>
      <c r="H77" s="3" t="str">
        <f t="shared" si="12"/>
        <v>Junio</v>
      </c>
      <c r="I77" s="3" t="str">
        <f t="shared" si="13"/>
        <v>2019-1</v>
      </c>
      <c r="J77" s="3">
        <v>1</v>
      </c>
      <c r="K77" s="3"/>
      <c r="L77" s="11">
        <v>52526</v>
      </c>
      <c r="M77" s="3"/>
      <c r="N77" s="3"/>
      <c r="O77" s="3" t="s">
        <v>35</v>
      </c>
      <c r="P77" s="3" t="s">
        <v>35</v>
      </c>
      <c r="Q77" s="3" t="str">
        <f t="shared" si="10"/>
        <v>14,3-2019-06-30</v>
      </c>
      <c r="R77" s="3">
        <v>0</v>
      </c>
      <c r="S77" s="3">
        <v>0</v>
      </c>
      <c r="T77" s="3" t="s">
        <v>31</v>
      </c>
      <c r="U77" s="3" t="s">
        <v>37</v>
      </c>
      <c r="V77" s="3" t="s">
        <v>30</v>
      </c>
      <c r="W77" s="3" t="s">
        <v>38</v>
      </c>
      <c r="X77" s="3" t="s">
        <v>39</v>
      </c>
      <c r="Y77" s="3" t="s">
        <v>40</v>
      </c>
      <c r="Z77" s="3" t="s">
        <v>86</v>
      </c>
      <c r="AA77" s="3" t="s">
        <v>339</v>
      </c>
      <c r="AB77" s="3" t="s">
        <v>78</v>
      </c>
      <c r="AC77" s="3" t="s">
        <v>31</v>
      </c>
      <c r="AD77" s="3">
        <v>0</v>
      </c>
    </row>
    <row r="78" spans="1:30" x14ac:dyDescent="0.3">
      <c r="A78" s="3">
        <v>14.3</v>
      </c>
      <c r="B78" s="3" t="s">
        <v>365</v>
      </c>
      <c r="C78" s="3" t="s">
        <v>186</v>
      </c>
      <c r="D78" s="3" t="s">
        <v>31</v>
      </c>
      <c r="E78" s="3" t="s">
        <v>32</v>
      </c>
      <c r="F78" s="12">
        <v>43830</v>
      </c>
      <c r="G78" s="3">
        <f t="shared" si="11"/>
        <v>2019</v>
      </c>
      <c r="H78" s="3" t="str">
        <f t="shared" si="12"/>
        <v>Diciembre</v>
      </c>
      <c r="I78" s="3" t="str">
        <f t="shared" si="13"/>
        <v>2019-2</v>
      </c>
      <c r="J78" s="3">
        <v>2</v>
      </c>
      <c r="K78" s="3"/>
      <c r="L78" s="11">
        <v>51296</v>
      </c>
      <c r="M78" s="3"/>
      <c r="N78" s="3"/>
      <c r="O78" s="3" t="s">
        <v>35</v>
      </c>
      <c r="P78" s="3" t="s">
        <v>35</v>
      </c>
      <c r="Q78" s="3" t="str">
        <f t="shared" si="10"/>
        <v>14,3-2019-12-31</v>
      </c>
      <c r="R78" s="3">
        <v>0</v>
      </c>
      <c r="S78" s="3">
        <v>0</v>
      </c>
      <c r="T78" s="3" t="s">
        <v>31</v>
      </c>
      <c r="U78" s="3" t="s">
        <v>37</v>
      </c>
      <c r="V78" s="3" t="s">
        <v>30</v>
      </c>
      <c r="W78" s="3" t="s">
        <v>38</v>
      </c>
      <c r="X78" s="3" t="s">
        <v>39</v>
      </c>
      <c r="Y78" s="3" t="s">
        <v>40</v>
      </c>
      <c r="Z78" s="3" t="s">
        <v>86</v>
      </c>
      <c r="AA78" s="3" t="s">
        <v>339</v>
      </c>
      <c r="AB78" s="3" t="s">
        <v>78</v>
      </c>
      <c r="AC78" s="3" t="s">
        <v>31</v>
      </c>
      <c r="AD78" s="3">
        <v>0</v>
      </c>
    </row>
    <row r="79" spans="1:30" x14ac:dyDescent="0.3">
      <c r="A79" s="3">
        <v>14.3</v>
      </c>
      <c r="B79" s="3" t="s">
        <v>365</v>
      </c>
      <c r="C79" s="3" t="s">
        <v>186</v>
      </c>
      <c r="D79" s="3" t="s">
        <v>31</v>
      </c>
      <c r="E79" s="3" t="s">
        <v>32</v>
      </c>
      <c r="F79" s="12">
        <v>43830</v>
      </c>
      <c r="G79" s="3">
        <f t="shared" si="11"/>
        <v>2019</v>
      </c>
      <c r="H79" s="3" t="str">
        <f t="shared" si="12"/>
        <v>Diciembre</v>
      </c>
      <c r="I79" s="3" t="str">
        <f t="shared" si="13"/>
        <v>2019-2</v>
      </c>
      <c r="J79" s="3"/>
      <c r="K79" s="3"/>
      <c r="L79" s="3">
        <v>103822</v>
      </c>
      <c r="M79" s="3"/>
      <c r="N79" s="3"/>
      <c r="O79" s="3" t="s">
        <v>35</v>
      </c>
      <c r="P79" s="3" t="s">
        <v>35</v>
      </c>
      <c r="Q79" s="3" t="str">
        <f t="shared" si="10"/>
        <v>14,3-2019-12-31</v>
      </c>
      <c r="R79" s="3">
        <v>0</v>
      </c>
      <c r="S79" s="3">
        <v>0</v>
      </c>
      <c r="T79" s="3" t="s">
        <v>443</v>
      </c>
      <c r="U79" s="3" t="s">
        <v>37</v>
      </c>
      <c r="V79" s="3" t="s">
        <v>30</v>
      </c>
      <c r="W79" s="3" t="s">
        <v>38</v>
      </c>
      <c r="X79" s="3" t="s">
        <v>39</v>
      </c>
      <c r="Y79" s="3" t="s">
        <v>40</v>
      </c>
      <c r="Z79" s="3" t="s">
        <v>86</v>
      </c>
      <c r="AA79" s="3" t="s">
        <v>339</v>
      </c>
      <c r="AB79" s="3" t="s">
        <v>78</v>
      </c>
      <c r="AC79" s="3" t="s">
        <v>31</v>
      </c>
      <c r="AD79" s="3">
        <v>0</v>
      </c>
    </row>
    <row r="80" spans="1:30" x14ac:dyDescent="0.3">
      <c r="A80" s="3">
        <v>14.3</v>
      </c>
      <c r="B80" s="3" t="s">
        <v>365</v>
      </c>
      <c r="C80" s="3" t="s">
        <v>186</v>
      </c>
      <c r="D80" s="3" t="s">
        <v>31</v>
      </c>
      <c r="E80" s="3" t="s">
        <v>32</v>
      </c>
      <c r="F80" s="12">
        <v>44012</v>
      </c>
      <c r="G80" s="3">
        <f t="shared" si="11"/>
        <v>2020</v>
      </c>
      <c r="H80" s="3" t="str">
        <f t="shared" si="12"/>
        <v>Junio</v>
      </c>
      <c r="I80" s="3" t="str">
        <f t="shared" si="13"/>
        <v>2020-1</v>
      </c>
      <c r="J80" s="3">
        <v>1</v>
      </c>
      <c r="K80" s="3"/>
      <c r="L80" s="11">
        <v>53450</v>
      </c>
      <c r="M80" s="3"/>
      <c r="N80" s="3"/>
      <c r="O80" s="3" t="s">
        <v>35</v>
      </c>
      <c r="P80" s="3" t="s">
        <v>35</v>
      </c>
      <c r="Q80" s="3" t="str">
        <f t="shared" si="10"/>
        <v>14,3-2020-06-30</v>
      </c>
      <c r="R80" s="3">
        <v>0</v>
      </c>
      <c r="S80" s="3">
        <v>0</v>
      </c>
      <c r="T80" s="3" t="s">
        <v>31</v>
      </c>
      <c r="U80" s="3" t="s">
        <v>37</v>
      </c>
      <c r="V80" s="3" t="s">
        <v>30</v>
      </c>
      <c r="W80" s="3" t="s">
        <v>38</v>
      </c>
      <c r="X80" s="3" t="s">
        <v>39</v>
      </c>
      <c r="Y80" s="3" t="s">
        <v>40</v>
      </c>
      <c r="Z80" s="3" t="s">
        <v>86</v>
      </c>
      <c r="AA80" s="3" t="s">
        <v>339</v>
      </c>
      <c r="AB80" s="3" t="s">
        <v>78</v>
      </c>
      <c r="AC80" s="3" t="s">
        <v>31</v>
      </c>
      <c r="AD80" s="3">
        <v>0</v>
      </c>
    </row>
    <row r="81" spans="1:30" x14ac:dyDescent="0.3">
      <c r="A81" s="3">
        <v>14.3</v>
      </c>
      <c r="B81" s="3" t="s">
        <v>365</v>
      </c>
      <c r="C81" s="3" t="s">
        <v>186</v>
      </c>
      <c r="D81" s="3" t="s">
        <v>31</v>
      </c>
      <c r="E81" s="3" t="s">
        <v>32</v>
      </c>
      <c r="F81" s="12">
        <v>44196</v>
      </c>
      <c r="G81" s="3">
        <f t="shared" si="11"/>
        <v>2020</v>
      </c>
      <c r="H81" s="3" t="str">
        <f t="shared" si="12"/>
        <v>Diciembre</v>
      </c>
      <c r="I81" s="3" t="str">
        <f t="shared" si="13"/>
        <v>2020-2</v>
      </c>
      <c r="J81" s="3">
        <v>2</v>
      </c>
      <c r="K81" s="3"/>
      <c r="L81" s="11">
        <v>49051</v>
      </c>
      <c r="M81" s="3"/>
      <c r="N81" s="3"/>
      <c r="O81" s="3" t="s">
        <v>35</v>
      </c>
      <c r="P81" s="3" t="s">
        <v>35</v>
      </c>
      <c r="Q81" s="3" t="str">
        <f t="shared" si="10"/>
        <v>14,3-2020-12-31</v>
      </c>
      <c r="R81" s="3">
        <v>0</v>
      </c>
      <c r="S81" s="3">
        <v>0</v>
      </c>
      <c r="T81" s="3" t="s">
        <v>31</v>
      </c>
      <c r="U81" s="3" t="s">
        <v>37</v>
      </c>
      <c r="V81" s="3" t="s">
        <v>30</v>
      </c>
      <c r="W81" s="3" t="s">
        <v>38</v>
      </c>
      <c r="X81" s="3" t="s">
        <v>39</v>
      </c>
      <c r="Y81" s="3" t="s">
        <v>40</v>
      </c>
      <c r="Z81" s="3" t="s">
        <v>86</v>
      </c>
      <c r="AA81" s="3" t="s">
        <v>339</v>
      </c>
      <c r="AB81" s="3" t="s">
        <v>78</v>
      </c>
      <c r="AC81" s="3" t="s">
        <v>31</v>
      </c>
      <c r="AD81" s="3">
        <v>0</v>
      </c>
    </row>
    <row r="82" spans="1:30" x14ac:dyDescent="0.3">
      <c r="A82" s="3">
        <v>14.3</v>
      </c>
      <c r="B82" s="3" t="s">
        <v>365</v>
      </c>
      <c r="C82" s="3" t="s">
        <v>186</v>
      </c>
      <c r="D82" s="3" t="s">
        <v>31</v>
      </c>
      <c r="E82" s="3" t="s">
        <v>32</v>
      </c>
      <c r="F82" s="12">
        <v>44196</v>
      </c>
      <c r="G82" s="3">
        <f t="shared" si="11"/>
        <v>2020</v>
      </c>
      <c r="H82" s="3" t="str">
        <f t="shared" si="12"/>
        <v>Diciembre</v>
      </c>
      <c r="I82" s="3" t="str">
        <f t="shared" si="13"/>
        <v>2020-2</v>
      </c>
      <c r="J82" s="3"/>
      <c r="K82" s="3"/>
      <c r="L82" s="3">
        <v>102501</v>
      </c>
      <c r="M82" s="3"/>
      <c r="N82" s="3"/>
      <c r="O82" s="3" t="s">
        <v>35</v>
      </c>
      <c r="P82" s="3" t="s">
        <v>35</v>
      </c>
      <c r="Q82" s="3" t="str">
        <f t="shared" si="10"/>
        <v>14,3-2020-12-31</v>
      </c>
      <c r="R82" s="3">
        <v>0</v>
      </c>
      <c r="S82" s="3">
        <v>0</v>
      </c>
      <c r="T82" s="3" t="s">
        <v>443</v>
      </c>
      <c r="U82" s="3" t="s">
        <v>37</v>
      </c>
      <c r="V82" s="3" t="s">
        <v>30</v>
      </c>
      <c r="W82" s="3" t="s">
        <v>38</v>
      </c>
      <c r="X82" s="3" t="s">
        <v>39</v>
      </c>
      <c r="Y82" s="3" t="s">
        <v>40</v>
      </c>
      <c r="Z82" s="3" t="s">
        <v>86</v>
      </c>
      <c r="AA82" s="3" t="s">
        <v>339</v>
      </c>
      <c r="AB82" s="3" t="s">
        <v>78</v>
      </c>
      <c r="AC82" s="3" t="s">
        <v>31</v>
      </c>
      <c r="AD82" s="3">
        <v>0</v>
      </c>
    </row>
    <row r="83" spans="1:30" x14ac:dyDescent="0.3">
      <c r="A83" s="3">
        <v>14.3</v>
      </c>
      <c r="B83" s="3" t="s">
        <v>365</v>
      </c>
      <c r="C83" s="3" t="s">
        <v>186</v>
      </c>
      <c r="D83" s="3" t="s">
        <v>31</v>
      </c>
      <c r="E83" s="3" t="s">
        <v>32</v>
      </c>
      <c r="F83" s="12">
        <v>44377</v>
      </c>
      <c r="G83" s="3">
        <f t="shared" si="11"/>
        <v>2021</v>
      </c>
      <c r="H83" s="3" t="str">
        <f t="shared" si="12"/>
        <v>Junio</v>
      </c>
      <c r="I83" s="3" t="str">
        <f t="shared" si="13"/>
        <v>2021-1</v>
      </c>
      <c r="J83" s="3">
        <v>1</v>
      </c>
      <c r="K83" s="3"/>
      <c r="L83" s="11">
        <v>49449</v>
      </c>
      <c r="M83" s="3"/>
      <c r="N83" s="3"/>
      <c r="O83" s="3" t="s">
        <v>35</v>
      </c>
      <c r="P83" s="3" t="s">
        <v>35</v>
      </c>
      <c r="Q83" s="3" t="str">
        <f t="shared" si="10"/>
        <v>14,3-2021-06-30</v>
      </c>
      <c r="R83" s="3">
        <v>0</v>
      </c>
      <c r="S83" s="3">
        <v>0</v>
      </c>
      <c r="T83" s="3" t="s">
        <v>31</v>
      </c>
      <c r="U83" s="3" t="s">
        <v>37</v>
      </c>
      <c r="V83" s="3" t="s">
        <v>30</v>
      </c>
      <c r="W83" s="3" t="s">
        <v>38</v>
      </c>
      <c r="X83" s="3" t="s">
        <v>39</v>
      </c>
      <c r="Y83" s="3" t="s">
        <v>40</v>
      </c>
      <c r="Z83" s="3" t="s">
        <v>86</v>
      </c>
      <c r="AA83" s="3" t="s">
        <v>339</v>
      </c>
      <c r="AB83" s="3" t="s">
        <v>78</v>
      </c>
      <c r="AC83" s="3" t="s">
        <v>31</v>
      </c>
      <c r="AD83" s="3">
        <v>0</v>
      </c>
    </row>
    <row r="84" spans="1:30" x14ac:dyDescent="0.3">
      <c r="A84" s="3">
        <v>14.3</v>
      </c>
      <c r="B84" s="3" t="s">
        <v>365</v>
      </c>
      <c r="C84" s="3" t="s">
        <v>186</v>
      </c>
      <c r="D84" s="3" t="s">
        <v>31</v>
      </c>
      <c r="E84" s="3" t="s">
        <v>32</v>
      </c>
      <c r="F84" s="12">
        <v>44561</v>
      </c>
      <c r="G84" s="3">
        <f t="shared" si="11"/>
        <v>2021</v>
      </c>
      <c r="H84" s="3" t="str">
        <f t="shared" si="12"/>
        <v>Diciembre</v>
      </c>
      <c r="I84" s="3" t="str">
        <f t="shared" si="13"/>
        <v>2021-2</v>
      </c>
      <c r="J84" s="3">
        <v>2</v>
      </c>
      <c r="K84" s="3"/>
      <c r="L84" s="11">
        <v>47079</v>
      </c>
      <c r="M84" s="3"/>
      <c r="N84" s="3"/>
      <c r="O84" s="3" t="s">
        <v>35</v>
      </c>
      <c r="P84" s="3" t="s">
        <v>35</v>
      </c>
      <c r="Q84" s="3" t="str">
        <f t="shared" si="10"/>
        <v>14,3-2021-12-31</v>
      </c>
      <c r="R84" s="3">
        <v>0</v>
      </c>
      <c r="S84" s="3">
        <v>0</v>
      </c>
      <c r="T84" s="3" t="s">
        <v>31</v>
      </c>
      <c r="U84" s="3" t="s">
        <v>37</v>
      </c>
      <c r="V84" s="3" t="s">
        <v>30</v>
      </c>
      <c r="W84" s="3" t="s">
        <v>38</v>
      </c>
      <c r="X84" s="3" t="s">
        <v>39</v>
      </c>
      <c r="Y84" s="3" t="s">
        <v>40</v>
      </c>
      <c r="Z84" s="3" t="s">
        <v>86</v>
      </c>
      <c r="AA84" s="3" t="s">
        <v>339</v>
      </c>
      <c r="AB84" s="3" t="s">
        <v>78</v>
      </c>
      <c r="AC84" s="3" t="s">
        <v>31</v>
      </c>
      <c r="AD84" s="3">
        <v>0</v>
      </c>
    </row>
    <row r="85" spans="1:30" x14ac:dyDescent="0.3">
      <c r="A85" s="3">
        <v>14.3</v>
      </c>
      <c r="B85" s="3" t="s">
        <v>365</v>
      </c>
      <c r="C85" s="3" t="s">
        <v>186</v>
      </c>
      <c r="D85" s="3" t="s">
        <v>31</v>
      </c>
      <c r="E85" s="3" t="s">
        <v>32</v>
      </c>
      <c r="F85" s="12">
        <v>44561</v>
      </c>
      <c r="G85" s="3">
        <f t="shared" si="11"/>
        <v>2021</v>
      </c>
      <c r="H85" s="3" t="str">
        <f t="shared" si="12"/>
        <v>Diciembre</v>
      </c>
      <c r="I85" s="3" t="str">
        <f t="shared" si="13"/>
        <v>2021-2</v>
      </c>
      <c r="J85" s="3"/>
      <c r="K85" s="3"/>
      <c r="L85" s="3">
        <v>96528</v>
      </c>
      <c r="M85" s="3"/>
      <c r="N85" s="3"/>
      <c r="O85" s="3" t="s">
        <v>35</v>
      </c>
      <c r="P85" s="3" t="s">
        <v>35</v>
      </c>
      <c r="Q85" s="3" t="str">
        <f t="shared" si="10"/>
        <v>14,3-2021-12-31</v>
      </c>
      <c r="R85" s="3">
        <v>0</v>
      </c>
      <c r="S85" s="3">
        <v>0</v>
      </c>
      <c r="T85" s="3" t="s">
        <v>443</v>
      </c>
      <c r="U85" s="3" t="s">
        <v>37</v>
      </c>
      <c r="V85" s="3" t="s">
        <v>30</v>
      </c>
      <c r="W85" s="3" t="s">
        <v>38</v>
      </c>
      <c r="X85" s="3" t="s">
        <v>39</v>
      </c>
      <c r="Y85" s="3" t="s">
        <v>40</v>
      </c>
      <c r="Z85" s="3" t="s">
        <v>86</v>
      </c>
      <c r="AA85" s="3" t="s">
        <v>339</v>
      </c>
      <c r="AB85" s="3" t="s">
        <v>78</v>
      </c>
      <c r="AC85" s="3" t="s">
        <v>31</v>
      </c>
      <c r="AD85" s="3">
        <v>0</v>
      </c>
    </row>
    <row r="86" spans="1:30" x14ac:dyDescent="0.3">
      <c r="A86" s="3">
        <v>14.3</v>
      </c>
      <c r="B86" s="3" t="s">
        <v>365</v>
      </c>
      <c r="C86" s="3" t="s">
        <v>186</v>
      </c>
      <c r="D86" s="3" t="s">
        <v>31</v>
      </c>
      <c r="E86" s="3" t="s">
        <v>32</v>
      </c>
      <c r="F86" s="12">
        <v>44742</v>
      </c>
      <c r="G86" s="3">
        <v>2022</v>
      </c>
      <c r="H86" s="3" t="s">
        <v>33</v>
      </c>
      <c r="I86" s="3" t="s">
        <v>34</v>
      </c>
      <c r="J86" s="3">
        <v>1</v>
      </c>
      <c r="K86" s="3">
        <v>48022</v>
      </c>
      <c r="L86" s="3">
        <v>48614</v>
      </c>
      <c r="M86" s="3">
        <v>1.012327683145225</v>
      </c>
      <c r="N86" s="3">
        <v>1.012327683145225</v>
      </c>
      <c r="O86" s="3" t="s">
        <v>35</v>
      </c>
      <c r="P86" s="3" t="s">
        <v>35</v>
      </c>
      <c r="Q86" s="3" t="str">
        <f t="shared" si="10"/>
        <v>14,3-2022-06-30</v>
      </c>
      <c r="R86" s="3">
        <v>0</v>
      </c>
      <c r="S86" s="3">
        <v>0</v>
      </c>
      <c r="T86" s="3" t="s">
        <v>31</v>
      </c>
      <c r="U86" s="3" t="s">
        <v>37</v>
      </c>
      <c r="V86" s="3" t="s">
        <v>30</v>
      </c>
      <c r="W86" s="3" t="s">
        <v>38</v>
      </c>
      <c r="X86" s="3" t="s">
        <v>39</v>
      </c>
      <c r="Y86" s="3" t="s">
        <v>40</v>
      </c>
      <c r="Z86" s="3" t="s">
        <v>86</v>
      </c>
      <c r="AA86" s="3" t="s">
        <v>339</v>
      </c>
      <c r="AB86" s="3" t="s">
        <v>78</v>
      </c>
      <c r="AC86" s="3" t="s">
        <v>31</v>
      </c>
      <c r="AD86" s="3">
        <v>0</v>
      </c>
    </row>
    <row r="87" spans="1:30" x14ac:dyDescent="0.3">
      <c r="A87" s="3">
        <v>14.3</v>
      </c>
      <c r="B87" s="3" t="s">
        <v>365</v>
      </c>
      <c r="C87" s="3" t="s">
        <v>186</v>
      </c>
      <c r="D87" s="3" t="s">
        <v>31</v>
      </c>
      <c r="E87" s="3" t="s">
        <v>32</v>
      </c>
      <c r="F87" s="12">
        <v>44926</v>
      </c>
      <c r="G87" s="3">
        <v>2022</v>
      </c>
      <c r="H87" s="3" t="s">
        <v>44</v>
      </c>
      <c r="I87" s="3" t="s">
        <v>45</v>
      </c>
      <c r="J87" s="3">
        <v>2</v>
      </c>
      <c r="K87" s="3">
        <v>46674</v>
      </c>
      <c r="L87" s="3">
        <v>47631</v>
      </c>
      <c r="M87" s="3">
        <v>1.020503920812444</v>
      </c>
      <c r="N87" s="3">
        <v>1.020503920812444</v>
      </c>
      <c r="O87" s="3" t="s">
        <v>35</v>
      </c>
      <c r="P87" s="3" t="s">
        <v>35</v>
      </c>
      <c r="Q87" s="3" t="str">
        <f t="shared" si="10"/>
        <v>14,3-2022-12-31</v>
      </c>
      <c r="R87" s="3">
        <v>0</v>
      </c>
      <c r="S87" s="3">
        <v>0</v>
      </c>
      <c r="T87" s="3" t="s">
        <v>31</v>
      </c>
      <c r="U87" s="3" t="s">
        <v>37</v>
      </c>
      <c r="V87" s="3" t="s">
        <v>30</v>
      </c>
      <c r="W87" s="3" t="s">
        <v>38</v>
      </c>
      <c r="X87" s="3" t="s">
        <v>39</v>
      </c>
      <c r="Y87" s="3" t="s">
        <v>40</v>
      </c>
      <c r="Z87" s="3" t="s">
        <v>86</v>
      </c>
      <c r="AA87" s="3" t="s">
        <v>339</v>
      </c>
      <c r="AB87" s="3" t="s">
        <v>78</v>
      </c>
      <c r="AC87" s="3" t="s">
        <v>31</v>
      </c>
      <c r="AD87" s="3">
        <v>0</v>
      </c>
    </row>
    <row r="88" spans="1:30" x14ac:dyDescent="0.3">
      <c r="A88" s="3">
        <v>14.3</v>
      </c>
      <c r="B88" s="3" t="s">
        <v>365</v>
      </c>
      <c r="C88" s="3" t="s">
        <v>186</v>
      </c>
      <c r="D88" s="3" t="s">
        <v>31</v>
      </c>
      <c r="E88" s="3" t="s">
        <v>32</v>
      </c>
      <c r="F88" s="12">
        <v>44926</v>
      </c>
      <c r="G88" s="3">
        <v>2022</v>
      </c>
      <c r="H88" s="3" t="s">
        <v>44</v>
      </c>
      <c r="I88" s="3" t="s">
        <v>45</v>
      </c>
      <c r="J88" s="3"/>
      <c r="K88" s="3">
        <v>94696</v>
      </c>
      <c r="L88" s="3">
        <v>96245</v>
      </c>
      <c r="M88" s="3">
        <v>1.016357607501901</v>
      </c>
      <c r="N88" s="3">
        <v>1.016357607501901</v>
      </c>
      <c r="O88" s="3" t="s">
        <v>35</v>
      </c>
      <c r="P88" s="3" t="s">
        <v>35</v>
      </c>
      <c r="Q88" s="3" t="str">
        <f t="shared" si="10"/>
        <v>14,3-2022-12-31</v>
      </c>
      <c r="R88" s="3">
        <v>0</v>
      </c>
      <c r="S88" s="3">
        <v>0</v>
      </c>
      <c r="T88" s="3" t="s">
        <v>443</v>
      </c>
      <c r="U88" s="3" t="s">
        <v>37</v>
      </c>
      <c r="V88" s="3" t="s">
        <v>30</v>
      </c>
      <c r="W88" s="3" t="s">
        <v>38</v>
      </c>
      <c r="X88" s="3" t="s">
        <v>39</v>
      </c>
      <c r="Y88" s="3" t="s">
        <v>40</v>
      </c>
      <c r="Z88" s="3" t="s">
        <v>86</v>
      </c>
      <c r="AA88" s="3" t="s">
        <v>339</v>
      </c>
      <c r="AB88" s="3" t="s">
        <v>78</v>
      </c>
      <c r="AC88" s="3" t="s">
        <v>31</v>
      </c>
      <c r="AD88" s="3">
        <v>0</v>
      </c>
    </row>
    <row r="89" spans="1:30" x14ac:dyDescent="0.3">
      <c r="A89" s="3">
        <v>14.3</v>
      </c>
      <c r="B89" s="3" t="s">
        <v>365</v>
      </c>
      <c r="C89" s="3" t="s">
        <v>186</v>
      </c>
      <c r="D89" s="3" t="s">
        <v>31</v>
      </c>
      <c r="E89" s="3" t="s">
        <v>32</v>
      </c>
      <c r="F89" s="12">
        <v>45107</v>
      </c>
      <c r="G89" s="3">
        <v>2023</v>
      </c>
      <c r="H89" s="3" t="s">
        <v>33</v>
      </c>
      <c r="I89" s="3" t="s">
        <v>47</v>
      </c>
      <c r="J89" s="3">
        <v>1</v>
      </c>
      <c r="K89" s="3">
        <v>49451</v>
      </c>
      <c r="L89" s="3">
        <v>48483</v>
      </c>
      <c r="M89" s="3">
        <v>0.98042506723827627</v>
      </c>
      <c r="N89" s="3">
        <v>0.98042506723827627</v>
      </c>
      <c r="O89" s="3" t="s">
        <v>35</v>
      </c>
      <c r="P89" s="3" t="s">
        <v>35</v>
      </c>
      <c r="Q89" s="3" t="str">
        <f t="shared" si="10"/>
        <v>14,3-2023-06-30</v>
      </c>
      <c r="R89" s="3">
        <v>0</v>
      </c>
      <c r="S89" s="3">
        <v>0</v>
      </c>
      <c r="T89" s="3" t="s">
        <v>31</v>
      </c>
      <c r="U89" s="3" t="s">
        <v>37</v>
      </c>
      <c r="V89" s="3" t="s">
        <v>30</v>
      </c>
      <c r="W89" s="3" t="s">
        <v>38</v>
      </c>
      <c r="X89" s="3" t="s">
        <v>39</v>
      </c>
      <c r="Y89" s="3" t="s">
        <v>40</v>
      </c>
      <c r="Z89" s="3" t="s">
        <v>86</v>
      </c>
      <c r="AA89" s="3" t="s">
        <v>339</v>
      </c>
      <c r="AB89" s="3" t="s">
        <v>78</v>
      </c>
      <c r="AC89" s="3" t="s">
        <v>31</v>
      </c>
      <c r="AD89" s="3">
        <v>0</v>
      </c>
    </row>
    <row r="90" spans="1:30" x14ac:dyDescent="0.3">
      <c r="A90" s="3">
        <v>14.3</v>
      </c>
      <c r="B90" s="3" t="s">
        <v>365</v>
      </c>
      <c r="C90" s="3" t="s">
        <v>186</v>
      </c>
      <c r="D90" s="3" t="s">
        <v>31</v>
      </c>
      <c r="E90" s="3" t="s">
        <v>32</v>
      </c>
      <c r="F90" s="12">
        <v>45291</v>
      </c>
      <c r="G90" s="3">
        <v>2023</v>
      </c>
      <c r="H90" s="3" t="s">
        <v>44</v>
      </c>
      <c r="I90" s="3" t="s">
        <v>49</v>
      </c>
      <c r="J90" s="3">
        <v>2</v>
      </c>
      <c r="K90" s="3">
        <v>48891</v>
      </c>
      <c r="L90" s="3">
        <v>48047</v>
      </c>
      <c r="M90" s="3">
        <v>0.98273710907938061</v>
      </c>
      <c r="N90" s="3">
        <v>0.98273710907938061</v>
      </c>
      <c r="O90" s="3" t="s">
        <v>35</v>
      </c>
      <c r="P90" s="3" t="s">
        <v>35</v>
      </c>
      <c r="Q90" s="3" t="str">
        <f t="shared" si="10"/>
        <v>14,3-2023-12-31</v>
      </c>
      <c r="R90" s="3">
        <v>0</v>
      </c>
      <c r="S90" s="3">
        <v>0</v>
      </c>
      <c r="T90" s="3" t="s">
        <v>31</v>
      </c>
      <c r="U90" s="3" t="s">
        <v>37</v>
      </c>
      <c r="V90" s="3" t="s">
        <v>30</v>
      </c>
      <c r="W90" s="3" t="s">
        <v>38</v>
      </c>
      <c r="X90" s="3" t="s">
        <v>39</v>
      </c>
      <c r="Y90" s="3" t="s">
        <v>40</v>
      </c>
      <c r="Z90" s="3" t="s">
        <v>86</v>
      </c>
      <c r="AA90" s="3" t="s">
        <v>339</v>
      </c>
      <c r="AB90" s="3" t="s">
        <v>78</v>
      </c>
      <c r="AC90" s="3" t="s">
        <v>31</v>
      </c>
      <c r="AD90" s="3">
        <v>0</v>
      </c>
    </row>
    <row r="91" spans="1:30" x14ac:dyDescent="0.3">
      <c r="A91" s="3">
        <v>14.3</v>
      </c>
      <c r="B91" s="3" t="s">
        <v>365</v>
      </c>
      <c r="C91" s="3" t="s">
        <v>186</v>
      </c>
      <c r="D91" s="3" t="s">
        <v>31</v>
      </c>
      <c r="E91" s="3" t="s">
        <v>32</v>
      </c>
      <c r="F91" s="12">
        <v>45291</v>
      </c>
      <c r="G91" s="3">
        <v>2023</v>
      </c>
      <c r="H91" s="3" t="s">
        <v>44</v>
      </c>
      <c r="I91" s="3" t="s">
        <v>49</v>
      </c>
      <c r="J91" s="3"/>
      <c r="K91" s="3">
        <v>98342</v>
      </c>
      <c r="L91" s="3">
        <v>96530</v>
      </c>
      <c r="M91" s="3">
        <v>0.98157450529783818</v>
      </c>
      <c r="N91" s="3">
        <v>0.98157450529783818</v>
      </c>
      <c r="O91" s="3" t="s">
        <v>35</v>
      </c>
      <c r="P91" s="3" t="s">
        <v>35</v>
      </c>
      <c r="Q91" s="3" t="str">
        <f t="shared" si="10"/>
        <v>14,3-2023-12-31</v>
      </c>
      <c r="R91" s="3">
        <v>0</v>
      </c>
      <c r="S91" s="3">
        <v>0</v>
      </c>
      <c r="T91" s="3" t="s">
        <v>443</v>
      </c>
      <c r="U91" s="3" t="s">
        <v>37</v>
      </c>
      <c r="V91" s="3" t="s">
        <v>30</v>
      </c>
      <c r="W91" s="3" t="s">
        <v>38</v>
      </c>
      <c r="X91" s="3" t="s">
        <v>39</v>
      </c>
      <c r="Y91" s="3" t="s">
        <v>40</v>
      </c>
      <c r="Z91" s="3" t="s">
        <v>86</v>
      </c>
      <c r="AA91" s="3" t="s">
        <v>339</v>
      </c>
      <c r="AB91" s="3" t="s">
        <v>78</v>
      </c>
      <c r="AC91" s="3" t="s">
        <v>31</v>
      </c>
      <c r="AD91" s="3">
        <v>0</v>
      </c>
    </row>
    <row r="92" spans="1:30" x14ac:dyDescent="0.3">
      <c r="A92" s="3">
        <v>14.3</v>
      </c>
      <c r="B92" s="3" t="s">
        <v>365</v>
      </c>
      <c r="C92" s="3" t="s">
        <v>186</v>
      </c>
      <c r="D92" s="3" t="s">
        <v>31</v>
      </c>
      <c r="E92" s="3" t="s">
        <v>32</v>
      </c>
      <c r="F92" s="12">
        <v>45473</v>
      </c>
      <c r="G92" s="3">
        <v>2024</v>
      </c>
      <c r="H92" s="3" t="s">
        <v>33</v>
      </c>
      <c r="I92" s="3" t="s">
        <v>51</v>
      </c>
      <c r="J92" s="3">
        <v>1</v>
      </c>
      <c r="K92" s="3">
        <v>49310</v>
      </c>
      <c r="L92" s="3">
        <v>49100</v>
      </c>
      <c r="M92" s="3">
        <f t="shared" ref="M92:M97" si="14">+L92/K92</f>
        <v>0.99574122895964312</v>
      </c>
      <c r="N92" s="3">
        <f t="shared" ref="N92:N97" si="15">+L92/K92</f>
        <v>0.99574122895964312</v>
      </c>
      <c r="O92" s="3" t="s">
        <v>35</v>
      </c>
      <c r="P92" s="3" t="s">
        <v>35</v>
      </c>
      <c r="Q92" s="3" t="str">
        <f t="shared" si="10"/>
        <v>14,3-2024-06-30</v>
      </c>
      <c r="R92" s="3">
        <v>0</v>
      </c>
      <c r="S92" s="3">
        <v>0</v>
      </c>
      <c r="T92" s="3" t="s">
        <v>31</v>
      </c>
      <c r="U92" s="3" t="s">
        <v>37</v>
      </c>
      <c r="V92" s="3" t="s">
        <v>30</v>
      </c>
      <c r="W92" s="3" t="s">
        <v>38</v>
      </c>
      <c r="X92" s="3" t="s">
        <v>39</v>
      </c>
      <c r="Y92" s="3" t="s">
        <v>40</v>
      </c>
      <c r="Z92" s="3" t="s">
        <v>86</v>
      </c>
      <c r="AA92" s="3" t="s">
        <v>339</v>
      </c>
      <c r="AB92" s="3" t="s">
        <v>78</v>
      </c>
      <c r="AC92" s="3" t="s">
        <v>31</v>
      </c>
      <c r="AD92" s="3">
        <v>0</v>
      </c>
    </row>
    <row r="93" spans="1:30" x14ac:dyDescent="0.3">
      <c r="A93" s="3">
        <v>14.3</v>
      </c>
      <c r="B93" s="3" t="s">
        <v>365</v>
      </c>
      <c r="C93" s="3" t="s">
        <v>186</v>
      </c>
      <c r="D93" s="3" t="s">
        <v>31</v>
      </c>
      <c r="E93" s="3" t="s">
        <v>32</v>
      </c>
      <c r="F93" s="12">
        <v>45657</v>
      </c>
      <c r="G93" s="3">
        <v>2024</v>
      </c>
      <c r="H93" s="3" t="s">
        <v>44</v>
      </c>
      <c r="I93" s="3" t="s">
        <v>53</v>
      </c>
      <c r="J93" s="3">
        <v>2</v>
      </c>
      <c r="K93" s="3">
        <v>48061</v>
      </c>
      <c r="L93" s="3">
        <v>48339</v>
      </c>
      <c r="M93" s="3">
        <f t="shared" si="14"/>
        <v>1.0057843157653814</v>
      </c>
      <c r="N93" s="3">
        <f t="shared" si="15"/>
        <v>1.0057843157653814</v>
      </c>
      <c r="O93" s="3" t="s">
        <v>35</v>
      </c>
      <c r="P93" s="3" t="s">
        <v>35</v>
      </c>
      <c r="Q93" s="3" t="str">
        <f t="shared" si="10"/>
        <v>14,3-2024-12-31</v>
      </c>
      <c r="R93" s="3">
        <v>0</v>
      </c>
      <c r="S93" s="3">
        <v>0</v>
      </c>
      <c r="T93" s="3" t="s">
        <v>31</v>
      </c>
      <c r="U93" s="3" t="s">
        <v>37</v>
      </c>
      <c r="V93" s="3" t="s">
        <v>30</v>
      </c>
      <c r="W93" s="3" t="s">
        <v>38</v>
      </c>
      <c r="X93" s="3" t="s">
        <v>39</v>
      </c>
      <c r="Y93" s="3" t="s">
        <v>40</v>
      </c>
      <c r="Z93" s="3" t="s">
        <v>86</v>
      </c>
      <c r="AA93" s="3" t="s">
        <v>339</v>
      </c>
      <c r="AB93" s="3" t="s">
        <v>78</v>
      </c>
      <c r="AC93" s="3" t="s">
        <v>31</v>
      </c>
      <c r="AD93" s="3">
        <v>0</v>
      </c>
    </row>
    <row r="94" spans="1:30" x14ac:dyDescent="0.3">
      <c r="A94" s="3">
        <v>14.3</v>
      </c>
      <c r="B94" s="3" t="s">
        <v>365</v>
      </c>
      <c r="C94" s="3" t="s">
        <v>186</v>
      </c>
      <c r="D94" s="3" t="s">
        <v>31</v>
      </c>
      <c r="E94" s="3" t="s">
        <v>32</v>
      </c>
      <c r="F94" s="12">
        <v>45657</v>
      </c>
      <c r="G94" s="3">
        <v>2024</v>
      </c>
      <c r="H94" s="3" t="s">
        <v>44</v>
      </c>
      <c r="I94" s="3" t="s">
        <v>53</v>
      </c>
      <c r="J94" s="3"/>
      <c r="K94" s="3">
        <v>97371</v>
      </c>
      <c r="L94" s="3">
        <v>97439</v>
      </c>
      <c r="M94" s="3">
        <f t="shared" si="14"/>
        <v>1.0006983598812789</v>
      </c>
      <c r="N94" s="3">
        <f t="shared" si="15"/>
        <v>1.0006983598812789</v>
      </c>
      <c r="O94" s="3" t="s">
        <v>35</v>
      </c>
      <c r="P94" s="3" t="s">
        <v>35</v>
      </c>
      <c r="Q94" s="3" t="str">
        <f t="shared" si="10"/>
        <v>14,3-2024-12-31</v>
      </c>
      <c r="R94" s="3">
        <v>0</v>
      </c>
      <c r="S94" s="3">
        <v>0</v>
      </c>
      <c r="T94" s="3" t="s">
        <v>443</v>
      </c>
      <c r="U94" s="3" t="s">
        <v>37</v>
      </c>
      <c r="V94" s="3" t="s">
        <v>30</v>
      </c>
      <c r="W94" s="3" t="s">
        <v>38</v>
      </c>
      <c r="X94" s="3" t="s">
        <v>39</v>
      </c>
      <c r="Y94" s="3" t="s">
        <v>40</v>
      </c>
      <c r="Z94" s="3" t="s">
        <v>86</v>
      </c>
      <c r="AA94" s="3" t="s">
        <v>339</v>
      </c>
      <c r="AB94" s="3" t="s">
        <v>78</v>
      </c>
      <c r="AC94" s="3" t="s">
        <v>31</v>
      </c>
      <c r="AD94" s="3">
        <v>0</v>
      </c>
    </row>
    <row r="95" spans="1:30" x14ac:dyDescent="0.3">
      <c r="A95" s="3">
        <v>14.3</v>
      </c>
      <c r="B95" s="3" t="s">
        <v>365</v>
      </c>
      <c r="C95" s="3" t="s">
        <v>186</v>
      </c>
      <c r="D95" s="3" t="s">
        <v>31</v>
      </c>
      <c r="E95" s="3" t="s">
        <v>32</v>
      </c>
      <c r="F95" s="12">
        <v>45838</v>
      </c>
      <c r="G95" s="3">
        <v>2025</v>
      </c>
      <c r="H95" s="3" t="s">
        <v>33</v>
      </c>
      <c r="I95" s="3" t="s">
        <v>404</v>
      </c>
      <c r="J95" s="3">
        <v>1</v>
      </c>
      <c r="K95" s="3">
        <v>49640</v>
      </c>
      <c r="L95" s="3">
        <v>52096</v>
      </c>
      <c r="M95" s="3">
        <f t="shared" si="14"/>
        <v>1.0494762288477035</v>
      </c>
      <c r="N95" s="3">
        <f t="shared" si="15"/>
        <v>1.0494762288477035</v>
      </c>
      <c r="O95" s="3" t="s">
        <v>35</v>
      </c>
      <c r="P95" s="3" t="s">
        <v>35</v>
      </c>
      <c r="Q95" s="3" t="str">
        <f t="shared" si="10"/>
        <v>14,3-2025-06-30</v>
      </c>
      <c r="R95" s="3">
        <v>0</v>
      </c>
      <c r="S95" s="3">
        <v>0</v>
      </c>
      <c r="T95" s="3" t="s">
        <v>31</v>
      </c>
      <c r="U95" s="3" t="s">
        <v>37</v>
      </c>
      <c r="V95" s="3" t="s">
        <v>30</v>
      </c>
      <c r="W95" s="3" t="s">
        <v>38</v>
      </c>
      <c r="X95" s="3" t="s">
        <v>39</v>
      </c>
      <c r="Y95" s="3" t="s">
        <v>40</v>
      </c>
      <c r="Z95" s="3" t="s">
        <v>86</v>
      </c>
      <c r="AA95" s="3" t="s">
        <v>339</v>
      </c>
      <c r="AB95" s="3" t="s">
        <v>78</v>
      </c>
      <c r="AC95" s="3" t="s">
        <v>31</v>
      </c>
      <c r="AD95" s="3">
        <v>0</v>
      </c>
    </row>
    <row r="96" spans="1:30" x14ac:dyDescent="0.3">
      <c r="A96" s="3">
        <v>14.3</v>
      </c>
      <c r="B96" s="3" t="s">
        <v>365</v>
      </c>
      <c r="C96" s="3" t="s">
        <v>186</v>
      </c>
      <c r="D96" s="3" t="s">
        <v>31</v>
      </c>
      <c r="E96" s="3" t="s">
        <v>32</v>
      </c>
      <c r="F96" s="12">
        <v>46022</v>
      </c>
      <c r="G96" s="3">
        <v>2025</v>
      </c>
      <c r="H96" s="3" t="s">
        <v>44</v>
      </c>
      <c r="I96" s="3" t="s">
        <v>465</v>
      </c>
      <c r="J96" s="3">
        <v>2</v>
      </c>
      <c r="K96" s="3">
        <v>51739</v>
      </c>
      <c r="L96" s="11">
        <v>52271</v>
      </c>
      <c r="M96" s="3">
        <f t="shared" si="14"/>
        <v>1.0102823788631401</v>
      </c>
      <c r="N96" s="3">
        <f t="shared" si="15"/>
        <v>1.0102823788631401</v>
      </c>
      <c r="O96" s="3" t="s">
        <v>35</v>
      </c>
      <c r="P96" s="3" t="s">
        <v>35</v>
      </c>
      <c r="Q96" s="3" t="str">
        <f t="shared" si="10"/>
        <v>14,3-2025-12-31</v>
      </c>
      <c r="R96" s="3">
        <v>0</v>
      </c>
      <c r="S96" s="3">
        <v>0</v>
      </c>
      <c r="T96" s="3" t="s">
        <v>31</v>
      </c>
      <c r="U96" s="3" t="s">
        <v>37</v>
      </c>
      <c r="V96" s="3" t="s">
        <v>30</v>
      </c>
      <c r="W96" s="3" t="s">
        <v>38</v>
      </c>
      <c r="X96" s="3" t="s">
        <v>39</v>
      </c>
      <c r="Y96" s="3" t="s">
        <v>40</v>
      </c>
      <c r="Z96" s="3" t="s">
        <v>86</v>
      </c>
      <c r="AA96" s="3" t="s">
        <v>339</v>
      </c>
      <c r="AB96" s="3" t="s">
        <v>78</v>
      </c>
      <c r="AC96" s="3" t="s">
        <v>31</v>
      </c>
      <c r="AD96" s="3">
        <v>0</v>
      </c>
    </row>
    <row r="97" spans="1:30" x14ac:dyDescent="0.3">
      <c r="A97" s="3">
        <v>14.3</v>
      </c>
      <c r="B97" s="3" t="s">
        <v>365</v>
      </c>
      <c r="C97" s="3" t="s">
        <v>186</v>
      </c>
      <c r="D97" s="3" t="s">
        <v>31</v>
      </c>
      <c r="E97" s="3" t="s">
        <v>32</v>
      </c>
      <c r="F97" s="12">
        <v>46022</v>
      </c>
      <c r="G97" s="3">
        <v>2025</v>
      </c>
      <c r="H97" s="3" t="s">
        <v>44</v>
      </c>
      <c r="I97" s="3" t="s">
        <v>465</v>
      </c>
      <c r="J97" s="3"/>
      <c r="K97" s="3">
        <v>101379</v>
      </c>
      <c r="L97" s="3">
        <v>104367</v>
      </c>
      <c r="M97" s="3">
        <f t="shared" si="14"/>
        <v>1.0294735596129376</v>
      </c>
      <c r="N97" s="3">
        <f t="shared" si="15"/>
        <v>1.0294735596129376</v>
      </c>
      <c r="O97" s="3" t="s">
        <v>35</v>
      </c>
      <c r="P97" s="3" t="s">
        <v>35</v>
      </c>
      <c r="Q97" s="3" t="str">
        <f t="shared" si="10"/>
        <v>14,3-2025-12-31</v>
      </c>
      <c r="R97" s="3">
        <v>0</v>
      </c>
      <c r="S97" s="3">
        <v>0</v>
      </c>
      <c r="T97" s="3" t="s">
        <v>443</v>
      </c>
      <c r="U97" s="3" t="s">
        <v>37</v>
      </c>
      <c r="V97" s="3" t="s">
        <v>30</v>
      </c>
      <c r="W97" s="3" t="s">
        <v>38</v>
      </c>
      <c r="X97" s="3" t="s">
        <v>39</v>
      </c>
      <c r="Y97" s="3" t="s">
        <v>40</v>
      </c>
      <c r="Z97" s="3" t="s">
        <v>86</v>
      </c>
      <c r="AA97" s="3" t="s">
        <v>339</v>
      </c>
      <c r="AB97" s="3" t="s">
        <v>78</v>
      </c>
      <c r="AC97" s="3" t="s">
        <v>31</v>
      </c>
      <c r="AD97" s="3">
        <v>0</v>
      </c>
    </row>
    <row r="98" spans="1:30" x14ac:dyDescent="0.3">
      <c r="A98" s="3">
        <v>14.4</v>
      </c>
      <c r="B98" s="3" t="s">
        <v>371</v>
      </c>
      <c r="C98" s="3" t="s">
        <v>186</v>
      </c>
      <c r="D98" s="3" t="s">
        <v>31</v>
      </c>
      <c r="E98" s="3" t="s">
        <v>32</v>
      </c>
      <c r="F98" s="12">
        <v>43281</v>
      </c>
      <c r="G98" s="3">
        <f t="shared" ref="G98:G109" si="16">YEAR(F98)</f>
        <v>2018</v>
      </c>
      <c r="H98" s="3" t="str">
        <f t="shared" ref="H98:H109" si="17">PROPER(TEXT(F98,"mmmm"))</f>
        <v>Junio</v>
      </c>
      <c r="I98" s="3" t="str">
        <f t="shared" ref="I98:I109" si="18">IF(H98="Junio",G98&amp;"-1",G98&amp;"-2")</f>
        <v>2018-1</v>
      </c>
      <c r="J98" s="3">
        <v>1</v>
      </c>
      <c r="K98" s="3"/>
      <c r="L98" s="11">
        <v>1707</v>
      </c>
      <c r="M98" s="3"/>
      <c r="N98" s="3"/>
      <c r="O98" s="3" t="s">
        <v>35</v>
      </c>
      <c r="P98" s="3" t="s">
        <v>35</v>
      </c>
      <c r="Q98" s="3" t="str">
        <f t="shared" si="10"/>
        <v>14,4-2018-06-30</v>
      </c>
      <c r="R98" s="3">
        <v>0</v>
      </c>
      <c r="S98" s="3">
        <v>0</v>
      </c>
      <c r="T98" s="3" t="s">
        <v>31</v>
      </c>
      <c r="U98" s="3" t="s">
        <v>37</v>
      </c>
      <c r="V98" s="3" t="s">
        <v>30</v>
      </c>
      <c r="W98" s="3" t="s">
        <v>38</v>
      </c>
      <c r="X98" s="3" t="s">
        <v>39</v>
      </c>
      <c r="Y98" s="3" t="s">
        <v>40</v>
      </c>
      <c r="Z98" s="3" t="s">
        <v>86</v>
      </c>
      <c r="AA98" s="3" t="s">
        <v>339</v>
      </c>
      <c r="AB98" s="3" t="s">
        <v>78</v>
      </c>
      <c r="AC98" s="3" t="s">
        <v>31</v>
      </c>
      <c r="AD98" s="3">
        <v>0</v>
      </c>
    </row>
    <row r="99" spans="1:30" x14ac:dyDescent="0.3">
      <c r="A99" s="3">
        <v>14.4</v>
      </c>
      <c r="B99" s="3" t="s">
        <v>371</v>
      </c>
      <c r="C99" s="3" t="s">
        <v>186</v>
      </c>
      <c r="D99" s="3" t="s">
        <v>31</v>
      </c>
      <c r="E99" s="3" t="s">
        <v>32</v>
      </c>
      <c r="F99" s="12">
        <v>43465</v>
      </c>
      <c r="G99" s="3">
        <f t="shared" si="16"/>
        <v>2018</v>
      </c>
      <c r="H99" s="3" t="str">
        <f t="shared" si="17"/>
        <v>Diciembre</v>
      </c>
      <c r="I99" s="3" t="str">
        <f t="shared" si="18"/>
        <v>2018-2</v>
      </c>
      <c r="J99" s="3">
        <v>2</v>
      </c>
      <c r="K99" s="3"/>
      <c r="L99" s="11">
        <v>1776</v>
      </c>
      <c r="M99" s="3"/>
      <c r="N99" s="3"/>
      <c r="O99" s="3" t="s">
        <v>35</v>
      </c>
      <c r="P99" s="3" t="s">
        <v>35</v>
      </c>
      <c r="Q99" s="3" t="str">
        <f t="shared" si="10"/>
        <v>14,4-2018-12-31</v>
      </c>
      <c r="R99" s="3">
        <v>0</v>
      </c>
      <c r="S99" s="3">
        <v>0</v>
      </c>
      <c r="T99" s="3" t="s">
        <v>31</v>
      </c>
      <c r="U99" s="3" t="s">
        <v>37</v>
      </c>
      <c r="V99" s="3" t="s">
        <v>30</v>
      </c>
      <c r="W99" s="3" t="s">
        <v>38</v>
      </c>
      <c r="X99" s="3" t="s">
        <v>39</v>
      </c>
      <c r="Y99" s="3" t="s">
        <v>40</v>
      </c>
      <c r="Z99" s="3" t="s">
        <v>86</v>
      </c>
      <c r="AA99" s="3" t="s">
        <v>339</v>
      </c>
      <c r="AB99" s="3" t="s">
        <v>78</v>
      </c>
      <c r="AC99" s="3" t="s">
        <v>31</v>
      </c>
      <c r="AD99" s="3">
        <v>0</v>
      </c>
    </row>
    <row r="100" spans="1:30" x14ac:dyDescent="0.3">
      <c r="A100" s="3">
        <v>14.4</v>
      </c>
      <c r="B100" s="3" t="s">
        <v>371</v>
      </c>
      <c r="C100" s="3" t="s">
        <v>186</v>
      </c>
      <c r="D100" s="3" t="s">
        <v>31</v>
      </c>
      <c r="E100" s="3" t="s">
        <v>32</v>
      </c>
      <c r="F100" s="12">
        <v>43465</v>
      </c>
      <c r="G100" s="3">
        <f t="shared" si="16"/>
        <v>2018</v>
      </c>
      <c r="H100" s="3" t="str">
        <f t="shared" si="17"/>
        <v>Diciembre</v>
      </c>
      <c r="I100" s="3" t="str">
        <f t="shared" si="18"/>
        <v>2018-2</v>
      </c>
      <c r="J100" s="3"/>
      <c r="K100" s="3"/>
      <c r="L100" s="3">
        <v>3483</v>
      </c>
      <c r="M100" s="3"/>
      <c r="N100" s="3"/>
      <c r="O100" s="3" t="s">
        <v>35</v>
      </c>
      <c r="P100" s="3" t="s">
        <v>35</v>
      </c>
      <c r="Q100" s="3" t="str">
        <f t="shared" si="10"/>
        <v>14,4-2018-12-31</v>
      </c>
      <c r="R100" s="3">
        <v>0</v>
      </c>
      <c r="S100" s="3">
        <v>0</v>
      </c>
      <c r="T100" s="3" t="s">
        <v>443</v>
      </c>
      <c r="U100" s="3" t="s">
        <v>37</v>
      </c>
      <c r="V100" s="3" t="s">
        <v>30</v>
      </c>
      <c r="W100" s="3" t="s">
        <v>38</v>
      </c>
      <c r="X100" s="3" t="s">
        <v>39</v>
      </c>
      <c r="Y100" s="3" t="s">
        <v>40</v>
      </c>
      <c r="Z100" s="3" t="s">
        <v>86</v>
      </c>
      <c r="AA100" s="3" t="s">
        <v>339</v>
      </c>
      <c r="AB100" s="3" t="s">
        <v>78</v>
      </c>
      <c r="AC100" s="3" t="s">
        <v>31</v>
      </c>
      <c r="AD100" s="3">
        <v>0</v>
      </c>
    </row>
    <row r="101" spans="1:30" x14ac:dyDescent="0.3">
      <c r="A101" s="3">
        <v>14.4</v>
      </c>
      <c r="B101" s="3" t="s">
        <v>371</v>
      </c>
      <c r="C101" s="3" t="s">
        <v>186</v>
      </c>
      <c r="D101" s="3" t="s">
        <v>31</v>
      </c>
      <c r="E101" s="3" t="s">
        <v>32</v>
      </c>
      <c r="F101" s="12">
        <v>43646</v>
      </c>
      <c r="G101" s="3">
        <f t="shared" si="16"/>
        <v>2019</v>
      </c>
      <c r="H101" s="3" t="str">
        <f t="shared" si="17"/>
        <v>Junio</v>
      </c>
      <c r="I101" s="3" t="str">
        <f t="shared" si="18"/>
        <v>2019-1</v>
      </c>
      <c r="J101" s="3">
        <v>1</v>
      </c>
      <c r="K101" s="3"/>
      <c r="L101" s="3">
        <v>1969</v>
      </c>
      <c r="M101" s="3"/>
      <c r="N101" s="3"/>
      <c r="O101" s="3" t="s">
        <v>35</v>
      </c>
      <c r="P101" s="3" t="s">
        <v>35</v>
      </c>
      <c r="Q101" s="3" t="str">
        <f t="shared" si="10"/>
        <v>14,4-2019-06-30</v>
      </c>
      <c r="R101" s="3">
        <v>0</v>
      </c>
      <c r="S101" s="3">
        <v>0</v>
      </c>
      <c r="T101" s="3" t="s">
        <v>31</v>
      </c>
      <c r="U101" s="3" t="s">
        <v>37</v>
      </c>
      <c r="V101" s="3" t="s">
        <v>30</v>
      </c>
      <c r="W101" s="3" t="s">
        <v>38</v>
      </c>
      <c r="X101" s="3" t="s">
        <v>39</v>
      </c>
      <c r="Y101" s="3" t="s">
        <v>40</v>
      </c>
      <c r="Z101" s="3" t="s">
        <v>86</v>
      </c>
      <c r="AA101" s="3" t="s">
        <v>339</v>
      </c>
      <c r="AB101" s="3" t="s">
        <v>78</v>
      </c>
      <c r="AC101" s="3" t="s">
        <v>31</v>
      </c>
      <c r="AD101" s="3">
        <v>0</v>
      </c>
    </row>
    <row r="102" spans="1:30" x14ac:dyDescent="0.3">
      <c r="A102" s="3">
        <v>14.4</v>
      </c>
      <c r="B102" s="3" t="s">
        <v>371</v>
      </c>
      <c r="C102" s="3" t="s">
        <v>186</v>
      </c>
      <c r="D102" s="3" t="s">
        <v>31</v>
      </c>
      <c r="E102" s="3" t="s">
        <v>32</v>
      </c>
      <c r="F102" s="12">
        <v>43830</v>
      </c>
      <c r="G102" s="3">
        <f t="shared" si="16"/>
        <v>2019</v>
      </c>
      <c r="H102" s="3" t="str">
        <f t="shared" si="17"/>
        <v>Diciembre</v>
      </c>
      <c r="I102" s="3" t="str">
        <f t="shared" si="18"/>
        <v>2019-2</v>
      </c>
      <c r="J102" s="3">
        <v>2</v>
      </c>
      <c r="K102" s="3"/>
      <c r="L102" s="3">
        <v>1901</v>
      </c>
      <c r="M102" s="3"/>
      <c r="N102" s="3"/>
      <c r="O102" s="3" t="s">
        <v>35</v>
      </c>
      <c r="P102" s="3" t="s">
        <v>35</v>
      </c>
      <c r="Q102" s="3" t="str">
        <f t="shared" si="10"/>
        <v>14,4-2019-12-31</v>
      </c>
      <c r="R102" s="3">
        <v>0</v>
      </c>
      <c r="S102" s="3">
        <v>0</v>
      </c>
      <c r="T102" s="3" t="s">
        <v>31</v>
      </c>
      <c r="U102" s="3" t="s">
        <v>37</v>
      </c>
      <c r="V102" s="3" t="s">
        <v>30</v>
      </c>
      <c r="W102" s="3" t="s">
        <v>38</v>
      </c>
      <c r="X102" s="3" t="s">
        <v>39</v>
      </c>
      <c r="Y102" s="3" t="s">
        <v>40</v>
      </c>
      <c r="Z102" s="3" t="s">
        <v>86</v>
      </c>
      <c r="AA102" s="3" t="s">
        <v>339</v>
      </c>
      <c r="AB102" s="3" t="s">
        <v>78</v>
      </c>
      <c r="AC102" s="3" t="s">
        <v>31</v>
      </c>
      <c r="AD102" s="3">
        <v>0</v>
      </c>
    </row>
    <row r="103" spans="1:30" x14ac:dyDescent="0.3">
      <c r="A103" s="3">
        <v>14.4</v>
      </c>
      <c r="B103" s="3" t="s">
        <v>371</v>
      </c>
      <c r="C103" s="3" t="s">
        <v>186</v>
      </c>
      <c r="D103" s="3" t="s">
        <v>31</v>
      </c>
      <c r="E103" s="3" t="s">
        <v>32</v>
      </c>
      <c r="F103" s="12">
        <v>43830</v>
      </c>
      <c r="G103" s="3">
        <f t="shared" si="16"/>
        <v>2019</v>
      </c>
      <c r="H103" s="3" t="str">
        <f t="shared" si="17"/>
        <v>Diciembre</v>
      </c>
      <c r="I103" s="3" t="str">
        <f t="shared" si="18"/>
        <v>2019-2</v>
      </c>
      <c r="J103" s="3"/>
      <c r="K103" s="3"/>
      <c r="L103" s="3">
        <v>3870</v>
      </c>
      <c r="M103" s="3"/>
      <c r="N103" s="3"/>
      <c r="O103" s="3" t="s">
        <v>35</v>
      </c>
      <c r="P103" s="3" t="s">
        <v>35</v>
      </c>
      <c r="Q103" s="3" t="str">
        <f t="shared" si="10"/>
        <v>14,4-2019-12-31</v>
      </c>
      <c r="R103" s="3">
        <v>0</v>
      </c>
      <c r="S103" s="3">
        <v>0</v>
      </c>
      <c r="T103" s="3" t="s">
        <v>443</v>
      </c>
      <c r="U103" s="3" t="s">
        <v>37</v>
      </c>
      <c r="V103" s="3" t="s">
        <v>30</v>
      </c>
      <c r="W103" s="3" t="s">
        <v>38</v>
      </c>
      <c r="X103" s="3" t="s">
        <v>39</v>
      </c>
      <c r="Y103" s="3" t="s">
        <v>40</v>
      </c>
      <c r="Z103" s="3" t="s">
        <v>86</v>
      </c>
      <c r="AA103" s="3" t="s">
        <v>339</v>
      </c>
      <c r="AB103" s="3" t="s">
        <v>78</v>
      </c>
      <c r="AC103" s="3" t="s">
        <v>31</v>
      </c>
      <c r="AD103" s="3">
        <v>0</v>
      </c>
    </row>
    <row r="104" spans="1:30" x14ac:dyDescent="0.3">
      <c r="A104" s="3">
        <v>14.4</v>
      </c>
      <c r="B104" s="3" t="s">
        <v>371</v>
      </c>
      <c r="C104" s="3" t="s">
        <v>186</v>
      </c>
      <c r="D104" s="3" t="s">
        <v>31</v>
      </c>
      <c r="E104" s="3" t="s">
        <v>32</v>
      </c>
      <c r="F104" s="12">
        <v>44012</v>
      </c>
      <c r="G104" s="3">
        <f t="shared" si="16"/>
        <v>2020</v>
      </c>
      <c r="H104" s="3" t="str">
        <f t="shared" si="17"/>
        <v>Junio</v>
      </c>
      <c r="I104" s="3" t="str">
        <f t="shared" si="18"/>
        <v>2020-1</v>
      </c>
      <c r="J104" s="3">
        <v>1</v>
      </c>
      <c r="K104" s="3"/>
      <c r="L104" s="11">
        <v>2091</v>
      </c>
      <c r="M104" s="3"/>
      <c r="N104" s="3"/>
      <c r="O104" s="3" t="s">
        <v>35</v>
      </c>
      <c r="P104" s="3" t="s">
        <v>35</v>
      </c>
      <c r="Q104" s="3" t="str">
        <f t="shared" si="10"/>
        <v>14,4-2020-06-30</v>
      </c>
      <c r="R104" s="3">
        <v>0</v>
      </c>
      <c r="S104" s="3">
        <v>0</v>
      </c>
      <c r="T104" s="3" t="s">
        <v>31</v>
      </c>
      <c r="U104" s="3" t="s">
        <v>37</v>
      </c>
      <c r="V104" s="3" t="s">
        <v>30</v>
      </c>
      <c r="W104" s="3" t="s">
        <v>38</v>
      </c>
      <c r="X104" s="3" t="s">
        <v>39</v>
      </c>
      <c r="Y104" s="3" t="s">
        <v>40</v>
      </c>
      <c r="Z104" s="3" t="s">
        <v>86</v>
      </c>
      <c r="AA104" s="3" t="s">
        <v>339</v>
      </c>
      <c r="AB104" s="3" t="s">
        <v>78</v>
      </c>
      <c r="AC104" s="3" t="s">
        <v>31</v>
      </c>
      <c r="AD104" s="3">
        <v>0</v>
      </c>
    </row>
    <row r="105" spans="1:30" x14ac:dyDescent="0.3">
      <c r="A105" s="3">
        <v>14.4</v>
      </c>
      <c r="B105" s="3" t="s">
        <v>371</v>
      </c>
      <c r="C105" s="3" t="s">
        <v>186</v>
      </c>
      <c r="D105" s="3" t="s">
        <v>31</v>
      </c>
      <c r="E105" s="3" t="s">
        <v>32</v>
      </c>
      <c r="F105" s="12">
        <v>44196</v>
      </c>
      <c r="G105" s="3">
        <f t="shared" si="16"/>
        <v>2020</v>
      </c>
      <c r="H105" s="3" t="str">
        <f t="shared" si="17"/>
        <v>Diciembre</v>
      </c>
      <c r="I105" s="3" t="str">
        <f t="shared" si="18"/>
        <v>2020-2</v>
      </c>
      <c r="J105" s="3">
        <v>2</v>
      </c>
      <c r="K105" s="3"/>
      <c r="L105" s="11">
        <v>2144</v>
      </c>
      <c r="M105" s="3"/>
      <c r="N105" s="3"/>
      <c r="O105" s="3" t="s">
        <v>35</v>
      </c>
      <c r="P105" s="3" t="s">
        <v>35</v>
      </c>
      <c r="Q105" s="3" t="str">
        <f t="shared" si="10"/>
        <v>14,4-2020-12-31</v>
      </c>
      <c r="R105" s="3">
        <v>0</v>
      </c>
      <c r="S105" s="3">
        <v>0</v>
      </c>
      <c r="T105" s="3" t="s">
        <v>31</v>
      </c>
      <c r="U105" s="3" t="s">
        <v>37</v>
      </c>
      <c r="V105" s="3" t="s">
        <v>30</v>
      </c>
      <c r="W105" s="3" t="s">
        <v>38</v>
      </c>
      <c r="X105" s="3" t="s">
        <v>39</v>
      </c>
      <c r="Y105" s="3" t="s">
        <v>40</v>
      </c>
      <c r="Z105" s="3" t="s">
        <v>86</v>
      </c>
      <c r="AA105" s="3" t="s">
        <v>339</v>
      </c>
      <c r="AB105" s="3" t="s">
        <v>78</v>
      </c>
      <c r="AC105" s="3" t="s">
        <v>31</v>
      </c>
      <c r="AD105" s="3">
        <v>0</v>
      </c>
    </row>
    <row r="106" spans="1:30" x14ac:dyDescent="0.3">
      <c r="A106" s="3">
        <v>14.4</v>
      </c>
      <c r="B106" s="3" t="s">
        <v>371</v>
      </c>
      <c r="C106" s="3" t="s">
        <v>186</v>
      </c>
      <c r="D106" s="3" t="s">
        <v>31</v>
      </c>
      <c r="E106" s="3" t="s">
        <v>32</v>
      </c>
      <c r="F106" s="12">
        <v>44196</v>
      </c>
      <c r="G106" s="3">
        <f t="shared" si="16"/>
        <v>2020</v>
      </c>
      <c r="H106" s="3" t="str">
        <f t="shared" si="17"/>
        <v>Diciembre</v>
      </c>
      <c r="I106" s="3" t="str">
        <f t="shared" si="18"/>
        <v>2020-2</v>
      </c>
      <c r="J106" s="3"/>
      <c r="K106" s="3"/>
      <c r="L106" s="3">
        <v>4235</v>
      </c>
      <c r="M106" s="3"/>
      <c r="N106" s="3"/>
      <c r="O106" s="3" t="s">
        <v>35</v>
      </c>
      <c r="P106" s="3" t="s">
        <v>35</v>
      </c>
      <c r="Q106" s="3" t="str">
        <f t="shared" si="10"/>
        <v>14,4-2020-12-31</v>
      </c>
      <c r="R106" s="3">
        <v>0</v>
      </c>
      <c r="S106" s="3">
        <v>0</v>
      </c>
      <c r="T106" s="3" t="s">
        <v>443</v>
      </c>
      <c r="U106" s="3" t="s">
        <v>37</v>
      </c>
      <c r="V106" s="3" t="s">
        <v>30</v>
      </c>
      <c r="W106" s="3" t="s">
        <v>38</v>
      </c>
      <c r="X106" s="3" t="s">
        <v>39</v>
      </c>
      <c r="Y106" s="3" t="s">
        <v>40</v>
      </c>
      <c r="Z106" s="3" t="s">
        <v>86</v>
      </c>
      <c r="AA106" s="3" t="s">
        <v>339</v>
      </c>
      <c r="AB106" s="3" t="s">
        <v>78</v>
      </c>
      <c r="AC106" s="3" t="s">
        <v>31</v>
      </c>
      <c r="AD106" s="3">
        <v>0</v>
      </c>
    </row>
    <row r="107" spans="1:30" x14ac:dyDescent="0.3">
      <c r="A107" s="3">
        <v>14.4</v>
      </c>
      <c r="B107" s="3" t="s">
        <v>371</v>
      </c>
      <c r="C107" s="3" t="s">
        <v>186</v>
      </c>
      <c r="D107" s="3" t="s">
        <v>31</v>
      </c>
      <c r="E107" s="3" t="s">
        <v>32</v>
      </c>
      <c r="F107" s="12">
        <v>44377</v>
      </c>
      <c r="G107" s="3">
        <f t="shared" si="16"/>
        <v>2021</v>
      </c>
      <c r="H107" s="3" t="str">
        <f t="shared" si="17"/>
        <v>Junio</v>
      </c>
      <c r="I107" s="3" t="str">
        <f t="shared" si="18"/>
        <v>2021-1</v>
      </c>
      <c r="J107" s="3">
        <v>1</v>
      </c>
      <c r="K107" s="3"/>
      <c r="L107" s="11">
        <v>2245</v>
      </c>
      <c r="M107" s="3"/>
      <c r="N107" s="3"/>
      <c r="O107" s="3" t="s">
        <v>35</v>
      </c>
      <c r="P107" s="3" t="s">
        <v>35</v>
      </c>
      <c r="Q107" s="3" t="str">
        <f t="shared" si="10"/>
        <v>14,4-2021-06-30</v>
      </c>
      <c r="R107" s="3">
        <v>0</v>
      </c>
      <c r="S107" s="3">
        <v>0</v>
      </c>
      <c r="T107" s="3" t="s">
        <v>31</v>
      </c>
      <c r="U107" s="3" t="s">
        <v>37</v>
      </c>
      <c r="V107" s="3" t="s">
        <v>30</v>
      </c>
      <c r="W107" s="3" t="s">
        <v>38</v>
      </c>
      <c r="X107" s="3" t="s">
        <v>39</v>
      </c>
      <c r="Y107" s="3" t="s">
        <v>40</v>
      </c>
      <c r="Z107" s="3" t="s">
        <v>86</v>
      </c>
      <c r="AA107" s="3" t="s">
        <v>339</v>
      </c>
      <c r="AB107" s="3" t="s">
        <v>78</v>
      </c>
      <c r="AC107" s="3" t="s">
        <v>31</v>
      </c>
      <c r="AD107" s="3">
        <v>0</v>
      </c>
    </row>
    <row r="108" spans="1:30" x14ac:dyDescent="0.3">
      <c r="A108" s="3">
        <v>14.4</v>
      </c>
      <c r="B108" s="3" t="s">
        <v>371</v>
      </c>
      <c r="C108" s="3" t="s">
        <v>186</v>
      </c>
      <c r="D108" s="3" t="s">
        <v>31</v>
      </c>
      <c r="E108" s="3" t="s">
        <v>32</v>
      </c>
      <c r="F108" s="12">
        <v>44561</v>
      </c>
      <c r="G108" s="3">
        <f t="shared" si="16"/>
        <v>2021</v>
      </c>
      <c r="H108" s="3" t="str">
        <f t="shared" si="17"/>
        <v>Diciembre</v>
      </c>
      <c r="I108" s="3" t="str">
        <f t="shared" si="18"/>
        <v>2021-2</v>
      </c>
      <c r="J108" s="3">
        <v>2</v>
      </c>
      <c r="K108" s="3"/>
      <c r="L108" s="11">
        <v>2087</v>
      </c>
      <c r="M108" s="3"/>
      <c r="N108" s="3"/>
      <c r="O108" s="3" t="s">
        <v>35</v>
      </c>
      <c r="P108" s="3" t="s">
        <v>35</v>
      </c>
      <c r="Q108" s="3" t="str">
        <f t="shared" si="10"/>
        <v>14,4-2021-12-31</v>
      </c>
      <c r="R108" s="3">
        <v>0</v>
      </c>
      <c r="S108" s="3">
        <v>0</v>
      </c>
      <c r="T108" s="3" t="s">
        <v>31</v>
      </c>
      <c r="U108" s="3" t="s">
        <v>37</v>
      </c>
      <c r="V108" s="3" t="s">
        <v>30</v>
      </c>
      <c r="W108" s="3" t="s">
        <v>38</v>
      </c>
      <c r="X108" s="3" t="s">
        <v>39</v>
      </c>
      <c r="Y108" s="3" t="s">
        <v>40</v>
      </c>
      <c r="Z108" s="3" t="s">
        <v>86</v>
      </c>
      <c r="AA108" s="3" t="s">
        <v>339</v>
      </c>
      <c r="AB108" s="3" t="s">
        <v>78</v>
      </c>
      <c r="AC108" s="3" t="s">
        <v>31</v>
      </c>
      <c r="AD108" s="3">
        <v>0</v>
      </c>
    </row>
    <row r="109" spans="1:30" x14ac:dyDescent="0.3">
      <c r="A109" s="3">
        <v>14.4</v>
      </c>
      <c r="B109" s="3" t="s">
        <v>371</v>
      </c>
      <c r="C109" s="3" t="s">
        <v>186</v>
      </c>
      <c r="D109" s="3" t="s">
        <v>31</v>
      </c>
      <c r="E109" s="3" t="s">
        <v>32</v>
      </c>
      <c r="F109" s="12">
        <v>44561</v>
      </c>
      <c r="G109" s="3">
        <f t="shared" si="16"/>
        <v>2021</v>
      </c>
      <c r="H109" s="3" t="str">
        <f t="shared" si="17"/>
        <v>Diciembre</v>
      </c>
      <c r="I109" s="3" t="str">
        <f t="shared" si="18"/>
        <v>2021-2</v>
      </c>
      <c r="J109" s="3"/>
      <c r="K109" s="3"/>
      <c r="L109" s="3">
        <v>4332</v>
      </c>
      <c r="M109" s="3"/>
      <c r="N109" s="3"/>
      <c r="O109" s="3" t="s">
        <v>35</v>
      </c>
      <c r="P109" s="3" t="s">
        <v>35</v>
      </c>
      <c r="Q109" s="3" t="str">
        <f t="shared" si="10"/>
        <v>14,4-2021-12-31</v>
      </c>
      <c r="R109" s="3">
        <v>0</v>
      </c>
      <c r="S109" s="3">
        <v>0</v>
      </c>
      <c r="T109" s="3" t="s">
        <v>443</v>
      </c>
      <c r="U109" s="3" t="s">
        <v>37</v>
      </c>
      <c r="V109" s="3" t="s">
        <v>30</v>
      </c>
      <c r="W109" s="3" t="s">
        <v>38</v>
      </c>
      <c r="X109" s="3" t="s">
        <v>39</v>
      </c>
      <c r="Y109" s="3" t="s">
        <v>40</v>
      </c>
      <c r="Z109" s="3" t="s">
        <v>86</v>
      </c>
      <c r="AA109" s="3" t="s">
        <v>339</v>
      </c>
      <c r="AB109" s="3" t="s">
        <v>78</v>
      </c>
      <c r="AC109" s="3" t="s">
        <v>31</v>
      </c>
      <c r="AD109" s="3">
        <v>0</v>
      </c>
    </row>
    <row r="110" spans="1:30" x14ac:dyDescent="0.3">
      <c r="A110" s="3">
        <v>14.4</v>
      </c>
      <c r="B110" s="3" t="s">
        <v>371</v>
      </c>
      <c r="C110" s="3" t="s">
        <v>186</v>
      </c>
      <c r="D110" s="3" t="s">
        <v>31</v>
      </c>
      <c r="E110" s="3" t="s">
        <v>32</v>
      </c>
      <c r="F110" s="12">
        <v>44742</v>
      </c>
      <c r="G110" s="3">
        <v>2022</v>
      </c>
      <c r="H110" s="3" t="s">
        <v>33</v>
      </c>
      <c r="I110" s="3" t="s">
        <v>34</v>
      </c>
      <c r="J110" s="3">
        <v>1</v>
      </c>
      <c r="K110" s="3">
        <v>2408</v>
      </c>
      <c r="L110" s="3">
        <v>2398</v>
      </c>
      <c r="M110" s="3">
        <v>0.99584717607973416</v>
      </c>
      <c r="N110" s="3">
        <v>0.99584717607973416</v>
      </c>
      <c r="O110" s="3" t="s">
        <v>35</v>
      </c>
      <c r="P110" s="3" t="s">
        <v>35</v>
      </c>
      <c r="Q110" s="3" t="str">
        <f t="shared" si="10"/>
        <v>14,4-2022-06-30</v>
      </c>
      <c r="R110" s="3">
        <v>0</v>
      </c>
      <c r="S110" s="3">
        <v>0</v>
      </c>
      <c r="T110" s="3" t="s">
        <v>31</v>
      </c>
      <c r="U110" s="3" t="s">
        <v>37</v>
      </c>
      <c r="V110" s="3" t="s">
        <v>30</v>
      </c>
      <c r="W110" s="3" t="s">
        <v>38</v>
      </c>
      <c r="X110" s="3" t="s">
        <v>39</v>
      </c>
      <c r="Y110" s="3" t="s">
        <v>40</v>
      </c>
      <c r="Z110" s="3" t="s">
        <v>86</v>
      </c>
      <c r="AA110" s="3" t="s">
        <v>339</v>
      </c>
      <c r="AB110" s="3" t="s">
        <v>78</v>
      </c>
      <c r="AC110" s="3" t="s">
        <v>31</v>
      </c>
      <c r="AD110" s="3">
        <v>0</v>
      </c>
    </row>
    <row r="111" spans="1:30" x14ac:dyDescent="0.3">
      <c r="A111" s="3">
        <v>14.4</v>
      </c>
      <c r="B111" s="3" t="s">
        <v>371</v>
      </c>
      <c r="C111" s="3" t="s">
        <v>186</v>
      </c>
      <c r="D111" s="3" t="s">
        <v>31</v>
      </c>
      <c r="E111" s="3" t="s">
        <v>32</v>
      </c>
      <c r="F111" s="12">
        <v>44925</v>
      </c>
      <c r="G111" s="3">
        <v>2022</v>
      </c>
      <c r="H111" s="3" t="s">
        <v>44</v>
      </c>
      <c r="I111" s="3" t="s">
        <v>45</v>
      </c>
      <c r="J111" s="3">
        <v>2</v>
      </c>
      <c r="K111" s="3">
        <v>2230</v>
      </c>
      <c r="L111" s="3">
        <v>2610</v>
      </c>
      <c r="M111" s="3">
        <v>1.170403587443946</v>
      </c>
      <c r="N111" s="3">
        <v>1.170403587443946</v>
      </c>
      <c r="O111" s="3" t="s">
        <v>35</v>
      </c>
      <c r="P111" s="3" t="s">
        <v>35</v>
      </c>
      <c r="Q111" s="3" t="str">
        <f t="shared" si="10"/>
        <v>14,4-2022-12-30</v>
      </c>
      <c r="R111" s="3">
        <v>0</v>
      </c>
      <c r="S111" s="3">
        <v>0</v>
      </c>
      <c r="T111" s="3" t="s">
        <v>31</v>
      </c>
      <c r="U111" s="3" t="s">
        <v>37</v>
      </c>
      <c r="V111" s="3" t="s">
        <v>30</v>
      </c>
      <c r="W111" s="3" t="s">
        <v>38</v>
      </c>
      <c r="X111" s="3" t="s">
        <v>39</v>
      </c>
      <c r="Y111" s="3" t="s">
        <v>40</v>
      </c>
      <c r="Z111" s="3" t="s">
        <v>86</v>
      </c>
      <c r="AA111" s="3" t="s">
        <v>339</v>
      </c>
      <c r="AB111" s="3" t="s">
        <v>78</v>
      </c>
      <c r="AC111" s="3" t="s">
        <v>31</v>
      </c>
      <c r="AD111" s="3">
        <v>0</v>
      </c>
    </row>
    <row r="112" spans="1:30" x14ac:dyDescent="0.3">
      <c r="A112" s="3">
        <v>14.4</v>
      </c>
      <c r="B112" s="3" t="s">
        <v>371</v>
      </c>
      <c r="C112" s="3" t="s">
        <v>186</v>
      </c>
      <c r="D112" s="3" t="s">
        <v>31</v>
      </c>
      <c r="E112" s="3" t="s">
        <v>32</v>
      </c>
      <c r="F112" s="12">
        <v>44925</v>
      </c>
      <c r="G112" s="3">
        <v>2022</v>
      </c>
      <c r="H112" s="3" t="s">
        <v>44</v>
      </c>
      <c r="I112" s="3" t="s">
        <v>45</v>
      </c>
      <c r="J112" s="3"/>
      <c r="K112" s="3">
        <v>4638</v>
      </c>
      <c r="L112" s="3">
        <v>5008</v>
      </c>
      <c r="M112" s="3">
        <v>1.079775765416128</v>
      </c>
      <c r="N112" s="3">
        <v>1.079775765416128</v>
      </c>
      <c r="O112" s="3" t="s">
        <v>35</v>
      </c>
      <c r="P112" s="3" t="s">
        <v>35</v>
      </c>
      <c r="Q112" s="3" t="str">
        <f t="shared" si="10"/>
        <v>14,4-2022-12-30</v>
      </c>
      <c r="R112" s="3">
        <v>0</v>
      </c>
      <c r="S112" s="3">
        <v>0</v>
      </c>
      <c r="T112" s="3" t="s">
        <v>443</v>
      </c>
      <c r="U112" s="3" t="s">
        <v>37</v>
      </c>
      <c r="V112" s="3" t="s">
        <v>30</v>
      </c>
      <c r="W112" s="3" t="s">
        <v>38</v>
      </c>
      <c r="X112" s="3" t="s">
        <v>39</v>
      </c>
      <c r="Y112" s="3" t="s">
        <v>40</v>
      </c>
      <c r="Z112" s="3" t="s">
        <v>86</v>
      </c>
      <c r="AA112" s="3" t="s">
        <v>339</v>
      </c>
      <c r="AB112" s="3" t="s">
        <v>78</v>
      </c>
      <c r="AC112" s="3" t="s">
        <v>31</v>
      </c>
      <c r="AD112" s="3">
        <v>0</v>
      </c>
    </row>
    <row r="113" spans="1:30" x14ac:dyDescent="0.3">
      <c r="A113" s="3">
        <v>14.4</v>
      </c>
      <c r="B113" s="3" t="s">
        <v>371</v>
      </c>
      <c r="C113" s="3" t="s">
        <v>186</v>
      </c>
      <c r="D113" s="3" t="s">
        <v>31</v>
      </c>
      <c r="E113" s="3" t="s">
        <v>32</v>
      </c>
      <c r="F113" s="12">
        <v>45107</v>
      </c>
      <c r="G113" s="3">
        <v>2023</v>
      </c>
      <c r="H113" s="3" t="s">
        <v>33</v>
      </c>
      <c r="I113" s="3" t="s">
        <v>47</v>
      </c>
      <c r="J113" s="3">
        <v>1</v>
      </c>
      <c r="K113" s="3">
        <v>2726</v>
      </c>
      <c r="L113" s="3">
        <v>2990</v>
      </c>
      <c r="M113" s="3">
        <v>1.096845194424064</v>
      </c>
      <c r="N113" s="3">
        <v>1.096845194424064</v>
      </c>
      <c r="O113" s="3" t="s">
        <v>35</v>
      </c>
      <c r="P113" s="3" t="s">
        <v>35</v>
      </c>
      <c r="Q113" s="3" t="str">
        <f t="shared" si="10"/>
        <v>14,4-2023-06-30</v>
      </c>
      <c r="R113" s="3">
        <v>0</v>
      </c>
      <c r="S113" s="3">
        <v>0</v>
      </c>
      <c r="T113" s="3" t="s">
        <v>31</v>
      </c>
      <c r="U113" s="3" t="s">
        <v>37</v>
      </c>
      <c r="V113" s="3" t="s">
        <v>30</v>
      </c>
      <c r="W113" s="3" t="s">
        <v>38</v>
      </c>
      <c r="X113" s="3" t="s">
        <v>39</v>
      </c>
      <c r="Y113" s="3" t="s">
        <v>40</v>
      </c>
      <c r="Z113" s="3" t="s">
        <v>86</v>
      </c>
      <c r="AA113" s="3" t="s">
        <v>339</v>
      </c>
      <c r="AB113" s="3" t="s">
        <v>78</v>
      </c>
      <c r="AC113" s="3" t="s">
        <v>31</v>
      </c>
      <c r="AD113" s="3">
        <v>0</v>
      </c>
    </row>
    <row r="114" spans="1:30" x14ac:dyDescent="0.3">
      <c r="A114" s="3">
        <v>14.4</v>
      </c>
      <c r="B114" s="3" t="s">
        <v>371</v>
      </c>
      <c r="C114" s="3" t="s">
        <v>186</v>
      </c>
      <c r="D114" s="3" t="s">
        <v>31</v>
      </c>
      <c r="E114" s="3" t="s">
        <v>32</v>
      </c>
      <c r="F114" s="12">
        <v>45291</v>
      </c>
      <c r="G114" s="3">
        <v>2023</v>
      </c>
      <c r="H114" s="3" t="s">
        <v>44</v>
      </c>
      <c r="I114" s="3" t="s">
        <v>49</v>
      </c>
      <c r="J114" s="3">
        <v>2</v>
      </c>
      <c r="K114" s="3">
        <v>2796</v>
      </c>
      <c r="L114" s="3">
        <v>3328</v>
      </c>
      <c r="M114" s="3">
        <v>1.1902718168812589</v>
      </c>
      <c r="N114" s="3">
        <v>1.1902718168812589</v>
      </c>
      <c r="O114" s="3" t="s">
        <v>35</v>
      </c>
      <c r="P114" s="3" t="s">
        <v>35</v>
      </c>
      <c r="Q114" s="3" t="str">
        <f t="shared" si="10"/>
        <v>14,4-2023-12-31</v>
      </c>
      <c r="R114" s="3">
        <v>0</v>
      </c>
      <c r="S114" s="3">
        <v>0</v>
      </c>
      <c r="T114" s="3" t="s">
        <v>31</v>
      </c>
      <c r="U114" s="3" t="s">
        <v>37</v>
      </c>
      <c r="V114" s="3" t="s">
        <v>30</v>
      </c>
      <c r="W114" s="3" t="s">
        <v>38</v>
      </c>
      <c r="X114" s="3" t="s">
        <v>39</v>
      </c>
      <c r="Y114" s="3" t="s">
        <v>40</v>
      </c>
      <c r="Z114" s="3" t="s">
        <v>86</v>
      </c>
      <c r="AA114" s="3" t="s">
        <v>339</v>
      </c>
      <c r="AB114" s="3" t="s">
        <v>78</v>
      </c>
      <c r="AC114" s="3" t="s">
        <v>31</v>
      </c>
      <c r="AD114" s="3">
        <v>0</v>
      </c>
    </row>
    <row r="115" spans="1:30" x14ac:dyDescent="0.3">
      <c r="A115" s="3">
        <v>14.4</v>
      </c>
      <c r="B115" s="3" t="s">
        <v>371</v>
      </c>
      <c r="C115" s="3" t="s">
        <v>186</v>
      </c>
      <c r="D115" s="3" t="s">
        <v>31</v>
      </c>
      <c r="E115" s="3" t="s">
        <v>32</v>
      </c>
      <c r="F115" s="12">
        <v>45291</v>
      </c>
      <c r="G115" s="3">
        <v>2023</v>
      </c>
      <c r="H115" s="3" t="s">
        <v>44</v>
      </c>
      <c r="I115" s="3" t="s">
        <v>49</v>
      </c>
      <c r="J115" s="3"/>
      <c r="K115" s="3">
        <v>5522</v>
      </c>
      <c r="L115" s="3">
        <v>6318</v>
      </c>
      <c r="M115" s="3">
        <v>1.144150670047084</v>
      </c>
      <c r="N115" s="3">
        <v>1.144150670047084</v>
      </c>
      <c r="O115" s="3" t="s">
        <v>35</v>
      </c>
      <c r="P115" s="3" t="s">
        <v>35</v>
      </c>
      <c r="Q115" s="3" t="str">
        <f t="shared" si="10"/>
        <v>14,4-2023-12-31</v>
      </c>
      <c r="R115" s="3">
        <v>0</v>
      </c>
      <c r="S115" s="3">
        <v>0</v>
      </c>
      <c r="T115" s="3" t="s">
        <v>443</v>
      </c>
      <c r="U115" s="3" t="s">
        <v>37</v>
      </c>
      <c r="V115" s="3" t="s">
        <v>30</v>
      </c>
      <c r="W115" s="3" t="s">
        <v>38</v>
      </c>
      <c r="X115" s="3" t="s">
        <v>39</v>
      </c>
      <c r="Y115" s="3" t="s">
        <v>40</v>
      </c>
      <c r="Z115" s="3" t="s">
        <v>86</v>
      </c>
      <c r="AA115" s="3" t="s">
        <v>339</v>
      </c>
      <c r="AB115" s="3" t="s">
        <v>78</v>
      </c>
      <c r="AC115" s="3" t="s">
        <v>31</v>
      </c>
      <c r="AD115" s="3">
        <v>0</v>
      </c>
    </row>
    <row r="116" spans="1:30" x14ac:dyDescent="0.3">
      <c r="A116" s="3">
        <v>14.4</v>
      </c>
      <c r="B116" s="3" t="s">
        <v>371</v>
      </c>
      <c r="C116" s="3" t="s">
        <v>186</v>
      </c>
      <c r="D116" s="3" t="s">
        <v>31</v>
      </c>
      <c r="E116" s="3" t="s">
        <v>32</v>
      </c>
      <c r="F116" s="12">
        <v>45473</v>
      </c>
      <c r="G116" s="3">
        <v>2024</v>
      </c>
      <c r="H116" s="3" t="s">
        <v>33</v>
      </c>
      <c r="I116" s="3" t="s">
        <v>51</v>
      </c>
      <c r="J116" s="3">
        <v>1</v>
      </c>
      <c r="K116" s="3">
        <v>3093</v>
      </c>
      <c r="L116" s="3">
        <v>3485</v>
      </c>
      <c r="M116" s="3">
        <f t="shared" ref="M116:M121" si="19">+L116/K116</f>
        <v>1.1267377950210151</v>
      </c>
      <c r="N116" s="3">
        <f>+L116/K116</f>
        <v>1.1267377950210151</v>
      </c>
      <c r="O116" s="3" t="s">
        <v>35</v>
      </c>
      <c r="P116" s="3" t="s">
        <v>35</v>
      </c>
      <c r="Q116" s="3" t="str">
        <f t="shared" si="10"/>
        <v>14,4-2024-06-30</v>
      </c>
      <c r="R116" s="3">
        <v>0</v>
      </c>
      <c r="S116" s="3">
        <v>0</v>
      </c>
      <c r="T116" s="3" t="s">
        <v>31</v>
      </c>
      <c r="U116" s="3" t="s">
        <v>37</v>
      </c>
      <c r="V116" s="3" t="s">
        <v>30</v>
      </c>
      <c r="W116" s="3" t="s">
        <v>38</v>
      </c>
      <c r="X116" s="3" t="s">
        <v>39</v>
      </c>
      <c r="Y116" s="3" t="s">
        <v>40</v>
      </c>
      <c r="Z116" s="3" t="s">
        <v>86</v>
      </c>
      <c r="AA116" s="3" t="s">
        <v>339</v>
      </c>
      <c r="AB116" s="3" t="s">
        <v>78</v>
      </c>
      <c r="AC116" s="3" t="s">
        <v>31</v>
      </c>
      <c r="AD116" s="3">
        <v>0</v>
      </c>
    </row>
    <row r="117" spans="1:30" x14ac:dyDescent="0.3">
      <c r="A117" s="3">
        <v>14.4</v>
      </c>
      <c r="B117" s="3" t="s">
        <v>371</v>
      </c>
      <c r="C117" s="3" t="s">
        <v>186</v>
      </c>
      <c r="D117" s="3" t="s">
        <v>31</v>
      </c>
      <c r="E117" s="3" t="s">
        <v>32</v>
      </c>
      <c r="F117" s="12">
        <v>45657</v>
      </c>
      <c r="G117" s="3">
        <v>2024</v>
      </c>
      <c r="H117" s="3" t="s">
        <v>44</v>
      </c>
      <c r="I117" s="3" t="s">
        <v>53</v>
      </c>
      <c r="J117" s="3">
        <v>2</v>
      </c>
      <c r="K117" s="3">
        <v>3055</v>
      </c>
      <c r="L117" s="3">
        <v>3666</v>
      </c>
      <c r="M117" s="3">
        <f t="shared" si="19"/>
        <v>1.2</v>
      </c>
      <c r="N117" s="3">
        <f t="shared" ref="N117:N121" si="20">+L117/K117</f>
        <v>1.2</v>
      </c>
      <c r="O117" s="3" t="s">
        <v>35</v>
      </c>
      <c r="P117" s="3" t="s">
        <v>35</v>
      </c>
      <c r="Q117" s="3" t="str">
        <f t="shared" si="10"/>
        <v>14,4-2024-12-31</v>
      </c>
      <c r="R117" s="3">
        <v>0</v>
      </c>
      <c r="S117" s="3">
        <v>0</v>
      </c>
      <c r="T117" s="3" t="s">
        <v>31</v>
      </c>
      <c r="U117" s="3" t="s">
        <v>37</v>
      </c>
      <c r="V117" s="3" t="s">
        <v>30</v>
      </c>
      <c r="W117" s="3" t="s">
        <v>38</v>
      </c>
      <c r="X117" s="3" t="s">
        <v>39</v>
      </c>
      <c r="Y117" s="3" t="s">
        <v>40</v>
      </c>
      <c r="Z117" s="3" t="s">
        <v>86</v>
      </c>
      <c r="AA117" s="3" t="s">
        <v>339</v>
      </c>
      <c r="AB117" s="3" t="s">
        <v>78</v>
      </c>
      <c r="AC117" s="3" t="s">
        <v>31</v>
      </c>
      <c r="AD117" s="3">
        <v>0</v>
      </c>
    </row>
    <row r="118" spans="1:30" x14ac:dyDescent="0.3">
      <c r="A118" s="3">
        <v>14.4</v>
      </c>
      <c r="B118" s="3" t="s">
        <v>371</v>
      </c>
      <c r="C118" s="3" t="s">
        <v>186</v>
      </c>
      <c r="D118" s="3" t="s">
        <v>31</v>
      </c>
      <c r="E118" s="3" t="s">
        <v>32</v>
      </c>
      <c r="F118" s="12">
        <v>45657</v>
      </c>
      <c r="G118" s="3">
        <v>2024</v>
      </c>
      <c r="H118" s="3" t="s">
        <v>44</v>
      </c>
      <c r="I118" s="3" t="s">
        <v>53</v>
      </c>
      <c r="J118" s="3"/>
      <c r="K118" s="3">
        <v>6148</v>
      </c>
      <c r="L118" s="3">
        <v>7151</v>
      </c>
      <c r="M118" s="3">
        <f t="shared" si="19"/>
        <v>1.163142485361093</v>
      </c>
      <c r="N118" s="3">
        <f t="shared" si="20"/>
        <v>1.163142485361093</v>
      </c>
      <c r="O118" s="3" t="s">
        <v>35</v>
      </c>
      <c r="P118" s="3" t="s">
        <v>35</v>
      </c>
      <c r="Q118" s="3" t="str">
        <f t="shared" si="10"/>
        <v>14,4-2024-12-31</v>
      </c>
      <c r="R118" s="3">
        <v>0</v>
      </c>
      <c r="S118" s="3">
        <v>0</v>
      </c>
      <c r="T118" s="3" t="s">
        <v>443</v>
      </c>
      <c r="U118" s="3" t="s">
        <v>37</v>
      </c>
      <c r="V118" s="3" t="s">
        <v>30</v>
      </c>
      <c r="W118" s="3" t="s">
        <v>38</v>
      </c>
      <c r="X118" s="3" t="s">
        <v>39</v>
      </c>
      <c r="Y118" s="3" t="s">
        <v>40</v>
      </c>
      <c r="Z118" s="3" t="s">
        <v>86</v>
      </c>
      <c r="AA118" s="3" t="s">
        <v>339</v>
      </c>
      <c r="AB118" s="3" t="s">
        <v>78</v>
      </c>
      <c r="AC118" s="3" t="s">
        <v>31</v>
      </c>
      <c r="AD118" s="3">
        <v>0</v>
      </c>
    </row>
    <row r="119" spans="1:30" x14ac:dyDescent="0.3">
      <c r="A119" s="3">
        <v>14.4</v>
      </c>
      <c r="B119" s="3" t="s">
        <v>371</v>
      </c>
      <c r="C119" s="3" t="s">
        <v>186</v>
      </c>
      <c r="D119" s="3" t="s">
        <v>31</v>
      </c>
      <c r="E119" s="3" t="s">
        <v>32</v>
      </c>
      <c r="F119" s="12">
        <v>45838</v>
      </c>
      <c r="G119" s="3">
        <v>2025</v>
      </c>
      <c r="H119" s="3" t="s">
        <v>33</v>
      </c>
      <c r="I119" s="3" t="s">
        <v>404</v>
      </c>
      <c r="J119" s="3">
        <v>1</v>
      </c>
      <c r="K119" s="3">
        <v>3994</v>
      </c>
      <c r="L119" s="3">
        <v>4409</v>
      </c>
      <c r="M119" s="3">
        <f t="shared" si="19"/>
        <v>1.1039058587881823</v>
      </c>
      <c r="N119" s="3">
        <f t="shared" si="20"/>
        <v>1.1039058587881823</v>
      </c>
      <c r="O119" s="3" t="s">
        <v>35</v>
      </c>
      <c r="P119" s="3" t="s">
        <v>35</v>
      </c>
      <c r="Q119" s="3" t="str">
        <f t="shared" si="10"/>
        <v>14,4-2025-06-30</v>
      </c>
      <c r="R119" s="3">
        <v>0</v>
      </c>
      <c r="S119" s="3">
        <v>0</v>
      </c>
      <c r="T119" s="3" t="s">
        <v>31</v>
      </c>
      <c r="U119" s="3" t="s">
        <v>37</v>
      </c>
      <c r="V119" s="3" t="s">
        <v>30</v>
      </c>
      <c r="W119" s="3" t="s">
        <v>38</v>
      </c>
      <c r="X119" s="3" t="s">
        <v>39</v>
      </c>
      <c r="Y119" s="3" t="s">
        <v>40</v>
      </c>
      <c r="Z119" s="3" t="s">
        <v>86</v>
      </c>
      <c r="AA119" s="3" t="s">
        <v>339</v>
      </c>
      <c r="AB119" s="3" t="s">
        <v>78</v>
      </c>
      <c r="AC119" s="3" t="s">
        <v>31</v>
      </c>
      <c r="AD119" s="3">
        <v>0</v>
      </c>
    </row>
    <row r="120" spans="1:30" x14ac:dyDescent="0.3">
      <c r="A120" s="3">
        <v>14.4</v>
      </c>
      <c r="B120" s="3" t="s">
        <v>371</v>
      </c>
      <c r="C120" s="3" t="s">
        <v>186</v>
      </c>
      <c r="D120" s="3" t="s">
        <v>31</v>
      </c>
      <c r="E120" s="3" t="s">
        <v>32</v>
      </c>
      <c r="F120" s="12">
        <v>46022</v>
      </c>
      <c r="G120" s="3">
        <v>2025</v>
      </c>
      <c r="H120" s="3" t="s">
        <v>44</v>
      </c>
      <c r="I120" s="3" t="s">
        <v>465</v>
      </c>
      <c r="J120" s="3">
        <v>2</v>
      </c>
      <c r="K120" s="3">
        <v>4017</v>
      </c>
      <c r="L120" s="11">
        <v>4660</v>
      </c>
      <c r="M120" s="3">
        <f t="shared" si="19"/>
        <v>1.1600697037590242</v>
      </c>
      <c r="N120" s="3">
        <f t="shared" si="20"/>
        <v>1.1600697037590242</v>
      </c>
      <c r="O120" s="3" t="s">
        <v>35</v>
      </c>
      <c r="P120" s="3" t="s">
        <v>35</v>
      </c>
      <c r="Q120" s="3" t="str">
        <f t="shared" si="10"/>
        <v>14,4-2025-12-31</v>
      </c>
      <c r="R120" s="3">
        <v>0</v>
      </c>
      <c r="S120" s="3">
        <v>0</v>
      </c>
      <c r="T120" s="3" t="s">
        <v>31</v>
      </c>
      <c r="U120" s="3" t="s">
        <v>37</v>
      </c>
      <c r="V120" s="3" t="s">
        <v>30</v>
      </c>
      <c r="W120" s="3" t="s">
        <v>38</v>
      </c>
      <c r="X120" s="3" t="s">
        <v>39</v>
      </c>
      <c r="Y120" s="3" t="s">
        <v>40</v>
      </c>
      <c r="Z120" s="3" t="s">
        <v>86</v>
      </c>
      <c r="AA120" s="3" t="s">
        <v>339</v>
      </c>
      <c r="AB120" s="3" t="s">
        <v>78</v>
      </c>
      <c r="AC120" s="3" t="s">
        <v>31</v>
      </c>
      <c r="AD120" s="3">
        <v>0</v>
      </c>
    </row>
    <row r="121" spans="1:30" x14ac:dyDescent="0.3">
      <c r="A121" s="3">
        <v>14.4</v>
      </c>
      <c r="B121" s="3" t="s">
        <v>371</v>
      </c>
      <c r="C121" s="3" t="s">
        <v>186</v>
      </c>
      <c r="D121" s="3" t="s">
        <v>31</v>
      </c>
      <c r="E121" s="3" t="s">
        <v>32</v>
      </c>
      <c r="F121" s="12">
        <v>46022</v>
      </c>
      <c r="G121" s="3">
        <v>2025</v>
      </c>
      <c r="H121" s="3" t="s">
        <v>44</v>
      </c>
      <c r="I121" s="3" t="s">
        <v>465</v>
      </c>
      <c r="J121" s="3"/>
      <c r="K121" s="3">
        <f>+K119+K120</f>
        <v>8011</v>
      </c>
      <c r="L121" s="3">
        <f>+L119+L120</f>
        <v>9069</v>
      </c>
      <c r="M121" s="3">
        <f t="shared" si="19"/>
        <v>1.13206840594183</v>
      </c>
      <c r="N121" s="3">
        <f t="shared" si="20"/>
        <v>1.13206840594183</v>
      </c>
      <c r="O121" s="3" t="s">
        <v>35</v>
      </c>
      <c r="P121" s="3" t="s">
        <v>35</v>
      </c>
      <c r="Q121" s="3" t="str">
        <f t="shared" si="10"/>
        <v>14,4-2025-12-31</v>
      </c>
      <c r="R121" s="3">
        <v>0</v>
      </c>
      <c r="S121" s="3">
        <v>0</v>
      </c>
      <c r="T121" s="3" t="s">
        <v>443</v>
      </c>
      <c r="U121" s="3" t="s">
        <v>37</v>
      </c>
      <c r="V121" s="3" t="s">
        <v>30</v>
      </c>
      <c r="W121" s="3" t="s">
        <v>38</v>
      </c>
      <c r="X121" s="3" t="s">
        <v>39</v>
      </c>
      <c r="Y121" s="3" t="s">
        <v>40</v>
      </c>
      <c r="Z121" s="3" t="s">
        <v>86</v>
      </c>
      <c r="AA121" s="3" t="s">
        <v>339</v>
      </c>
      <c r="AB121" s="3" t="s">
        <v>78</v>
      </c>
      <c r="AC121" s="3" t="s">
        <v>31</v>
      </c>
      <c r="AD121" s="3">
        <v>0</v>
      </c>
    </row>
    <row r="122" spans="1:30" x14ac:dyDescent="0.3">
      <c r="A122" s="3">
        <v>77</v>
      </c>
      <c r="B122" s="3" t="s">
        <v>55</v>
      </c>
      <c r="C122" s="3" t="s">
        <v>56</v>
      </c>
      <c r="D122" s="3" t="s">
        <v>57</v>
      </c>
      <c r="E122" s="3" t="s">
        <v>32</v>
      </c>
      <c r="F122" s="12">
        <v>44742</v>
      </c>
      <c r="G122" s="3">
        <v>2022</v>
      </c>
      <c r="H122" s="3" t="s">
        <v>33</v>
      </c>
      <c r="I122" s="3" t="s">
        <v>34</v>
      </c>
      <c r="J122" s="3">
        <v>1</v>
      </c>
      <c r="K122" s="3">
        <v>97</v>
      </c>
      <c r="L122" s="3">
        <v>97.683333333333323</v>
      </c>
      <c r="M122" s="3">
        <v>1.0070446735395191</v>
      </c>
      <c r="N122" s="3">
        <v>1.0070446735395191</v>
      </c>
      <c r="O122" s="3" t="s">
        <v>58</v>
      </c>
      <c r="P122" s="3" t="s">
        <v>58</v>
      </c>
      <c r="Q122" s="3" t="str">
        <f t="shared" si="10"/>
        <v>77-2022-06-30</v>
      </c>
      <c r="R122" s="3">
        <v>0</v>
      </c>
      <c r="S122" s="3">
        <v>1</v>
      </c>
      <c r="T122" s="3" t="s">
        <v>31</v>
      </c>
      <c r="U122" s="3" t="s">
        <v>37</v>
      </c>
      <c r="V122" s="3" t="s">
        <v>56</v>
      </c>
      <c r="W122" s="3" t="s">
        <v>60</v>
      </c>
      <c r="X122" s="3" t="s">
        <v>61</v>
      </c>
      <c r="Y122" s="3" t="s">
        <v>62</v>
      </c>
      <c r="Z122" s="3" t="s">
        <v>63</v>
      </c>
      <c r="AA122" s="3" t="s">
        <v>64</v>
      </c>
      <c r="AB122" s="3" t="s">
        <v>65</v>
      </c>
      <c r="AC122" s="3" t="s">
        <v>66</v>
      </c>
      <c r="AD122" s="3">
        <v>0</v>
      </c>
    </row>
    <row r="123" spans="1:30" x14ac:dyDescent="0.3">
      <c r="A123" s="3">
        <v>77</v>
      </c>
      <c r="B123" s="3" t="s">
        <v>55</v>
      </c>
      <c r="C123" s="3" t="s">
        <v>56</v>
      </c>
      <c r="D123" s="3" t="s">
        <v>57</v>
      </c>
      <c r="E123" s="3" t="s">
        <v>32</v>
      </c>
      <c r="F123" s="12">
        <v>44926</v>
      </c>
      <c r="G123" s="3">
        <v>2022</v>
      </c>
      <c r="H123" s="3" t="s">
        <v>44</v>
      </c>
      <c r="I123" s="3" t="s">
        <v>45</v>
      </c>
      <c r="J123" s="3">
        <v>2</v>
      </c>
      <c r="K123" s="3">
        <v>97</v>
      </c>
      <c r="L123" s="3">
        <v>98.116666666666674</v>
      </c>
      <c r="M123" s="3">
        <v>1.0115120274914089</v>
      </c>
      <c r="N123" s="3">
        <v>1.0115120274914089</v>
      </c>
      <c r="O123" s="3" t="s">
        <v>58</v>
      </c>
      <c r="P123" s="3" t="s">
        <v>58</v>
      </c>
      <c r="Q123" s="3" t="str">
        <f t="shared" si="10"/>
        <v>77-2022-12-31</v>
      </c>
      <c r="R123" s="3">
        <v>0</v>
      </c>
      <c r="S123" s="3">
        <v>1</v>
      </c>
      <c r="T123" s="3" t="s">
        <v>31</v>
      </c>
      <c r="U123" s="3" t="s">
        <v>37</v>
      </c>
      <c r="V123" s="3" t="s">
        <v>56</v>
      </c>
      <c r="W123" s="3" t="s">
        <v>60</v>
      </c>
      <c r="X123" s="3" t="s">
        <v>61</v>
      </c>
      <c r="Y123" s="3" t="s">
        <v>62</v>
      </c>
      <c r="Z123" s="3" t="s">
        <v>63</v>
      </c>
      <c r="AA123" s="3" t="s">
        <v>64</v>
      </c>
      <c r="AB123" s="3" t="s">
        <v>65</v>
      </c>
      <c r="AC123" s="3" t="s">
        <v>66</v>
      </c>
      <c r="AD123" s="3">
        <v>0</v>
      </c>
    </row>
    <row r="124" spans="1:30" x14ac:dyDescent="0.3">
      <c r="A124" s="3">
        <v>77</v>
      </c>
      <c r="B124" s="3" t="s">
        <v>55</v>
      </c>
      <c r="C124" s="3" t="s">
        <v>56</v>
      </c>
      <c r="D124" s="3" t="s">
        <v>57</v>
      </c>
      <c r="E124" s="3" t="s">
        <v>32</v>
      </c>
      <c r="F124" s="12">
        <v>44926</v>
      </c>
      <c r="G124" s="3">
        <v>2022</v>
      </c>
      <c r="H124" s="3" t="s">
        <v>44</v>
      </c>
      <c r="I124" s="3" t="s">
        <v>45</v>
      </c>
      <c r="J124" s="3"/>
      <c r="K124" s="3">
        <v>97</v>
      </c>
      <c r="L124" s="3">
        <v>97.899999999999991</v>
      </c>
      <c r="M124" s="3">
        <v>1.0092783505154641</v>
      </c>
      <c r="N124" s="3">
        <v>1.0092783505154641</v>
      </c>
      <c r="O124" s="3" t="s">
        <v>58</v>
      </c>
      <c r="P124" s="3" t="s">
        <v>58</v>
      </c>
      <c r="Q124" s="3" t="str">
        <f t="shared" si="10"/>
        <v>77-2022-12-31</v>
      </c>
      <c r="R124" s="3">
        <v>0</v>
      </c>
      <c r="S124" s="3">
        <v>1</v>
      </c>
      <c r="T124" s="3" t="s">
        <v>443</v>
      </c>
      <c r="U124" s="3" t="s">
        <v>37</v>
      </c>
      <c r="V124" s="3" t="s">
        <v>56</v>
      </c>
      <c r="W124" s="3" t="s">
        <v>60</v>
      </c>
      <c r="X124" s="3" t="s">
        <v>61</v>
      </c>
      <c r="Y124" s="3" t="s">
        <v>62</v>
      </c>
      <c r="Z124" s="3" t="s">
        <v>63</v>
      </c>
      <c r="AA124" s="3" t="s">
        <v>64</v>
      </c>
      <c r="AB124" s="3" t="s">
        <v>65</v>
      </c>
      <c r="AC124" s="3" t="s">
        <v>66</v>
      </c>
      <c r="AD124" s="3">
        <v>0</v>
      </c>
    </row>
    <row r="125" spans="1:30" x14ac:dyDescent="0.3">
      <c r="A125" s="3">
        <v>77</v>
      </c>
      <c r="B125" s="3" t="s">
        <v>55</v>
      </c>
      <c r="C125" s="3" t="s">
        <v>56</v>
      </c>
      <c r="D125" s="3" t="s">
        <v>57</v>
      </c>
      <c r="E125" s="3" t="s">
        <v>32</v>
      </c>
      <c r="F125" s="12">
        <v>45107</v>
      </c>
      <c r="G125" s="3">
        <v>2023</v>
      </c>
      <c r="H125" s="3" t="s">
        <v>33</v>
      </c>
      <c r="I125" s="3" t="s">
        <v>47</v>
      </c>
      <c r="J125" s="3">
        <v>1</v>
      </c>
      <c r="K125" s="3">
        <v>97</v>
      </c>
      <c r="L125" s="3">
        <v>97.683333333333337</v>
      </c>
      <c r="M125" s="3">
        <v>1.0070446735395191</v>
      </c>
      <c r="N125" s="3">
        <v>1.0070446735395191</v>
      </c>
      <c r="O125" s="3" t="s">
        <v>58</v>
      </c>
      <c r="P125" s="3" t="s">
        <v>58</v>
      </c>
      <c r="Q125" s="3" t="str">
        <f t="shared" si="10"/>
        <v>77-2023-06-30</v>
      </c>
      <c r="R125" s="3">
        <v>0</v>
      </c>
      <c r="S125" s="3">
        <v>1</v>
      </c>
      <c r="T125" s="3" t="s">
        <v>31</v>
      </c>
      <c r="U125" s="3" t="s">
        <v>37</v>
      </c>
      <c r="V125" s="3" t="s">
        <v>56</v>
      </c>
      <c r="W125" s="3" t="s">
        <v>60</v>
      </c>
      <c r="X125" s="3" t="s">
        <v>61</v>
      </c>
      <c r="Y125" s="3" t="s">
        <v>62</v>
      </c>
      <c r="Z125" s="3" t="s">
        <v>63</v>
      </c>
      <c r="AA125" s="3" t="s">
        <v>64</v>
      </c>
      <c r="AB125" s="3" t="s">
        <v>65</v>
      </c>
      <c r="AC125" s="3" t="s">
        <v>66</v>
      </c>
      <c r="AD125" s="3">
        <v>0</v>
      </c>
    </row>
    <row r="126" spans="1:30" x14ac:dyDescent="0.3">
      <c r="A126" s="3">
        <v>77</v>
      </c>
      <c r="B126" s="3" t="s">
        <v>55</v>
      </c>
      <c r="C126" s="3" t="s">
        <v>56</v>
      </c>
      <c r="D126" s="3" t="s">
        <v>57</v>
      </c>
      <c r="E126" s="3" t="s">
        <v>32</v>
      </c>
      <c r="F126" s="12">
        <v>45291</v>
      </c>
      <c r="G126" s="3">
        <v>2023</v>
      </c>
      <c r="H126" s="3" t="s">
        <v>44</v>
      </c>
      <c r="I126" s="3" t="s">
        <v>49</v>
      </c>
      <c r="J126" s="3">
        <v>2</v>
      </c>
      <c r="K126" s="3">
        <v>97</v>
      </c>
      <c r="L126" s="3">
        <v>97.583333333333329</v>
      </c>
      <c r="M126" s="3">
        <v>1.0060137457044671</v>
      </c>
      <c r="N126" s="3">
        <v>1.0060137457044671</v>
      </c>
      <c r="O126" s="3" t="s">
        <v>58</v>
      </c>
      <c r="P126" s="3" t="s">
        <v>58</v>
      </c>
      <c r="Q126" s="3" t="str">
        <f t="shared" si="10"/>
        <v>77-2023-12-31</v>
      </c>
      <c r="R126" s="3">
        <v>0</v>
      </c>
      <c r="S126" s="3">
        <v>1</v>
      </c>
      <c r="T126" s="3" t="s">
        <v>31</v>
      </c>
      <c r="U126" s="3" t="s">
        <v>37</v>
      </c>
      <c r="V126" s="3" t="s">
        <v>56</v>
      </c>
      <c r="W126" s="3" t="s">
        <v>60</v>
      </c>
      <c r="X126" s="3" t="s">
        <v>61</v>
      </c>
      <c r="Y126" s="3" t="s">
        <v>62</v>
      </c>
      <c r="Z126" s="3" t="s">
        <v>63</v>
      </c>
      <c r="AA126" s="3" t="s">
        <v>64</v>
      </c>
      <c r="AB126" s="3" t="s">
        <v>65</v>
      </c>
      <c r="AC126" s="3" t="s">
        <v>66</v>
      </c>
      <c r="AD126" s="3">
        <v>0</v>
      </c>
    </row>
    <row r="127" spans="1:30" x14ac:dyDescent="0.3">
      <c r="A127" s="3">
        <v>77</v>
      </c>
      <c r="B127" s="3" t="s">
        <v>55</v>
      </c>
      <c r="C127" s="3" t="s">
        <v>56</v>
      </c>
      <c r="D127" s="3" t="s">
        <v>57</v>
      </c>
      <c r="E127" s="3" t="s">
        <v>32</v>
      </c>
      <c r="F127" s="12">
        <v>45291</v>
      </c>
      <c r="G127" s="3">
        <v>2023</v>
      </c>
      <c r="H127" s="3" t="s">
        <v>44</v>
      </c>
      <c r="I127" s="3" t="s">
        <v>49</v>
      </c>
      <c r="J127" s="3"/>
      <c r="K127" s="3">
        <v>97</v>
      </c>
      <c r="L127" s="3">
        <v>97.633333333333326</v>
      </c>
      <c r="M127" s="3">
        <v>1.0065292096219931</v>
      </c>
      <c r="N127" s="3">
        <v>1.0065292096219931</v>
      </c>
      <c r="O127" s="3" t="s">
        <v>58</v>
      </c>
      <c r="P127" s="3" t="s">
        <v>58</v>
      </c>
      <c r="Q127" s="3" t="str">
        <f t="shared" si="10"/>
        <v>77-2023-12-31</v>
      </c>
      <c r="R127" s="3">
        <v>0</v>
      </c>
      <c r="S127" s="3">
        <v>1</v>
      </c>
      <c r="T127" s="3" t="s">
        <v>443</v>
      </c>
      <c r="U127" s="3" t="s">
        <v>37</v>
      </c>
      <c r="V127" s="3" t="s">
        <v>56</v>
      </c>
      <c r="W127" s="3" t="s">
        <v>60</v>
      </c>
      <c r="X127" s="3" t="s">
        <v>61</v>
      </c>
      <c r="Y127" s="3" t="s">
        <v>62</v>
      </c>
      <c r="Z127" s="3" t="s">
        <v>63</v>
      </c>
      <c r="AA127" s="3" t="s">
        <v>64</v>
      </c>
      <c r="AB127" s="3" t="s">
        <v>65</v>
      </c>
      <c r="AC127" s="3" t="s">
        <v>66</v>
      </c>
      <c r="AD127" s="3">
        <v>0</v>
      </c>
    </row>
    <row r="128" spans="1:30" x14ac:dyDescent="0.3">
      <c r="A128" s="3">
        <v>77</v>
      </c>
      <c r="B128" s="3" t="s">
        <v>55</v>
      </c>
      <c r="C128" s="3" t="s">
        <v>56</v>
      </c>
      <c r="D128" s="3" t="s">
        <v>57</v>
      </c>
      <c r="E128" s="3" t="s">
        <v>32</v>
      </c>
      <c r="F128" s="12">
        <v>45473</v>
      </c>
      <c r="G128" s="3">
        <v>2024</v>
      </c>
      <c r="H128" s="3" t="s">
        <v>33</v>
      </c>
      <c r="I128" s="3" t="s">
        <v>51</v>
      </c>
      <c r="J128" s="3">
        <v>1</v>
      </c>
      <c r="K128" s="3">
        <v>97</v>
      </c>
      <c r="L128" s="3">
        <v>98.331666666666663</v>
      </c>
      <c r="M128" s="3">
        <f>+L128/K128</f>
        <v>1.0137285223367698</v>
      </c>
      <c r="N128" s="3">
        <f>+L128/K128</f>
        <v>1.0137285223367698</v>
      </c>
      <c r="O128" s="3" t="s">
        <v>58</v>
      </c>
      <c r="P128" s="3" t="s">
        <v>58</v>
      </c>
      <c r="Q128" s="3" t="str">
        <f t="shared" si="10"/>
        <v>77-2024-06-30</v>
      </c>
      <c r="R128" s="3">
        <v>0</v>
      </c>
      <c r="S128" s="3">
        <v>1</v>
      </c>
      <c r="T128" s="3" t="s">
        <v>31</v>
      </c>
      <c r="U128" s="3" t="s">
        <v>37</v>
      </c>
      <c r="V128" s="3" t="s">
        <v>56</v>
      </c>
      <c r="W128" s="3" t="s">
        <v>60</v>
      </c>
      <c r="X128" s="3" t="s">
        <v>61</v>
      </c>
      <c r="Y128" s="3" t="s">
        <v>62</v>
      </c>
      <c r="Z128" s="3" t="s">
        <v>63</v>
      </c>
      <c r="AA128" s="3" t="s">
        <v>64</v>
      </c>
      <c r="AB128" s="3" t="s">
        <v>65</v>
      </c>
      <c r="AC128" s="3" t="s">
        <v>66</v>
      </c>
      <c r="AD128" s="3">
        <v>0</v>
      </c>
    </row>
    <row r="129" spans="1:30" x14ac:dyDescent="0.3">
      <c r="A129" s="3">
        <v>77</v>
      </c>
      <c r="B129" s="3" t="s">
        <v>55</v>
      </c>
      <c r="C129" s="3" t="s">
        <v>56</v>
      </c>
      <c r="D129" s="3" t="s">
        <v>57</v>
      </c>
      <c r="E129" s="3" t="s">
        <v>32</v>
      </c>
      <c r="F129" s="12">
        <v>45657</v>
      </c>
      <c r="G129" s="3">
        <v>2024</v>
      </c>
      <c r="H129" s="3" t="s">
        <v>44</v>
      </c>
      <c r="I129" s="3" t="s">
        <v>53</v>
      </c>
      <c r="J129" s="3">
        <v>2</v>
      </c>
      <c r="K129" s="3">
        <v>97</v>
      </c>
      <c r="L129" s="3">
        <v>96.533333333333346</v>
      </c>
      <c r="M129" s="3">
        <f>+L129/K129</f>
        <v>0.99518900343642624</v>
      </c>
      <c r="N129" s="3">
        <f>+L129/K129</f>
        <v>0.99518900343642624</v>
      </c>
      <c r="O129" s="3" t="s">
        <v>58</v>
      </c>
      <c r="P129" s="3" t="s">
        <v>58</v>
      </c>
      <c r="Q129" s="3" t="str">
        <f t="shared" si="10"/>
        <v>77-2024-12-31</v>
      </c>
      <c r="R129" s="3">
        <v>0</v>
      </c>
      <c r="S129" s="3">
        <v>1</v>
      </c>
      <c r="T129" s="3" t="s">
        <v>31</v>
      </c>
      <c r="U129" s="3" t="s">
        <v>37</v>
      </c>
      <c r="V129" s="3" t="s">
        <v>56</v>
      </c>
      <c r="W129" s="3" t="s">
        <v>60</v>
      </c>
      <c r="X129" s="3" t="s">
        <v>61</v>
      </c>
      <c r="Y129" s="3" t="s">
        <v>62</v>
      </c>
      <c r="Z129" s="3" t="s">
        <v>63</v>
      </c>
      <c r="AA129" s="3" t="s">
        <v>64</v>
      </c>
      <c r="AB129" s="3" t="s">
        <v>65</v>
      </c>
      <c r="AC129" s="3" t="s">
        <v>66</v>
      </c>
      <c r="AD129" s="3">
        <v>0</v>
      </c>
    </row>
    <row r="130" spans="1:30" x14ac:dyDescent="0.3">
      <c r="A130" s="3">
        <v>77</v>
      </c>
      <c r="B130" s="3" t="s">
        <v>55</v>
      </c>
      <c r="C130" s="3" t="s">
        <v>56</v>
      </c>
      <c r="D130" s="3" t="s">
        <v>57</v>
      </c>
      <c r="E130" s="3" t="s">
        <v>32</v>
      </c>
      <c r="F130" s="12">
        <v>45657</v>
      </c>
      <c r="G130" s="3">
        <v>2024</v>
      </c>
      <c r="H130" s="3" t="s">
        <v>44</v>
      </c>
      <c r="I130" s="3" t="s">
        <v>53</v>
      </c>
      <c r="J130" s="3"/>
      <c r="K130" s="3">
        <v>97</v>
      </c>
      <c r="L130" s="3">
        <v>97.432500000000005</v>
      </c>
      <c r="M130" s="3">
        <f>+L130/K130</f>
        <v>1.004458762886598</v>
      </c>
      <c r="N130" s="3">
        <f>+L130/K130</f>
        <v>1.004458762886598</v>
      </c>
      <c r="O130" s="3" t="s">
        <v>58</v>
      </c>
      <c r="P130" s="3" t="s">
        <v>58</v>
      </c>
      <c r="Q130" s="3" t="str">
        <f t="shared" si="10"/>
        <v>77-2024-12-31</v>
      </c>
      <c r="R130" s="3">
        <v>0</v>
      </c>
      <c r="S130" s="3">
        <v>1</v>
      </c>
      <c r="T130" s="3" t="s">
        <v>443</v>
      </c>
      <c r="U130" s="3" t="s">
        <v>37</v>
      </c>
      <c r="V130" s="3" t="s">
        <v>56</v>
      </c>
      <c r="W130" s="3" t="s">
        <v>60</v>
      </c>
      <c r="X130" s="3" t="s">
        <v>61</v>
      </c>
      <c r="Y130" s="3" t="s">
        <v>62</v>
      </c>
      <c r="Z130" s="3" t="s">
        <v>63</v>
      </c>
      <c r="AA130" s="3" t="s">
        <v>64</v>
      </c>
      <c r="AB130" s="3" t="s">
        <v>65</v>
      </c>
      <c r="AC130" s="3" t="s">
        <v>66</v>
      </c>
      <c r="AD130" s="3">
        <v>0</v>
      </c>
    </row>
    <row r="131" spans="1:30" x14ac:dyDescent="0.3">
      <c r="A131" s="3">
        <v>77</v>
      </c>
      <c r="B131" s="3" t="s">
        <v>55</v>
      </c>
      <c r="C131" s="3" t="s">
        <v>56</v>
      </c>
      <c r="D131" s="3" t="s">
        <v>57</v>
      </c>
      <c r="E131" s="3" t="s">
        <v>32</v>
      </c>
      <c r="F131" s="12">
        <v>45838</v>
      </c>
      <c r="G131" s="3">
        <v>2025</v>
      </c>
      <c r="H131" s="3" t="s">
        <v>33</v>
      </c>
      <c r="I131" s="3" t="s">
        <v>404</v>
      </c>
      <c r="J131" s="3">
        <v>1</v>
      </c>
      <c r="K131" s="3">
        <v>97</v>
      </c>
      <c r="L131" s="3">
        <v>94.65</v>
      </c>
      <c r="M131" s="3">
        <f>+L131/K131</f>
        <v>0.97577319587628875</v>
      </c>
      <c r="N131" s="3">
        <f>+L131/K131</f>
        <v>0.97577319587628875</v>
      </c>
      <c r="O131" s="3" t="s">
        <v>58</v>
      </c>
      <c r="P131" s="3" t="s">
        <v>58</v>
      </c>
      <c r="Q131" s="3" t="str">
        <f t="shared" ref="Q131:Q194" si="21">A131&amp;"-"&amp;YEAR(F131)&amp;"-"&amp;IF(LEN(MONTH(F131))=1,"0"&amp;MONTH(F131),MONTH(F131))&amp;"-"&amp;IF(LEN(DAY(F131))=1,"0"&amp;DAY(F131),DAY(F131))</f>
        <v>77-2025-06-30</v>
      </c>
      <c r="R131" s="3">
        <v>0</v>
      </c>
      <c r="S131" s="3">
        <v>1</v>
      </c>
      <c r="T131" s="3" t="s">
        <v>31</v>
      </c>
      <c r="U131" s="3" t="s">
        <v>37</v>
      </c>
      <c r="V131" s="3" t="s">
        <v>56</v>
      </c>
      <c r="W131" s="3" t="s">
        <v>60</v>
      </c>
      <c r="X131" s="3" t="s">
        <v>61</v>
      </c>
      <c r="Y131" s="3" t="s">
        <v>62</v>
      </c>
      <c r="Z131" s="3" t="s">
        <v>63</v>
      </c>
      <c r="AA131" s="3" t="s">
        <v>64</v>
      </c>
      <c r="AB131" s="3" t="s">
        <v>65</v>
      </c>
      <c r="AC131" s="3" t="s">
        <v>66</v>
      </c>
      <c r="AD131" s="3">
        <v>0</v>
      </c>
    </row>
    <row r="132" spans="1:30" x14ac:dyDescent="0.3">
      <c r="A132" s="3">
        <v>77</v>
      </c>
      <c r="B132" s="3" t="s">
        <v>55</v>
      </c>
      <c r="C132" s="3" t="s">
        <v>56</v>
      </c>
      <c r="D132" s="3" t="s">
        <v>57</v>
      </c>
      <c r="E132" s="3" t="s">
        <v>32</v>
      </c>
      <c r="F132" s="12">
        <v>45991</v>
      </c>
      <c r="G132" s="3">
        <v>2025</v>
      </c>
      <c r="H132" s="3" t="s">
        <v>483</v>
      </c>
      <c r="I132" s="3" t="s">
        <v>465</v>
      </c>
      <c r="J132" s="3">
        <v>2</v>
      </c>
      <c r="K132" s="3">
        <v>97</v>
      </c>
      <c r="L132" s="3">
        <v>95.74545454545455</v>
      </c>
      <c r="M132" s="3">
        <f>+L132/K132</f>
        <v>0.98706654170571706</v>
      </c>
      <c r="N132" s="3">
        <f>+L132/K132</f>
        <v>0.98706654170571706</v>
      </c>
      <c r="O132" s="3" t="s">
        <v>58</v>
      </c>
      <c r="P132" s="3" t="s">
        <v>58</v>
      </c>
      <c r="Q132" s="3" t="str">
        <f t="shared" si="21"/>
        <v>77-2025-11-30</v>
      </c>
      <c r="R132" s="3">
        <v>0</v>
      </c>
      <c r="S132" s="3">
        <v>1</v>
      </c>
      <c r="T132" s="3" t="s">
        <v>31</v>
      </c>
      <c r="U132" s="3" t="s">
        <v>37</v>
      </c>
      <c r="V132" s="3" t="s">
        <v>56</v>
      </c>
      <c r="W132" s="3" t="s">
        <v>60</v>
      </c>
      <c r="X132" s="3" t="s">
        <v>61</v>
      </c>
      <c r="Y132" s="3" t="s">
        <v>62</v>
      </c>
      <c r="Z132" s="3" t="s">
        <v>63</v>
      </c>
      <c r="AA132" s="3" t="s">
        <v>64</v>
      </c>
      <c r="AB132" s="3" t="s">
        <v>65</v>
      </c>
      <c r="AC132" s="3" t="s">
        <v>66</v>
      </c>
      <c r="AD132" s="3">
        <v>0</v>
      </c>
    </row>
    <row r="133" spans="1:30" x14ac:dyDescent="0.3">
      <c r="A133" s="3">
        <v>96</v>
      </c>
      <c r="B133" s="3" t="s">
        <v>70</v>
      </c>
      <c r="C133" s="3" t="s">
        <v>71</v>
      </c>
      <c r="D133" s="3" t="s">
        <v>66</v>
      </c>
      <c r="E133" s="3" t="s">
        <v>32</v>
      </c>
      <c r="F133" s="12">
        <v>44926</v>
      </c>
      <c r="G133" s="3">
        <v>2022</v>
      </c>
      <c r="H133" s="3" t="s">
        <v>44</v>
      </c>
      <c r="I133" s="3" t="s">
        <v>45</v>
      </c>
      <c r="J133" s="3">
        <v>2</v>
      </c>
      <c r="K133" s="3">
        <v>509</v>
      </c>
      <c r="L133" s="3">
        <v>565</v>
      </c>
      <c r="M133" s="3">
        <v>1.1100196463654219</v>
      </c>
      <c r="N133" s="3">
        <v>1.1100196463654219</v>
      </c>
      <c r="O133" s="3" t="s">
        <v>35</v>
      </c>
      <c r="P133" s="3" t="s">
        <v>35</v>
      </c>
      <c r="Q133" s="3" t="str">
        <f t="shared" si="21"/>
        <v>96-2022-12-31</v>
      </c>
      <c r="R133" s="3">
        <v>0</v>
      </c>
      <c r="S133" s="3">
        <v>0</v>
      </c>
      <c r="T133" s="3" t="s">
        <v>31</v>
      </c>
      <c r="U133" s="3" t="s">
        <v>37</v>
      </c>
      <c r="V133" s="3" t="s">
        <v>71</v>
      </c>
      <c r="W133" s="3" t="s">
        <v>73</v>
      </c>
      <c r="X133" s="3" t="s">
        <v>74</v>
      </c>
      <c r="Y133" s="3" t="s">
        <v>585</v>
      </c>
      <c r="Z133" s="3" t="s">
        <v>76</v>
      </c>
      <c r="AA133" s="3" t="s">
        <v>77</v>
      </c>
      <c r="AB133" s="3" t="s">
        <v>78</v>
      </c>
      <c r="AC133" s="3" t="s">
        <v>66</v>
      </c>
      <c r="AD133" s="3">
        <v>0</v>
      </c>
    </row>
    <row r="134" spans="1:30" x14ac:dyDescent="0.3">
      <c r="A134" s="3">
        <v>96</v>
      </c>
      <c r="B134" s="3" t="s">
        <v>70</v>
      </c>
      <c r="C134" s="3" t="s">
        <v>71</v>
      </c>
      <c r="D134" s="3" t="s">
        <v>66</v>
      </c>
      <c r="E134" s="3" t="s">
        <v>32</v>
      </c>
      <c r="F134" s="12">
        <v>44926</v>
      </c>
      <c r="G134" s="3">
        <v>2022</v>
      </c>
      <c r="H134" s="3" t="s">
        <v>44</v>
      </c>
      <c r="I134" s="3" t="s">
        <v>45</v>
      </c>
      <c r="J134" s="3"/>
      <c r="K134" s="3">
        <v>509</v>
      </c>
      <c r="L134" s="3">
        <v>565</v>
      </c>
      <c r="M134" s="3">
        <v>1.1100196463654219</v>
      </c>
      <c r="N134" s="3">
        <v>1.1100196463654219</v>
      </c>
      <c r="O134" s="3" t="s">
        <v>35</v>
      </c>
      <c r="P134" s="3" t="s">
        <v>35</v>
      </c>
      <c r="Q134" s="3" t="str">
        <f t="shared" si="21"/>
        <v>96-2022-12-31</v>
      </c>
      <c r="R134" s="3">
        <v>0</v>
      </c>
      <c r="S134" s="3">
        <v>0</v>
      </c>
      <c r="T134" s="3" t="s">
        <v>443</v>
      </c>
      <c r="U134" s="3" t="s">
        <v>37</v>
      </c>
      <c r="V134" s="3" t="s">
        <v>71</v>
      </c>
      <c r="W134" s="3" t="s">
        <v>73</v>
      </c>
      <c r="X134" s="3" t="s">
        <v>74</v>
      </c>
      <c r="Y134" s="3" t="s">
        <v>585</v>
      </c>
      <c r="Z134" s="3" t="s">
        <v>76</v>
      </c>
      <c r="AA134" s="3" t="s">
        <v>77</v>
      </c>
      <c r="AB134" s="3" t="s">
        <v>78</v>
      </c>
      <c r="AC134" s="3" t="s">
        <v>66</v>
      </c>
      <c r="AD134" s="3">
        <v>0</v>
      </c>
    </row>
    <row r="135" spans="1:30" x14ac:dyDescent="0.3">
      <c r="A135" s="3">
        <v>96</v>
      </c>
      <c r="B135" s="3" t="s">
        <v>70</v>
      </c>
      <c r="C135" s="3" t="s">
        <v>71</v>
      </c>
      <c r="D135" s="3" t="s">
        <v>66</v>
      </c>
      <c r="E135" s="3" t="s">
        <v>32</v>
      </c>
      <c r="F135" s="12">
        <v>45291</v>
      </c>
      <c r="G135" s="3">
        <v>2023</v>
      </c>
      <c r="H135" s="3" t="s">
        <v>44</v>
      </c>
      <c r="I135" s="3" t="s">
        <v>49</v>
      </c>
      <c r="J135" s="3">
        <v>2</v>
      </c>
      <c r="K135" s="3">
        <v>611</v>
      </c>
      <c r="L135" s="3">
        <v>705</v>
      </c>
      <c r="M135" s="3">
        <f>+L135/K135</f>
        <v>1.1538461538461537</v>
      </c>
      <c r="N135" s="3">
        <f>+L135/K135</f>
        <v>1.1538461538461537</v>
      </c>
      <c r="O135" s="3" t="s">
        <v>35</v>
      </c>
      <c r="P135" s="3" t="s">
        <v>35</v>
      </c>
      <c r="Q135" s="3" t="str">
        <f t="shared" si="21"/>
        <v>96-2023-12-31</v>
      </c>
      <c r="R135" s="3">
        <v>0</v>
      </c>
      <c r="S135" s="3">
        <v>0</v>
      </c>
      <c r="T135" s="3" t="s">
        <v>31</v>
      </c>
      <c r="U135" s="3" t="s">
        <v>37</v>
      </c>
      <c r="V135" s="3" t="s">
        <v>71</v>
      </c>
      <c r="W135" s="3" t="s">
        <v>73</v>
      </c>
      <c r="X135" s="3" t="s">
        <v>74</v>
      </c>
      <c r="Y135" s="3" t="s">
        <v>585</v>
      </c>
      <c r="Z135" s="3" t="s">
        <v>76</v>
      </c>
      <c r="AA135" s="3" t="s">
        <v>77</v>
      </c>
      <c r="AB135" s="3" t="s">
        <v>78</v>
      </c>
      <c r="AC135" s="3" t="s">
        <v>66</v>
      </c>
      <c r="AD135" s="3">
        <v>0</v>
      </c>
    </row>
    <row r="136" spans="1:30" x14ac:dyDescent="0.3">
      <c r="A136" s="3">
        <v>96</v>
      </c>
      <c r="B136" s="3" t="s">
        <v>70</v>
      </c>
      <c r="C136" s="3" t="s">
        <v>71</v>
      </c>
      <c r="D136" s="3" t="s">
        <v>66</v>
      </c>
      <c r="E136" s="3" t="s">
        <v>32</v>
      </c>
      <c r="F136" s="12">
        <v>45291</v>
      </c>
      <c r="G136" s="3">
        <v>2023</v>
      </c>
      <c r="H136" s="3" t="s">
        <v>44</v>
      </c>
      <c r="I136" s="3" t="s">
        <v>49</v>
      </c>
      <c r="J136" s="3"/>
      <c r="K136" s="3">
        <v>611</v>
      </c>
      <c r="L136" s="3">
        <v>705</v>
      </c>
      <c r="M136" s="3">
        <f>+L136/K136</f>
        <v>1.1538461538461537</v>
      </c>
      <c r="N136" s="3">
        <f>+L136/K136</f>
        <v>1.1538461538461537</v>
      </c>
      <c r="O136" s="3" t="s">
        <v>35</v>
      </c>
      <c r="P136" s="3" t="s">
        <v>35</v>
      </c>
      <c r="Q136" s="3" t="str">
        <f t="shared" si="21"/>
        <v>96-2023-12-31</v>
      </c>
      <c r="R136" s="3">
        <v>0</v>
      </c>
      <c r="S136" s="3">
        <v>0</v>
      </c>
      <c r="T136" s="3" t="s">
        <v>443</v>
      </c>
      <c r="U136" s="3" t="s">
        <v>37</v>
      </c>
      <c r="V136" s="3" t="s">
        <v>71</v>
      </c>
      <c r="W136" s="3" t="s">
        <v>73</v>
      </c>
      <c r="X136" s="3" t="s">
        <v>74</v>
      </c>
      <c r="Y136" s="3" t="s">
        <v>585</v>
      </c>
      <c r="Z136" s="3" t="s">
        <v>76</v>
      </c>
      <c r="AA136" s="3" t="s">
        <v>77</v>
      </c>
      <c r="AB136" s="3" t="s">
        <v>78</v>
      </c>
      <c r="AC136" s="3" t="s">
        <v>66</v>
      </c>
      <c r="AD136" s="3">
        <v>0</v>
      </c>
    </row>
    <row r="137" spans="1:30" x14ac:dyDescent="0.3">
      <c r="A137" s="3">
        <v>96</v>
      </c>
      <c r="B137" s="3" t="s">
        <v>70</v>
      </c>
      <c r="C137" s="3" t="s">
        <v>71</v>
      </c>
      <c r="D137" s="3" t="s">
        <v>66</v>
      </c>
      <c r="E137" s="3" t="s">
        <v>32</v>
      </c>
      <c r="F137" s="12">
        <v>45657</v>
      </c>
      <c r="G137" s="3">
        <v>2024</v>
      </c>
      <c r="H137" s="3" t="s">
        <v>44</v>
      </c>
      <c r="I137" s="3" t="s">
        <v>53</v>
      </c>
      <c r="J137" s="3">
        <v>2</v>
      </c>
      <c r="K137" s="3">
        <v>672</v>
      </c>
      <c r="L137" s="3">
        <v>740</v>
      </c>
      <c r="M137" s="3">
        <f>+L137/K137</f>
        <v>1.1011904761904763</v>
      </c>
      <c r="N137" s="3">
        <f>+L137/K137</f>
        <v>1.1011904761904763</v>
      </c>
      <c r="O137" s="3" t="s">
        <v>35</v>
      </c>
      <c r="P137" s="3" t="s">
        <v>35</v>
      </c>
      <c r="Q137" s="3" t="str">
        <f t="shared" si="21"/>
        <v>96-2024-12-31</v>
      </c>
      <c r="R137" s="3">
        <v>0</v>
      </c>
      <c r="S137" s="3">
        <v>0</v>
      </c>
      <c r="T137" s="3" t="s">
        <v>31</v>
      </c>
      <c r="U137" s="3" t="s">
        <v>37</v>
      </c>
      <c r="V137" s="3" t="s">
        <v>71</v>
      </c>
      <c r="W137" s="3" t="s">
        <v>73</v>
      </c>
      <c r="X137" s="3" t="s">
        <v>74</v>
      </c>
      <c r="Y137" s="3" t="s">
        <v>585</v>
      </c>
      <c r="Z137" s="3" t="s">
        <v>76</v>
      </c>
      <c r="AA137" s="3" t="s">
        <v>77</v>
      </c>
      <c r="AB137" s="3" t="s">
        <v>78</v>
      </c>
      <c r="AC137" s="3" t="s">
        <v>66</v>
      </c>
      <c r="AD137" s="3">
        <v>0</v>
      </c>
    </row>
    <row r="138" spans="1:30" x14ac:dyDescent="0.3">
      <c r="A138" s="3">
        <v>96</v>
      </c>
      <c r="B138" s="3" t="s">
        <v>70</v>
      </c>
      <c r="C138" s="3" t="s">
        <v>71</v>
      </c>
      <c r="D138" s="3" t="s">
        <v>66</v>
      </c>
      <c r="E138" s="3" t="s">
        <v>32</v>
      </c>
      <c r="F138" s="12">
        <v>45657</v>
      </c>
      <c r="G138" s="3">
        <v>2024</v>
      </c>
      <c r="H138" s="3" t="s">
        <v>44</v>
      </c>
      <c r="I138" s="3" t="s">
        <v>53</v>
      </c>
      <c r="J138" s="3"/>
      <c r="K138" s="3">
        <v>672</v>
      </c>
      <c r="L138" s="3">
        <v>740</v>
      </c>
      <c r="M138" s="3">
        <f>+L138/K138</f>
        <v>1.1011904761904763</v>
      </c>
      <c r="N138" s="3">
        <f>+L138/K138</f>
        <v>1.1011904761904763</v>
      </c>
      <c r="O138" s="3" t="s">
        <v>35</v>
      </c>
      <c r="P138" s="3" t="s">
        <v>35</v>
      </c>
      <c r="Q138" s="3" t="str">
        <f t="shared" si="21"/>
        <v>96-2024-12-31</v>
      </c>
      <c r="R138" s="3">
        <v>0</v>
      </c>
      <c r="S138" s="3">
        <v>0</v>
      </c>
      <c r="T138" s="3" t="s">
        <v>443</v>
      </c>
      <c r="U138" s="3" t="s">
        <v>37</v>
      </c>
      <c r="V138" s="3" t="s">
        <v>71</v>
      </c>
      <c r="W138" s="3" t="s">
        <v>73</v>
      </c>
      <c r="X138" s="3" t="s">
        <v>74</v>
      </c>
      <c r="Y138" s="3" t="s">
        <v>585</v>
      </c>
      <c r="Z138" s="3" t="s">
        <v>76</v>
      </c>
      <c r="AA138" s="3" t="s">
        <v>77</v>
      </c>
      <c r="AB138" s="3" t="s">
        <v>78</v>
      </c>
      <c r="AC138" s="3" t="s">
        <v>66</v>
      </c>
      <c r="AD138" s="3">
        <v>0</v>
      </c>
    </row>
    <row r="139" spans="1:30" x14ac:dyDescent="0.3">
      <c r="A139" s="3">
        <v>98</v>
      </c>
      <c r="B139" s="3" t="s">
        <v>91</v>
      </c>
      <c r="C139" s="3" t="s">
        <v>83</v>
      </c>
      <c r="D139" s="3" t="s">
        <v>31</v>
      </c>
      <c r="E139" s="3" t="s">
        <v>32</v>
      </c>
      <c r="F139" s="12">
        <v>44742</v>
      </c>
      <c r="G139" s="3">
        <v>2022</v>
      </c>
      <c r="H139" s="3" t="s">
        <v>33</v>
      </c>
      <c r="I139" s="3" t="s">
        <v>34</v>
      </c>
      <c r="J139" s="3">
        <v>1</v>
      </c>
      <c r="K139" s="3">
        <v>0</v>
      </c>
      <c r="L139" s="3">
        <v>0</v>
      </c>
      <c r="M139" s="3"/>
      <c r="N139" s="3"/>
      <c r="O139" s="3" t="s">
        <v>35</v>
      </c>
      <c r="P139" s="3" t="s">
        <v>35</v>
      </c>
      <c r="Q139" s="3" t="str">
        <f t="shared" si="21"/>
        <v>98-2022-06-30</v>
      </c>
      <c r="R139" s="3">
        <v>0</v>
      </c>
      <c r="S139" s="3">
        <v>0</v>
      </c>
      <c r="T139" s="3" t="s">
        <v>31</v>
      </c>
      <c r="U139" s="3" t="s">
        <v>37</v>
      </c>
      <c r="V139" s="3" t="s">
        <v>83</v>
      </c>
      <c r="W139" s="3" t="s">
        <v>38</v>
      </c>
      <c r="X139" s="3" t="s">
        <v>39</v>
      </c>
      <c r="Y139" s="3" t="s">
        <v>85</v>
      </c>
      <c r="Z139" s="3" t="s">
        <v>86</v>
      </c>
      <c r="AA139" s="3" t="s">
        <v>87</v>
      </c>
      <c r="AB139" s="3" t="s">
        <v>78</v>
      </c>
      <c r="AC139" s="3" t="s">
        <v>66</v>
      </c>
      <c r="AD139" s="3">
        <v>0</v>
      </c>
    </row>
    <row r="140" spans="1:30" x14ac:dyDescent="0.3">
      <c r="A140" s="3">
        <v>98</v>
      </c>
      <c r="B140" s="3" t="s">
        <v>91</v>
      </c>
      <c r="C140" s="3" t="s">
        <v>83</v>
      </c>
      <c r="D140" s="3" t="s">
        <v>31</v>
      </c>
      <c r="E140" s="3" t="s">
        <v>32</v>
      </c>
      <c r="F140" s="12">
        <v>44926</v>
      </c>
      <c r="G140" s="3">
        <v>2022</v>
      </c>
      <c r="H140" s="3" t="s">
        <v>44</v>
      </c>
      <c r="I140" s="3" t="s">
        <v>45</v>
      </c>
      <c r="J140" s="3">
        <v>2</v>
      </c>
      <c r="K140" s="3">
        <v>4</v>
      </c>
      <c r="L140" s="3">
        <v>4</v>
      </c>
      <c r="M140" s="3">
        <v>1</v>
      </c>
      <c r="N140" s="3">
        <v>1</v>
      </c>
      <c r="O140" s="3" t="s">
        <v>35</v>
      </c>
      <c r="P140" s="3" t="s">
        <v>35</v>
      </c>
      <c r="Q140" s="3" t="str">
        <f t="shared" si="21"/>
        <v>98-2022-12-31</v>
      </c>
      <c r="R140" s="3">
        <v>0</v>
      </c>
      <c r="S140" s="3">
        <v>0</v>
      </c>
      <c r="T140" s="3" t="s">
        <v>31</v>
      </c>
      <c r="U140" s="3" t="s">
        <v>37</v>
      </c>
      <c r="V140" s="3" t="s">
        <v>83</v>
      </c>
      <c r="W140" s="3" t="s">
        <v>38</v>
      </c>
      <c r="X140" s="3" t="s">
        <v>39</v>
      </c>
      <c r="Y140" s="3" t="s">
        <v>85</v>
      </c>
      <c r="Z140" s="3" t="s">
        <v>86</v>
      </c>
      <c r="AA140" s="3" t="s">
        <v>87</v>
      </c>
      <c r="AB140" s="3" t="s">
        <v>78</v>
      </c>
      <c r="AC140" s="3" t="s">
        <v>66</v>
      </c>
      <c r="AD140" s="3">
        <v>0</v>
      </c>
    </row>
    <row r="141" spans="1:30" x14ac:dyDescent="0.3">
      <c r="A141" s="3">
        <v>98</v>
      </c>
      <c r="B141" s="3" t="s">
        <v>91</v>
      </c>
      <c r="C141" s="3" t="s">
        <v>83</v>
      </c>
      <c r="D141" s="3" t="s">
        <v>31</v>
      </c>
      <c r="E141" s="3" t="s">
        <v>32</v>
      </c>
      <c r="F141" s="12">
        <v>44926</v>
      </c>
      <c r="G141" s="3">
        <v>2022</v>
      </c>
      <c r="H141" s="3" t="s">
        <v>44</v>
      </c>
      <c r="I141" s="3" t="s">
        <v>45</v>
      </c>
      <c r="J141" s="3"/>
      <c r="K141" s="3">
        <v>4</v>
      </c>
      <c r="L141" s="3">
        <v>4</v>
      </c>
      <c r="M141" s="3">
        <v>1</v>
      </c>
      <c r="N141" s="3">
        <v>1</v>
      </c>
      <c r="O141" s="3" t="s">
        <v>35</v>
      </c>
      <c r="P141" s="3" t="s">
        <v>35</v>
      </c>
      <c r="Q141" s="3" t="str">
        <f t="shared" si="21"/>
        <v>98-2022-12-31</v>
      </c>
      <c r="R141" s="3">
        <v>0</v>
      </c>
      <c r="S141" s="3">
        <v>0</v>
      </c>
      <c r="T141" s="3" t="s">
        <v>443</v>
      </c>
      <c r="U141" s="3" t="s">
        <v>37</v>
      </c>
      <c r="V141" s="3" t="s">
        <v>83</v>
      </c>
      <c r="W141" s="3" t="s">
        <v>38</v>
      </c>
      <c r="X141" s="3" t="s">
        <v>39</v>
      </c>
      <c r="Y141" s="3" t="s">
        <v>85</v>
      </c>
      <c r="Z141" s="3" t="s">
        <v>86</v>
      </c>
      <c r="AA141" s="3" t="s">
        <v>87</v>
      </c>
      <c r="AB141" s="3" t="s">
        <v>78</v>
      </c>
      <c r="AC141" s="3" t="s">
        <v>66</v>
      </c>
      <c r="AD141" s="3">
        <v>0</v>
      </c>
    </row>
    <row r="142" spans="1:30" x14ac:dyDescent="0.3">
      <c r="A142" s="3">
        <v>98</v>
      </c>
      <c r="B142" s="3" t="s">
        <v>91</v>
      </c>
      <c r="C142" s="3" t="s">
        <v>83</v>
      </c>
      <c r="D142" s="3" t="s">
        <v>31</v>
      </c>
      <c r="E142" s="3" t="s">
        <v>32</v>
      </c>
      <c r="F142" s="12">
        <v>45107</v>
      </c>
      <c r="G142" s="3">
        <v>2023</v>
      </c>
      <c r="H142" s="3" t="s">
        <v>33</v>
      </c>
      <c r="I142" s="3" t="s">
        <v>47</v>
      </c>
      <c r="J142" s="3">
        <v>1</v>
      </c>
      <c r="K142" s="3">
        <v>0</v>
      </c>
      <c r="L142" s="3">
        <v>0</v>
      </c>
      <c r="M142" s="3"/>
      <c r="N142" s="3"/>
      <c r="O142" s="3" t="s">
        <v>35</v>
      </c>
      <c r="P142" s="3" t="s">
        <v>35</v>
      </c>
      <c r="Q142" s="3" t="str">
        <f t="shared" si="21"/>
        <v>98-2023-06-30</v>
      </c>
      <c r="R142" s="3">
        <v>0</v>
      </c>
      <c r="S142" s="3">
        <v>0</v>
      </c>
      <c r="T142" s="3" t="s">
        <v>31</v>
      </c>
      <c r="U142" s="3" t="s">
        <v>37</v>
      </c>
      <c r="V142" s="3" t="s">
        <v>83</v>
      </c>
      <c r="W142" s="3" t="s">
        <v>38</v>
      </c>
      <c r="X142" s="3" t="s">
        <v>39</v>
      </c>
      <c r="Y142" s="3" t="s">
        <v>85</v>
      </c>
      <c r="Z142" s="3" t="s">
        <v>86</v>
      </c>
      <c r="AA142" s="3" t="s">
        <v>87</v>
      </c>
      <c r="AB142" s="3" t="s">
        <v>78</v>
      </c>
      <c r="AC142" s="3" t="s">
        <v>66</v>
      </c>
      <c r="AD142" s="3">
        <v>0</v>
      </c>
    </row>
    <row r="143" spans="1:30" x14ac:dyDescent="0.3">
      <c r="A143" s="3">
        <v>98</v>
      </c>
      <c r="B143" s="3" t="s">
        <v>91</v>
      </c>
      <c r="C143" s="3" t="s">
        <v>83</v>
      </c>
      <c r="D143" s="3" t="s">
        <v>31</v>
      </c>
      <c r="E143" s="3" t="s">
        <v>32</v>
      </c>
      <c r="F143" s="12">
        <v>45291</v>
      </c>
      <c r="G143" s="3">
        <v>2023</v>
      </c>
      <c r="H143" s="3" t="s">
        <v>44</v>
      </c>
      <c r="I143" s="3" t="s">
        <v>49</v>
      </c>
      <c r="J143" s="3">
        <v>2</v>
      </c>
      <c r="K143" s="3">
        <v>1</v>
      </c>
      <c r="L143" s="3">
        <v>1</v>
      </c>
      <c r="M143" s="3">
        <v>1</v>
      </c>
      <c r="N143" s="3">
        <v>1</v>
      </c>
      <c r="O143" s="3" t="s">
        <v>35</v>
      </c>
      <c r="P143" s="3" t="s">
        <v>35</v>
      </c>
      <c r="Q143" s="3" t="str">
        <f t="shared" si="21"/>
        <v>98-2023-12-31</v>
      </c>
      <c r="R143" s="3">
        <v>0</v>
      </c>
      <c r="S143" s="3">
        <v>0</v>
      </c>
      <c r="T143" s="3" t="s">
        <v>31</v>
      </c>
      <c r="U143" s="3" t="s">
        <v>37</v>
      </c>
      <c r="V143" s="3" t="s">
        <v>83</v>
      </c>
      <c r="W143" s="3" t="s">
        <v>38</v>
      </c>
      <c r="X143" s="3" t="s">
        <v>39</v>
      </c>
      <c r="Y143" s="3" t="s">
        <v>85</v>
      </c>
      <c r="Z143" s="3" t="s">
        <v>86</v>
      </c>
      <c r="AA143" s="3" t="s">
        <v>87</v>
      </c>
      <c r="AB143" s="3" t="s">
        <v>78</v>
      </c>
      <c r="AC143" s="3" t="s">
        <v>66</v>
      </c>
      <c r="AD143" s="3">
        <v>0</v>
      </c>
    </row>
    <row r="144" spans="1:30" x14ac:dyDescent="0.3">
      <c r="A144" s="3">
        <v>98</v>
      </c>
      <c r="B144" s="3" t="s">
        <v>91</v>
      </c>
      <c r="C144" s="3" t="s">
        <v>83</v>
      </c>
      <c r="D144" s="3" t="s">
        <v>31</v>
      </c>
      <c r="E144" s="3" t="s">
        <v>32</v>
      </c>
      <c r="F144" s="12">
        <v>45291</v>
      </c>
      <c r="G144" s="3">
        <v>2023</v>
      </c>
      <c r="H144" s="3" t="s">
        <v>44</v>
      </c>
      <c r="I144" s="3" t="s">
        <v>49</v>
      </c>
      <c r="J144" s="3"/>
      <c r="K144" s="3">
        <v>1</v>
      </c>
      <c r="L144" s="3">
        <v>1</v>
      </c>
      <c r="M144" s="3">
        <v>1</v>
      </c>
      <c r="N144" s="3">
        <v>1</v>
      </c>
      <c r="O144" s="3" t="s">
        <v>35</v>
      </c>
      <c r="P144" s="3" t="s">
        <v>35</v>
      </c>
      <c r="Q144" s="3" t="str">
        <f t="shared" si="21"/>
        <v>98-2023-12-31</v>
      </c>
      <c r="R144" s="3">
        <v>0</v>
      </c>
      <c r="S144" s="3">
        <v>0</v>
      </c>
      <c r="T144" s="3" t="s">
        <v>443</v>
      </c>
      <c r="U144" s="3" t="s">
        <v>37</v>
      </c>
      <c r="V144" s="3" t="s">
        <v>83</v>
      </c>
      <c r="W144" s="3" t="s">
        <v>38</v>
      </c>
      <c r="X144" s="3" t="s">
        <v>39</v>
      </c>
      <c r="Y144" s="3" t="s">
        <v>85</v>
      </c>
      <c r="Z144" s="3" t="s">
        <v>86</v>
      </c>
      <c r="AA144" s="3" t="s">
        <v>87</v>
      </c>
      <c r="AB144" s="3" t="s">
        <v>78</v>
      </c>
      <c r="AC144" s="3" t="s">
        <v>66</v>
      </c>
      <c r="AD144" s="3">
        <v>0</v>
      </c>
    </row>
    <row r="145" spans="1:30" x14ac:dyDescent="0.3">
      <c r="A145" s="3">
        <v>98</v>
      </c>
      <c r="B145" s="3" t="s">
        <v>91</v>
      </c>
      <c r="C145" s="3" t="s">
        <v>83</v>
      </c>
      <c r="D145" s="3" t="s">
        <v>31</v>
      </c>
      <c r="E145" s="3" t="s">
        <v>32</v>
      </c>
      <c r="F145" s="12">
        <v>45473</v>
      </c>
      <c r="G145" s="3">
        <v>2024</v>
      </c>
      <c r="H145" s="3" t="s">
        <v>33</v>
      </c>
      <c r="I145" s="3" t="s">
        <v>47</v>
      </c>
      <c r="J145" s="3">
        <v>1</v>
      </c>
      <c r="K145" s="3">
        <v>0</v>
      </c>
      <c r="L145" s="3">
        <v>0</v>
      </c>
      <c r="M145" s="3"/>
      <c r="N145" s="3"/>
      <c r="O145" s="3"/>
      <c r="P145" s="3"/>
      <c r="Q145" s="3" t="str">
        <f t="shared" si="21"/>
        <v>98-2024-06-30</v>
      </c>
      <c r="R145" s="3">
        <v>0</v>
      </c>
      <c r="S145" s="3">
        <v>0</v>
      </c>
      <c r="T145" s="3" t="s">
        <v>31</v>
      </c>
      <c r="U145" s="3" t="s">
        <v>37</v>
      </c>
      <c r="V145" s="3" t="s">
        <v>83</v>
      </c>
      <c r="W145" s="3" t="s">
        <v>38</v>
      </c>
      <c r="X145" s="3" t="s">
        <v>39</v>
      </c>
      <c r="Y145" s="3" t="s">
        <v>85</v>
      </c>
      <c r="Z145" s="3" t="s">
        <v>86</v>
      </c>
      <c r="AA145" s="3" t="s">
        <v>87</v>
      </c>
      <c r="AB145" s="3" t="s">
        <v>78</v>
      </c>
      <c r="AC145" s="3" t="s">
        <v>66</v>
      </c>
      <c r="AD145" s="3">
        <v>0</v>
      </c>
    </row>
    <row r="146" spans="1:30" x14ac:dyDescent="0.3">
      <c r="A146" s="3">
        <v>98</v>
      </c>
      <c r="B146" s="3" t="s">
        <v>91</v>
      </c>
      <c r="C146" s="3" t="s">
        <v>83</v>
      </c>
      <c r="D146" s="3" t="s">
        <v>31</v>
      </c>
      <c r="E146" s="3" t="s">
        <v>32</v>
      </c>
      <c r="F146" s="12">
        <v>45657</v>
      </c>
      <c r="G146" s="3">
        <v>2024</v>
      </c>
      <c r="H146" s="3" t="s">
        <v>44</v>
      </c>
      <c r="I146" s="3" t="s">
        <v>53</v>
      </c>
      <c r="J146" s="3">
        <v>2</v>
      </c>
      <c r="K146" s="3">
        <v>5</v>
      </c>
      <c r="L146" s="3">
        <v>5</v>
      </c>
      <c r="M146" s="3">
        <v>1</v>
      </c>
      <c r="N146" s="3">
        <v>1</v>
      </c>
      <c r="O146" s="3" t="s">
        <v>35</v>
      </c>
      <c r="P146" s="3" t="s">
        <v>35</v>
      </c>
      <c r="Q146" s="3" t="str">
        <f t="shared" si="21"/>
        <v>98-2024-12-31</v>
      </c>
      <c r="R146" s="3">
        <v>0</v>
      </c>
      <c r="S146" s="3">
        <v>0</v>
      </c>
      <c r="T146" s="3" t="s">
        <v>31</v>
      </c>
      <c r="U146" s="3" t="s">
        <v>37</v>
      </c>
      <c r="V146" s="3" t="s">
        <v>83</v>
      </c>
      <c r="W146" s="3" t="s">
        <v>38</v>
      </c>
      <c r="X146" s="3" t="s">
        <v>39</v>
      </c>
      <c r="Y146" s="3" t="s">
        <v>85</v>
      </c>
      <c r="Z146" s="3" t="s">
        <v>86</v>
      </c>
      <c r="AA146" s="3" t="s">
        <v>87</v>
      </c>
      <c r="AB146" s="3" t="s">
        <v>78</v>
      </c>
      <c r="AC146" s="3" t="s">
        <v>66</v>
      </c>
      <c r="AD146" s="3">
        <v>0</v>
      </c>
    </row>
    <row r="147" spans="1:30" x14ac:dyDescent="0.3">
      <c r="A147" s="3">
        <v>98</v>
      </c>
      <c r="B147" s="3" t="s">
        <v>91</v>
      </c>
      <c r="C147" s="3" t="s">
        <v>83</v>
      </c>
      <c r="D147" s="3" t="s">
        <v>31</v>
      </c>
      <c r="E147" s="3" t="s">
        <v>32</v>
      </c>
      <c r="F147" s="12">
        <v>45657</v>
      </c>
      <c r="G147" s="3">
        <v>2024</v>
      </c>
      <c r="H147" s="3" t="s">
        <v>44</v>
      </c>
      <c r="I147" s="3" t="s">
        <v>53</v>
      </c>
      <c r="J147" s="3"/>
      <c r="K147" s="3">
        <v>5</v>
      </c>
      <c r="L147" s="3">
        <v>5</v>
      </c>
      <c r="M147" s="3">
        <v>1</v>
      </c>
      <c r="N147" s="3">
        <v>1</v>
      </c>
      <c r="O147" s="3" t="s">
        <v>35</v>
      </c>
      <c r="P147" s="3" t="s">
        <v>35</v>
      </c>
      <c r="Q147" s="3" t="str">
        <f t="shared" si="21"/>
        <v>98-2024-12-31</v>
      </c>
      <c r="R147" s="3">
        <v>0</v>
      </c>
      <c r="S147" s="3">
        <v>0</v>
      </c>
      <c r="T147" s="3" t="s">
        <v>443</v>
      </c>
      <c r="U147" s="3" t="s">
        <v>37</v>
      </c>
      <c r="V147" s="3" t="s">
        <v>83</v>
      </c>
      <c r="W147" s="3" t="s">
        <v>38</v>
      </c>
      <c r="X147" s="3" t="s">
        <v>39</v>
      </c>
      <c r="Y147" s="3" t="s">
        <v>85</v>
      </c>
      <c r="Z147" s="3" t="s">
        <v>86</v>
      </c>
      <c r="AA147" s="3" t="s">
        <v>87</v>
      </c>
      <c r="AB147" s="3" t="s">
        <v>78</v>
      </c>
      <c r="AC147" s="3" t="s">
        <v>66</v>
      </c>
      <c r="AD147" s="3">
        <v>0</v>
      </c>
    </row>
    <row r="148" spans="1:30" x14ac:dyDescent="0.3">
      <c r="A148" s="3">
        <v>98</v>
      </c>
      <c r="B148" s="3" t="s">
        <v>91</v>
      </c>
      <c r="C148" s="3" t="s">
        <v>83</v>
      </c>
      <c r="D148" s="3" t="s">
        <v>31</v>
      </c>
      <c r="E148" s="3" t="s">
        <v>32</v>
      </c>
      <c r="F148" s="12">
        <v>45838</v>
      </c>
      <c r="G148" s="3">
        <v>2025</v>
      </c>
      <c r="H148" s="3" t="s">
        <v>33</v>
      </c>
      <c r="I148" s="3" t="s">
        <v>404</v>
      </c>
      <c r="J148" s="3">
        <v>1</v>
      </c>
      <c r="K148" s="3">
        <v>10</v>
      </c>
      <c r="L148" s="3">
        <v>10</v>
      </c>
      <c r="M148" s="3">
        <v>1</v>
      </c>
      <c r="N148" s="3">
        <v>1</v>
      </c>
      <c r="O148" s="3" t="s">
        <v>35</v>
      </c>
      <c r="P148" s="3" t="s">
        <v>35</v>
      </c>
      <c r="Q148" s="3" t="str">
        <f t="shared" si="21"/>
        <v>98-2025-06-30</v>
      </c>
      <c r="R148" s="3">
        <v>0</v>
      </c>
      <c r="S148" s="3">
        <v>0</v>
      </c>
      <c r="T148" s="3" t="s">
        <v>31</v>
      </c>
      <c r="U148" s="3" t="s">
        <v>37</v>
      </c>
      <c r="V148" s="3" t="s">
        <v>83</v>
      </c>
      <c r="W148" s="3" t="s">
        <v>38</v>
      </c>
      <c r="X148" s="3" t="s">
        <v>39</v>
      </c>
      <c r="Y148" s="3" t="s">
        <v>85</v>
      </c>
      <c r="Z148" s="3" t="s">
        <v>86</v>
      </c>
      <c r="AA148" s="3" t="s">
        <v>87</v>
      </c>
      <c r="AB148" s="3" t="s">
        <v>78</v>
      </c>
      <c r="AC148" s="3" t="s">
        <v>66</v>
      </c>
      <c r="AD148" s="3">
        <v>0</v>
      </c>
    </row>
    <row r="149" spans="1:30" x14ac:dyDescent="0.3">
      <c r="A149" s="3">
        <v>98</v>
      </c>
      <c r="B149" s="3" t="s">
        <v>91</v>
      </c>
      <c r="C149" s="3" t="s">
        <v>83</v>
      </c>
      <c r="D149" s="3" t="s">
        <v>31</v>
      </c>
      <c r="E149" s="3" t="s">
        <v>32</v>
      </c>
      <c r="F149" s="12">
        <v>46022</v>
      </c>
      <c r="G149" s="3">
        <v>2025</v>
      </c>
      <c r="H149" s="3" t="s">
        <v>44</v>
      </c>
      <c r="I149" s="3" t="s">
        <v>465</v>
      </c>
      <c r="J149" s="3">
        <v>2</v>
      </c>
      <c r="K149" s="3">
        <v>0</v>
      </c>
      <c r="L149" s="3">
        <v>0</v>
      </c>
      <c r="M149" s="3"/>
      <c r="N149" s="3"/>
      <c r="O149" s="3" t="s">
        <v>35</v>
      </c>
      <c r="P149" s="3" t="s">
        <v>35</v>
      </c>
      <c r="Q149" s="3" t="str">
        <f t="shared" si="21"/>
        <v>98-2025-12-31</v>
      </c>
      <c r="R149" s="3">
        <v>0</v>
      </c>
      <c r="S149" s="3">
        <v>0</v>
      </c>
      <c r="T149" s="3" t="s">
        <v>31</v>
      </c>
      <c r="U149" s="3" t="s">
        <v>37</v>
      </c>
      <c r="V149" s="3" t="s">
        <v>83</v>
      </c>
      <c r="W149" s="3" t="s">
        <v>38</v>
      </c>
      <c r="X149" s="3" t="s">
        <v>39</v>
      </c>
      <c r="Y149" s="3" t="s">
        <v>85</v>
      </c>
      <c r="Z149" s="3" t="s">
        <v>86</v>
      </c>
      <c r="AA149" s="3" t="s">
        <v>87</v>
      </c>
      <c r="AB149" s="3" t="s">
        <v>78</v>
      </c>
      <c r="AC149" s="3" t="s">
        <v>66</v>
      </c>
      <c r="AD149" s="3">
        <v>0</v>
      </c>
    </row>
    <row r="150" spans="1:30" x14ac:dyDescent="0.3">
      <c r="A150" s="3">
        <v>109</v>
      </c>
      <c r="B150" s="3" t="s">
        <v>96</v>
      </c>
      <c r="C150" s="3" t="s">
        <v>97</v>
      </c>
      <c r="D150" s="3" t="s">
        <v>66</v>
      </c>
      <c r="E150" s="3" t="s">
        <v>32</v>
      </c>
      <c r="F150" s="12">
        <v>45291</v>
      </c>
      <c r="G150" s="3">
        <v>2023</v>
      </c>
      <c r="H150" s="3" t="s">
        <v>44</v>
      </c>
      <c r="I150" s="3" t="s">
        <v>49</v>
      </c>
      <c r="J150" s="3">
        <v>2</v>
      </c>
      <c r="K150" s="3">
        <v>80</v>
      </c>
      <c r="L150" s="3">
        <v>87.392767703668298</v>
      </c>
      <c r="M150" s="3">
        <v>1.092409596295854</v>
      </c>
      <c r="N150" s="3">
        <v>1.092409596295854</v>
      </c>
      <c r="O150" s="3" t="s">
        <v>58</v>
      </c>
      <c r="P150" s="3" t="s">
        <v>58</v>
      </c>
      <c r="Q150" s="3" t="str">
        <f t="shared" si="21"/>
        <v>109-2023-12-31</v>
      </c>
      <c r="R150" s="3">
        <v>0</v>
      </c>
      <c r="S150" s="3">
        <v>0</v>
      </c>
      <c r="T150" s="3" t="s">
        <v>31</v>
      </c>
      <c r="U150" s="3" t="s">
        <v>37</v>
      </c>
      <c r="V150" s="3" t="s">
        <v>99</v>
      </c>
      <c r="W150" s="3" t="s">
        <v>60</v>
      </c>
      <c r="X150" s="3" t="s">
        <v>100</v>
      </c>
      <c r="Y150" s="3" t="s">
        <v>584</v>
      </c>
      <c r="Z150" s="3" t="s">
        <v>101</v>
      </c>
      <c r="AA150" s="3" t="s">
        <v>102</v>
      </c>
      <c r="AB150" s="3" t="s">
        <v>65</v>
      </c>
      <c r="AC150" s="3" t="s">
        <v>66</v>
      </c>
      <c r="AD150" s="3">
        <v>0</v>
      </c>
    </row>
    <row r="151" spans="1:30" x14ac:dyDescent="0.3">
      <c r="A151" s="3">
        <v>109</v>
      </c>
      <c r="B151" s="3" t="s">
        <v>96</v>
      </c>
      <c r="C151" s="3" t="s">
        <v>99</v>
      </c>
      <c r="D151" s="3" t="s">
        <v>66</v>
      </c>
      <c r="E151" s="3" t="s">
        <v>32</v>
      </c>
      <c r="F151" s="12">
        <v>45291</v>
      </c>
      <c r="G151" s="3">
        <v>2023</v>
      </c>
      <c r="H151" s="3" t="s">
        <v>44</v>
      </c>
      <c r="I151" s="3" t="s">
        <v>49</v>
      </c>
      <c r="J151" s="3"/>
      <c r="K151" s="3">
        <v>80</v>
      </c>
      <c r="L151" s="3">
        <v>87.392767703668298</v>
      </c>
      <c r="M151" s="3">
        <v>1.092409596295854</v>
      </c>
      <c r="N151" s="3">
        <v>1.092409596295854</v>
      </c>
      <c r="O151" s="3" t="s">
        <v>58</v>
      </c>
      <c r="P151" s="3" t="s">
        <v>58</v>
      </c>
      <c r="Q151" s="3" t="str">
        <f t="shared" si="21"/>
        <v>109-2023-12-31</v>
      </c>
      <c r="R151" s="3">
        <v>0</v>
      </c>
      <c r="S151" s="3">
        <v>0</v>
      </c>
      <c r="T151" s="3" t="s">
        <v>443</v>
      </c>
      <c r="U151" s="3" t="s">
        <v>37</v>
      </c>
      <c r="V151" s="3" t="s">
        <v>99</v>
      </c>
      <c r="W151" s="3" t="s">
        <v>60</v>
      </c>
      <c r="X151" s="3" t="s">
        <v>100</v>
      </c>
      <c r="Y151" s="3" t="s">
        <v>584</v>
      </c>
      <c r="Z151" s="3" t="s">
        <v>101</v>
      </c>
      <c r="AA151" s="3" t="s">
        <v>102</v>
      </c>
      <c r="AB151" s="3" t="s">
        <v>65</v>
      </c>
      <c r="AC151" s="3" t="s">
        <v>66</v>
      </c>
      <c r="AD151" s="3">
        <v>0</v>
      </c>
    </row>
    <row r="152" spans="1:30" x14ac:dyDescent="0.3">
      <c r="A152" s="3">
        <v>109</v>
      </c>
      <c r="B152" s="3" t="s">
        <v>96</v>
      </c>
      <c r="C152" s="3" t="s">
        <v>99</v>
      </c>
      <c r="D152" s="3" t="s">
        <v>66</v>
      </c>
      <c r="E152" s="3" t="s">
        <v>32</v>
      </c>
      <c r="F152" s="12">
        <v>45657</v>
      </c>
      <c r="G152" s="3">
        <v>2024</v>
      </c>
      <c r="H152" s="3" t="s">
        <v>44</v>
      </c>
      <c r="I152" s="3" t="s">
        <v>53</v>
      </c>
      <c r="J152" s="3">
        <v>2</v>
      </c>
      <c r="K152" s="3">
        <v>80</v>
      </c>
      <c r="L152" s="3">
        <v>85</v>
      </c>
      <c r="M152" s="3">
        <v>1.0625</v>
      </c>
      <c r="N152" s="3">
        <v>1.0625</v>
      </c>
      <c r="O152" s="3" t="s">
        <v>58</v>
      </c>
      <c r="P152" s="3" t="s">
        <v>58</v>
      </c>
      <c r="Q152" s="3" t="str">
        <f t="shared" si="21"/>
        <v>109-2024-12-31</v>
      </c>
      <c r="R152" s="3">
        <v>0</v>
      </c>
      <c r="S152" s="3">
        <v>0</v>
      </c>
      <c r="T152" s="3" t="s">
        <v>31</v>
      </c>
      <c r="U152" s="3" t="s">
        <v>37</v>
      </c>
      <c r="V152" s="3" t="s">
        <v>99</v>
      </c>
      <c r="W152" s="3" t="s">
        <v>60</v>
      </c>
      <c r="X152" s="3" t="s">
        <v>100</v>
      </c>
      <c r="Y152" s="3" t="s">
        <v>584</v>
      </c>
      <c r="Z152" s="3" t="s">
        <v>101</v>
      </c>
      <c r="AA152" s="3" t="s">
        <v>102</v>
      </c>
      <c r="AB152" s="3" t="s">
        <v>65</v>
      </c>
      <c r="AC152" s="3" t="s">
        <v>66</v>
      </c>
      <c r="AD152" s="3">
        <v>0</v>
      </c>
    </row>
    <row r="153" spans="1:30" x14ac:dyDescent="0.3">
      <c r="A153" s="3">
        <v>109</v>
      </c>
      <c r="B153" s="3" t="s">
        <v>96</v>
      </c>
      <c r="C153" s="3" t="s">
        <v>99</v>
      </c>
      <c r="D153" s="3" t="s">
        <v>66</v>
      </c>
      <c r="E153" s="3" t="s">
        <v>32</v>
      </c>
      <c r="F153" s="12">
        <v>45657</v>
      </c>
      <c r="G153" s="3">
        <v>2024</v>
      </c>
      <c r="H153" s="3" t="s">
        <v>44</v>
      </c>
      <c r="I153" s="3" t="s">
        <v>53</v>
      </c>
      <c r="J153" s="3"/>
      <c r="K153" s="3">
        <v>80</v>
      </c>
      <c r="L153" s="3">
        <v>85</v>
      </c>
      <c r="M153" s="3">
        <v>1.0625</v>
      </c>
      <c r="N153" s="3">
        <v>1.0625</v>
      </c>
      <c r="O153" s="3" t="s">
        <v>58</v>
      </c>
      <c r="P153" s="3" t="s">
        <v>58</v>
      </c>
      <c r="Q153" s="3" t="str">
        <f t="shared" si="21"/>
        <v>109-2024-12-31</v>
      </c>
      <c r="R153" s="3">
        <v>0</v>
      </c>
      <c r="S153" s="3">
        <v>0</v>
      </c>
      <c r="T153" s="3" t="s">
        <v>443</v>
      </c>
      <c r="U153" s="3" t="s">
        <v>37</v>
      </c>
      <c r="V153" s="3" t="s">
        <v>99</v>
      </c>
      <c r="W153" s="3" t="s">
        <v>60</v>
      </c>
      <c r="X153" s="3" t="s">
        <v>100</v>
      </c>
      <c r="Y153" s="3" t="s">
        <v>584</v>
      </c>
      <c r="Z153" s="3" t="s">
        <v>101</v>
      </c>
      <c r="AA153" s="3" t="s">
        <v>102</v>
      </c>
      <c r="AB153" s="3" t="s">
        <v>65</v>
      </c>
      <c r="AC153" s="3" t="s">
        <v>66</v>
      </c>
      <c r="AD153" s="3">
        <v>0</v>
      </c>
    </row>
    <row r="154" spans="1:30" x14ac:dyDescent="0.3">
      <c r="A154" s="3">
        <v>109</v>
      </c>
      <c r="B154" s="3" t="s">
        <v>96</v>
      </c>
      <c r="C154" s="3" t="s">
        <v>99</v>
      </c>
      <c r="D154" s="3" t="s">
        <v>66</v>
      </c>
      <c r="E154" s="3" t="s">
        <v>32</v>
      </c>
      <c r="F154" s="12">
        <v>46022</v>
      </c>
      <c r="G154" s="3">
        <v>2025</v>
      </c>
      <c r="H154" s="3" t="s">
        <v>44</v>
      </c>
      <c r="I154" s="3" t="s">
        <v>465</v>
      </c>
      <c r="J154" s="3"/>
      <c r="K154" s="3">
        <v>80</v>
      </c>
      <c r="L154" s="3">
        <v>94</v>
      </c>
      <c r="M154" s="3">
        <f>+L154/K154</f>
        <v>1.175</v>
      </c>
      <c r="N154" s="3">
        <v>1.0625</v>
      </c>
      <c r="O154" s="3" t="s">
        <v>58</v>
      </c>
      <c r="P154" s="3" t="s">
        <v>58</v>
      </c>
      <c r="Q154" s="3" t="str">
        <f t="shared" si="21"/>
        <v>109-2025-12-31</v>
      </c>
      <c r="R154" s="3">
        <v>0</v>
      </c>
      <c r="S154" s="3">
        <v>0</v>
      </c>
      <c r="T154" s="3" t="s">
        <v>443</v>
      </c>
      <c r="U154" s="3" t="s">
        <v>37</v>
      </c>
      <c r="V154" s="3" t="s">
        <v>99</v>
      </c>
      <c r="W154" s="3" t="s">
        <v>60</v>
      </c>
      <c r="X154" s="3" t="s">
        <v>100</v>
      </c>
      <c r="Y154" s="3" t="s">
        <v>584</v>
      </c>
      <c r="Z154" s="3" t="s">
        <v>101</v>
      </c>
      <c r="AA154" s="3" t="s">
        <v>102</v>
      </c>
      <c r="AB154" s="3" t="s">
        <v>65</v>
      </c>
      <c r="AC154" s="3" t="s">
        <v>66</v>
      </c>
      <c r="AD154" s="3">
        <v>0</v>
      </c>
    </row>
    <row r="155" spans="1:30" x14ac:dyDescent="0.3">
      <c r="A155" s="3">
        <v>148</v>
      </c>
      <c r="B155" s="3" t="s">
        <v>104</v>
      </c>
      <c r="C155" s="3" t="s">
        <v>105</v>
      </c>
      <c r="D155" s="3" t="s">
        <v>31</v>
      </c>
      <c r="E155" s="3" t="s">
        <v>32</v>
      </c>
      <c r="F155" s="12">
        <v>44926</v>
      </c>
      <c r="G155" s="3">
        <v>2022</v>
      </c>
      <c r="H155" s="3" t="s">
        <v>44</v>
      </c>
      <c r="I155" s="3" t="s">
        <v>45</v>
      </c>
      <c r="J155" s="3"/>
      <c r="K155" s="3">
        <v>5</v>
      </c>
      <c r="L155" s="3">
        <v>4.66</v>
      </c>
      <c r="M155" s="3">
        <f>IF(+L155/K155&gt;1.3,1.3,L155/K155)</f>
        <v>0.93200000000000005</v>
      </c>
      <c r="N155" s="3">
        <f>+L155/K155</f>
        <v>0.93200000000000005</v>
      </c>
      <c r="O155" s="3" t="s">
        <v>58</v>
      </c>
      <c r="P155" s="3" t="s">
        <v>58</v>
      </c>
      <c r="Q155" s="3" t="str">
        <f t="shared" si="21"/>
        <v>148-2022-12-31</v>
      </c>
      <c r="R155" s="3">
        <v>0</v>
      </c>
      <c r="S155" s="3">
        <v>1</v>
      </c>
      <c r="T155" s="3" t="s">
        <v>443</v>
      </c>
      <c r="U155" s="3" t="s">
        <v>37</v>
      </c>
      <c r="V155" s="3" t="s">
        <v>105</v>
      </c>
      <c r="W155" s="3" t="s">
        <v>73</v>
      </c>
      <c r="X155" s="3" t="s">
        <v>74</v>
      </c>
      <c r="Y155" s="3" t="s">
        <v>585</v>
      </c>
      <c r="Z155" s="3" t="s">
        <v>76</v>
      </c>
      <c r="AA155" s="3" t="s">
        <v>77</v>
      </c>
      <c r="AB155" s="3" t="s">
        <v>43</v>
      </c>
      <c r="AC155" s="3" t="s">
        <v>31</v>
      </c>
      <c r="AD155" s="3">
        <v>0</v>
      </c>
    </row>
    <row r="156" spans="1:30" x14ac:dyDescent="0.3">
      <c r="A156" s="3">
        <v>148</v>
      </c>
      <c r="B156" s="3" t="s">
        <v>104</v>
      </c>
      <c r="C156" s="3" t="s">
        <v>105</v>
      </c>
      <c r="D156" s="3" t="s">
        <v>31</v>
      </c>
      <c r="E156" s="3" t="s">
        <v>32</v>
      </c>
      <c r="F156" s="12">
        <v>45107</v>
      </c>
      <c r="G156" s="3">
        <v>2023</v>
      </c>
      <c r="H156" s="3" t="s">
        <v>33</v>
      </c>
      <c r="I156" s="3" t="s">
        <v>47</v>
      </c>
      <c r="J156" s="3">
        <v>1</v>
      </c>
      <c r="K156" s="3">
        <v>2.5</v>
      </c>
      <c r="L156" s="3">
        <v>3.57</v>
      </c>
      <c r="M156" s="3">
        <f t="shared" ref="M156:M163" si="22">IF(+L156/K156&gt;1.3,1.3,L156/K156)</f>
        <v>1.3</v>
      </c>
      <c r="N156" s="3">
        <f t="shared" ref="N156:N162" si="23">+L156/K156</f>
        <v>1.4279999999999999</v>
      </c>
      <c r="O156" s="3" t="s">
        <v>58</v>
      </c>
      <c r="P156" s="3" t="s">
        <v>58</v>
      </c>
      <c r="Q156" s="3" t="str">
        <f t="shared" si="21"/>
        <v>148-2023-06-30</v>
      </c>
      <c r="R156" s="3">
        <v>1</v>
      </c>
      <c r="S156" s="3">
        <v>1</v>
      </c>
      <c r="T156" s="3" t="s">
        <v>31</v>
      </c>
      <c r="U156" s="3" t="s">
        <v>37</v>
      </c>
      <c r="V156" s="3" t="s">
        <v>105</v>
      </c>
      <c r="W156" s="3" t="s">
        <v>73</v>
      </c>
      <c r="X156" s="3" t="s">
        <v>74</v>
      </c>
      <c r="Y156" s="3" t="s">
        <v>585</v>
      </c>
      <c r="Z156" s="3" t="s">
        <v>76</v>
      </c>
      <c r="AA156" s="3" t="s">
        <v>77</v>
      </c>
      <c r="AB156" s="3" t="s">
        <v>43</v>
      </c>
      <c r="AC156" s="3" t="s">
        <v>31</v>
      </c>
      <c r="AD156" s="3">
        <v>0</v>
      </c>
    </row>
    <row r="157" spans="1:30" x14ac:dyDescent="0.3">
      <c r="A157" s="3">
        <v>148</v>
      </c>
      <c r="B157" s="3" t="s">
        <v>104</v>
      </c>
      <c r="C157" s="3" t="s">
        <v>105</v>
      </c>
      <c r="D157" s="3" t="s">
        <v>31</v>
      </c>
      <c r="E157" s="3" t="s">
        <v>32</v>
      </c>
      <c r="F157" s="12">
        <v>45291</v>
      </c>
      <c r="G157" s="3">
        <v>2023</v>
      </c>
      <c r="H157" s="3" t="s">
        <v>44</v>
      </c>
      <c r="I157" s="3" t="s">
        <v>49</v>
      </c>
      <c r="J157" s="3">
        <v>2</v>
      </c>
      <c r="K157" s="3">
        <v>5</v>
      </c>
      <c r="L157" s="3">
        <v>5.71</v>
      </c>
      <c r="M157" s="3">
        <f t="shared" si="22"/>
        <v>1.1419999999999999</v>
      </c>
      <c r="N157" s="3">
        <f t="shared" si="23"/>
        <v>1.1419999999999999</v>
      </c>
      <c r="O157" s="3" t="s">
        <v>58</v>
      </c>
      <c r="P157" s="3" t="s">
        <v>58</v>
      </c>
      <c r="Q157" s="3" t="str">
        <f t="shared" si="21"/>
        <v>148-2023-12-31</v>
      </c>
      <c r="R157" s="3">
        <v>1</v>
      </c>
      <c r="S157" s="3">
        <v>1</v>
      </c>
      <c r="T157" s="3" t="s">
        <v>31</v>
      </c>
      <c r="U157" s="3" t="s">
        <v>37</v>
      </c>
      <c r="V157" s="3" t="s">
        <v>105</v>
      </c>
      <c r="W157" s="3" t="s">
        <v>73</v>
      </c>
      <c r="X157" s="3" t="s">
        <v>74</v>
      </c>
      <c r="Y157" s="3" t="s">
        <v>585</v>
      </c>
      <c r="Z157" s="3" t="s">
        <v>76</v>
      </c>
      <c r="AA157" s="3" t="s">
        <v>77</v>
      </c>
      <c r="AB157" s="3" t="s">
        <v>43</v>
      </c>
      <c r="AC157" s="3" t="s">
        <v>31</v>
      </c>
      <c r="AD157" s="3">
        <v>0</v>
      </c>
    </row>
    <row r="158" spans="1:30" x14ac:dyDescent="0.3">
      <c r="A158" s="3">
        <v>148</v>
      </c>
      <c r="B158" s="3" t="s">
        <v>104</v>
      </c>
      <c r="C158" s="3" t="s">
        <v>105</v>
      </c>
      <c r="D158" s="3" t="s">
        <v>31</v>
      </c>
      <c r="E158" s="3" t="s">
        <v>32</v>
      </c>
      <c r="F158" s="12">
        <v>45291</v>
      </c>
      <c r="G158" s="3">
        <v>2023</v>
      </c>
      <c r="H158" s="3" t="s">
        <v>44</v>
      </c>
      <c r="I158" s="3" t="s">
        <v>49</v>
      </c>
      <c r="J158" s="3"/>
      <c r="K158" s="3">
        <v>5</v>
      </c>
      <c r="L158" s="3">
        <v>5.71</v>
      </c>
      <c r="M158" s="3">
        <f t="shared" si="22"/>
        <v>1.1419999999999999</v>
      </c>
      <c r="N158" s="3">
        <f t="shared" si="23"/>
        <v>1.1419999999999999</v>
      </c>
      <c r="O158" s="3" t="s">
        <v>58</v>
      </c>
      <c r="P158" s="3" t="s">
        <v>58</v>
      </c>
      <c r="Q158" s="3" t="str">
        <f t="shared" si="21"/>
        <v>148-2023-12-31</v>
      </c>
      <c r="R158" s="3">
        <v>0</v>
      </c>
      <c r="S158" s="3">
        <v>1</v>
      </c>
      <c r="T158" s="3" t="s">
        <v>443</v>
      </c>
      <c r="U158" s="3" t="s">
        <v>37</v>
      </c>
      <c r="V158" s="3" t="s">
        <v>105</v>
      </c>
      <c r="W158" s="3" t="s">
        <v>73</v>
      </c>
      <c r="X158" s="3" t="s">
        <v>74</v>
      </c>
      <c r="Y158" s="3" t="s">
        <v>585</v>
      </c>
      <c r="Z158" s="3" t="s">
        <v>76</v>
      </c>
      <c r="AA158" s="3" t="s">
        <v>77</v>
      </c>
      <c r="AB158" s="3" t="s">
        <v>43</v>
      </c>
      <c r="AC158" s="3" t="s">
        <v>31</v>
      </c>
      <c r="AD158" s="3">
        <v>0</v>
      </c>
    </row>
    <row r="159" spans="1:30" x14ac:dyDescent="0.3">
      <c r="A159" s="3">
        <v>148</v>
      </c>
      <c r="B159" s="3" t="s">
        <v>104</v>
      </c>
      <c r="C159" s="3" t="s">
        <v>105</v>
      </c>
      <c r="D159" s="3" t="s">
        <v>31</v>
      </c>
      <c r="E159" s="3" t="s">
        <v>32</v>
      </c>
      <c r="F159" s="12">
        <v>45473</v>
      </c>
      <c r="G159" s="3">
        <v>2024</v>
      </c>
      <c r="H159" s="3" t="s">
        <v>33</v>
      </c>
      <c r="I159" s="3" t="s">
        <v>51</v>
      </c>
      <c r="J159" s="3">
        <v>1</v>
      </c>
      <c r="K159" s="3">
        <v>5</v>
      </c>
      <c r="L159" s="3">
        <v>4.3</v>
      </c>
      <c r="M159" s="3">
        <f t="shared" si="22"/>
        <v>0.86</v>
      </c>
      <c r="N159" s="3">
        <f t="shared" si="23"/>
        <v>0.86</v>
      </c>
      <c r="O159" s="3" t="s">
        <v>58</v>
      </c>
      <c r="P159" s="3" t="s">
        <v>58</v>
      </c>
      <c r="Q159" s="3" t="str">
        <f t="shared" si="21"/>
        <v>148-2024-06-30</v>
      </c>
      <c r="R159" s="3">
        <v>1</v>
      </c>
      <c r="S159" s="3">
        <v>1</v>
      </c>
      <c r="T159" s="3" t="s">
        <v>31</v>
      </c>
      <c r="U159" s="3" t="s">
        <v>37</v>
      </c>
      <c r="V159" s="3" t="s">
        <v>105</v>
      </c>
      <c r="W159" s="3" t="s">
        <v>73</v>
      </c>
      <c r="X159" s="3" t="s">
        <v>74</v>
      </c>
      <c r="Y159" s="3" t="s">
        <v>585</v>
      </c>
      <c r="Z159" s="3" t="s">
        <v>76</v>
      </c>
      <c r="AA159" s="3" t="s">
        <v>77</v>
      </c>
      <c r="AB159" s="3" t="s">
        <v>43</v>
      </c>
      <c r="AC159" s="3" t="s">
        <v>31</v>
      </c>
      <c r="AD159" s="3">
        <v>0</v>
      </c>
    </row>
    <row r="160" spans="1:30" x14ac:dyDescent="0.3">
      <c r="A160" s="3">
        <v>148</v>
      </c>
      <c r="B160" s="3" t="s">
        <v>104</v>
      </c>
      <c r="C160" s="3" t="s">
        <v>105</v>
      </c>
      <c r="D160" s="3" t="s">
        <v>31</v>
      </c>
      <c r="E160" s="3" t="s">
        <v>32</v>
      </c>
      <c r="F160" s="12">
        <v>45657</v>
      </c>
      <c r="G160" s="3">
        <v>2024</v>
      </c>
      <c r="H160" s="3" t="s">
        <v>44</v>
      </c>
      <c r="I160" s="3" t="s">
        <v>53</v>
      </c>
      <c r="J160" s="3">
        <v>2</v>
      </c>
      <c r="K160" s="3">
        <v>5</v>
      </c>
      <c r="L160" s="3">
        <v>6.3</v>
      </c>
      <c r="M160" s="3">
        <f t="shared" si="22"/>
        <v>1.26</v>
      </c>
      <c r="N160" s="3">
        <f t="shared" si="23"/>
        <v>1.26</v>
      </c>
      <c r="O160" s="3" t="s">
        <v>58</v>
      </c>
      <c r="P160" s="3" t="s">
        <v>58</v>
      </c>
      <c r="Q160" s="3" t="str">
        <f t="shared" si="21"/>
        <v>148-2024-12-31</v>
      </c>
      <c r="R160" s="3">
        <v>0</v>
      </c>
      <c r="S160" s="3">
        <v>0</v>
      </c>
      <c r="T160" s="3" t="s">
        <v>31</v>
      </c>
      <c r="U160" s="3" t="s">
        <v>37</v>
      </c>
      <c r="V160" s="3" t="s">
        <v>105</v>
      </c>
      <c r="W160" s="3" t="s">
        <v>73</v>
      </c>
      <c r="X160" s="3" t="s">
        <v>74</v>
      </c>
      <c r="Y160" s="3" t="s">
        <v>585</v>
      </c>
      <c r="Z160" s="3" t="s">
        <v>76</v>
      </c>
      <c r="AA160" s="3" t="s">
        <v>77</v>
      </c>
      <c r="AB160" s="3" t="s">
        <v>43</v>
      </c>
      <c r="AC160" s="3" t="s">
        <v>31</v>
      </c>
      <c r="AD160" s="3">
        <v>0</v>
      </c>
    </row>
    <row r="161" spans="1:30" x14ac:dyDescent="0.3">
      <c r="A161" s="3">
        <v>148</v>
      </c>
      <c r="B161" s="3" t="s">
        <v>104</v>
      </c>
      <c r="C161" s="3" t="s">
        <v>105</v>
      </c>
      <c r="D161" s="3" t="s">
        <v>31</v>
      </c>
      <c r="E161" s="3" t="s">
        <v>32</v>
      </c>
      <c r="F161" s="12">
        <v>45657</v>
      </c>
      <c r="G161" s="3">
        <v>2024</v>
      </c>
      <c r="H161" s="3" t="s">
        <v>44</v>
      </c>
      <c r="I161" s="3" t="s">
        <v>53</v>
      </c>
      <c r="J161" s="3"/>
      <c r="K161" s="3">
        <v>5</v>
      </c>
      <c r="L161" s="3">
        <v>6.3</v>
      </c>
      <c r="M161" s="3">
        <f t="shared" si="22"/>
        <v>1.26</v>
      </c>
      <c r="N161" s="3">
        <f t="shared" si="23"/>
        <v>1.26</v>
      </c>
      <c r="O161" s="3" t="s">
        <v>58</v>
      </c>
      <c r="P161" s="3" t="s">
        <v>58</v>
      </c>
      <c r="Q161" s="3" t="str">
        <f t="shared" si="21"/>
        <v>148-2024-12-31</v>
      </c>
      <c r="R161" s="3">
        <v>0</v>
      </c>
      <c r="S161" s="3">
        <v>1</v>
      </c>
      <c r="T161" s="3" t="s">
        <v>443</v>
      </c>
      <c r="U161" s="3" t="s">
        <v>37</v>
      </c>
      <c r="V161" s="3" t="s">
        <v>105</v>
      </c>
      <c r="W161" s="3" t="s">
        <v>73</v>
      </c>
      <c r="X161" s="3" t="s">
        <v>74</v>
      </c>
      <c r="Y161" s="3" t="s">
        <v>585</v>
      </c>
      <c r="Z161" s="3" t="s">
        <v>76</v>
      </c>
      <c r="AA161" s="3" t="s">
        <v>77</v>
      </c>
      <c r="AB161" s="3" t="s">
        <v>43</v>
      </c>
      <c r="AC161" s="3" t="s">
        <v>31</v>
      </c>
      <c r="AD161" s="3">
        <v>0</v>
      </c>
    </row>
    <row r="162" spans="1:30" x14ac:dyDescent="0.3">
      <c r="A162" s="3">
        <v>148</v>
      </c>
      <c r="B162" s="3" t="s">
        <v>104</v>
      </c>
      <c r="C162" s="3" t="s">
        <v>105</v>
      </c>
      <c r="D162" s="3" t="s">
        <v>31</v>
      </c>
      <c r="E162" s="3" t="s">
        <v>32</v>
      </c>
      <c r="F162" s="12">
        <v>45838</v>
      </c>
      <c r="G162" s="3">
        <v>2025</v>
      </c>
      <c r="H162" s="3" t="s">
        <v>33</v>
      </c>
      <c r="I162" s="3" t="s">
        <v>404</v>
      </c>
      <c r="J162" s="3">
        <v>1</v>
      </c>
      <c r="K162" s="3">
        <v>4</v>
      </c>
      <c r="L162" s="3">
        <v>4.08</v>
      </c>
      <c r="M162" s="3">
        <f t="shared" si="22"/>
        <v>1.02</v>
      </c>
      <c r="N162" s="3">
        <f t="shared" si="23"/>
        <v>1.02</v>
      </c>
      <c r="O162" s="3" t="s">
        <v>58</v>
      </c>
      <c r="P162" s="3" t="s">
        <v>58</v>
      </c>
      <c r="Q162" s="3" t="str">
        <f t="shared" si="21"/>
        <v>148-2025-06-30</v>
      </c>
      <c r="R162" s="3">
        <v>0</v>
      </c>
      <c r="S162" s="3">
        <v>1</v>
      </c>
      <c r="T162" s="3" t="s">
        <v>31</v>
      </c>
      <c r="U162" s="3" t="s">
        <v>37</v>
      </c>
      <c r="V162" s="3" t="s">
        <v>105</v>
      </c>
      <c r="W162" s="3" t="s">
        <v>73</v>
      </c>
      <c r="X162" s="3" t="s">
        <v>74</v>
      </c>
      <c r="Y162" s="3" t="s">
        <v>585</v>
      </c>
      <c r="Z162" s="3" t="s">
        <v>76</v>
      </c>
      <c r="AA162" s="3" t="s">
        <v>77</v>
      </c>
      <c r="AB162" s="3" t="s">
        <v>43</v>
      </c>
      <c r="AC162" s="3" t="s">
        <v>31</v>
      </c>
      <c r="AD162" s="3">
        <v>0</v>
      </c>
    </row>
    <row r="163" spans="1:30" x14ac:dyDescent="0.3">
      <c r="A163" s="3">
        <v>148</v>
      </c>
      <c r="B163" s="3" t="s">
        <v>104</v>
      </c>
      <c r="C163" s="3" t="s">
        <v>105</v>
      </c>
      <c r="D163" s="3" t="s">
        <v>31</v>
      </c>
      <c r="E163" s="3" t="s">
        <v>32</v>
      </c>
      <c r="F163" s="12">
        <v>46022</v>
      </c>
      <c r="G163" s="3">
        <v>2025</v>
      </c>
      <c r="H163" s="3" t="s">
        <v>44</v>
      </c>
      <c r="I163" s="3" t="s">
        <v>465</v>
      </c>
      <c r="J163" s="3">
        <v>2</v>
      </c>
      <c r="K163" s="3">
        <v>5</v>
      </c>
      <c r="L163" s="3">
        <v>6.78</v>
      </c>
      <c r="M163" s="3">
        <f t="shared" si="22"/>
        <v>1.3</v>
      </c>
      <c r="N163" s="3">
        <f>+L163/K163</f>
        <v>1.3560000000000001</v>
      </c>
      <c r="O163" s="3" t="s">
        <v>58</v>
      </c>
      <c r="P163" s="3" t="s">
        <v>58</v>
      </c>
      <c r="Q163" s="3" t="str">
        <f t="shared" si="21"/>
        <v>148-2025-12-31</v>
      </c>
      <c r="R163" s="3">
        <v>0</v>
      </c>
      <c r="S163" s="3">
        <v>1</v>
      </c>
      <c r="T163" s="3" t="s">
        <v>31</v>
      </c>
      <c r="U163" s="3" t="s">
        <v>37</v>
      </c>
      <c r="V163" s="3" t="s">
        <v>105</v>
      </c>
      <c r="W163" s="3" t="s">
        <v>73</v>
      </c>
      <c r="X163" s="3" t="s">
        <v>74</v>
      </c>
      <c r="Y163" s="3" t="s">
        <v>585</v>
      </c>
      <c r="Z163" s="3" t="s">
        <v>76</v>
      </c>
      <c r="AA163" s="3" t="s">
        <v>77</v>
      </c>
      <c r="AB163" s="3" t="s">
        <v>43</v>
      </c>
      <c r="AC163" s="3" t="s">
        <v>31</v>
      </c>
      <c r="AD163" s="3">
        <v>0</v>
      </c>
    </row>
    <row r="164" spans="1:30" x14ac:dyDescent="0.3">
      <c r="A164" s="3">
        <v>193</v>
      </c>
      <c r="B164" s="13" t="s">
        <v>478</v>
      </c>
      <c r="C164" s="3" t="s">
        <v>30</v>
      </c>
      <c r="D164" s="3" t="s">
        <v>31</v>
      </c>
      <c r="E164" s="3" t="s">
        <v>32</v>
      </c>
      <c r="F164" s="12">
        <v>44742</v>
      </c>
      <c r="G164" s="3">
        <v>2022</v>
      </c>
      <c r="H164" s="3" t="s">
        <v>33</v>
      </c>
      <c r="I164" s="3" t="s">
        <v>34</v>
      </c>
      <c r="J164" s="3">
        <v>1</v>
      </c>
      <c r="K164" s="3">
        <v>76</v>
      </c>
      <c r="L164" s="3">
        <v>91.8</v>
      </c>
      <c r="M164" s="3">
        <f>+L164/K164</f>
        <v>1.2078947368421051</v>
      </c>
      <c r="N164" s="3">
        <f>+L164/K164</f>
        <v>1.2078947368421051</v>
      </c>
      <c r="O164" s="3" t="s">
        <v>58</v>
      </c>
      <c r="P164" s="3" t="s">
        <v>58</v>
      </c>
      <c r="Q164" s="3" t="str">
        <f t="shared" si="21"/>
        <v>193-2022-06-30</v>
      </c>
      <c r="R164" s="3">
        <v>1</v>
      </c>
      <c r="S164" s="3">
        <v>1</v>
      </c>
      <c r="T164" s="3" t="s">
        <v>31</v>
      </c>
      <c r="U164" s="3" t="s">
        <v>37</v>
      </c>
      <c r="V164" s="3" t="s">
        <v>30</v>
      </c>
      <c r="W164" s="3" t="s">
        <v>112</v>
      </c>
      <c r="X164" s="3" t="s">
        <v>113</v>
      </c>
      <c r="Y164" s="3" t="s">
        <v>114</v>
      </c>
      <c r="Z164" s="3" t="s">
        <v>63</v>
      </c>
      <c r="AA164" s="3" t="s">
        <v>115</v>
      </c>
      <c r="AB164" s="3" t="s">
        <v>65</v>
      </c>
      <c r="AC164" s="3" t="s">
        <v>31</v>
      </c>
      <c r="AD164" s="3">
        <v>0</v>
      </c>
    </row>
    <row r="165" spans="1:30" x14ac:dyDescent="0.3">
      <c r="A165" s="3">
        <v>193</v>
      </c>
      <c r="B165" s="13" t="s">
        <v>478</v>
      </c>
      <c r="C165" s="3" t="s">
        <v>30</v>
      </c>
      <c r="D165" s="3" t="s">
        <v>31</v>
      </c>
      <c r="E165" s="3" t="s">
        <v>32</v>
      </c>
      <c r="F165" s="12">
        <v>44926</v>
      </c>
      <c r="G165" s="3">
        <v>2022</v>
      </c>
      <c r="H165" s="3" t="s">
        <v>44</v>
      </c>
      <c r="I165" s="3" t="s">
        <v>45</v>
      </c>
      <c r="J165" s="3">
        <v>2</v>
      </c>
      <c r="K165" s="3">
        <v>76</v>
      </c>
      <c r="L165" s="3">
        <v>92.4</v>
      </c>
      <c r="M165" s="3">
        <f t="shared" ref="M165:M174" si="24">+L165/K165</f>
        <v>1.2157894736842105</v>
      </c>
      <c r="N165" s="3">
        <f t="shared" ref="N165:N174" si="25">+L165/K165</f>
        <v>1.2157894736842105</v>
      </c>
      <c r="O165" s="3" t="s">
        <v>58</v>
      </c>
      <c r="P165" s="3" t="s">
        <v>58</v>
      </c>
      <c r="Q165" s="3" t="str">
        <f t="shared" si="21"/>
        <v>193-2022-12-31</v>
      </c>
      <c r="R165" s="3">
        <v>1</v>
      </c>
      <c r="S165" s="3">
        <v>1</v>
      </c>
      <c r="T165" s="3" t="s">
        <v>31</v>
      </c>
      <c r="U165" s="3" t="s">
        <v>37</v>
      </c>
      <c r="V165" s="3" t="s">
        <v>30</v>
      </c>
      <c r="W165" s="3" t="s">
        <v>112</v>
      </c>
      <c r="X165" s="3" t="s">
        <v>113</v>
      </c>
      <c r="Y165" s="3" t="s">
        <v>114</v>
      </c>
      <c r="Z165" s="3" t="s">
        <v>63</v>
      </c>
      <c r="AA165" s="3" t="s">
        <v>115</v>
      </c>
      <c r="AB165" s="3" t="s">
        <v>65</v>
      </c>
      <c r="AC165" s="3" t="s">
        <v>31</v>
      </c>
      <c r="AD165" s="3">
        <v>0</v>
      </c>
    </row>
    <row r="166" spans="1:30" x14ac:dyDescent="0.3">
      <c r="A166" s="3">
        <v>193</v>
      </c>
      <c r="B166" s="13" t="s">
        <v>478</v>
      </c>
      <c r="C166" s="3" t="s">
        <v>30</v>
      </c>
      <c r="D166" s="3" t="s">
        <v>31</v>
      </c>
      <c r="E166" s="3" t="s">
        <v>32</v>
      </c>
      <c r="F166" s="12">
        <v>44926</v>
      </c>
      <c r="G166" s="3">
        <v>2022</v>
      </c>
      <c r="H166" s="3" t="s">
        <v>44</v>
      </c>
      <c r="I166" s="3" t="s">
        <v>45</v>
      </c>
      <c r="J166" s="3"/>
      <c r="K166" s="3">
        <v>76</v>
      </c>
      <c r="L166" s="3">
        <v>92.4</v>
      </c>
      <c r="M166" s="3">
        <f t="shared" si="24"/>
        <v>1.2157894736842105</v>
      </c>
      <c r="N166" s="3">
        <f t="shared" si="25"/>
        <v>1.2157894736842105</v>
      </c>
      <c r="O166" s="3" t="s">
        <v>58</v>
      </c>
      <c r="P166" s="3" t="s">
        <v>58</v>
      </c>
      <c r="Q166" s="3" t="str">
        <f t="shared" si="21"/>
        <v>193-2022-12-31</v>
      </c>
      <c r="R166" s="3">
        <v>1</v>
      </c>
      <c r="S166" s="3">
        <v>1</v>
      </c>
      <c r="T166" s="3" t="s">
        <v>443</v>
      </c>
      <c r="U166" s="3" t="s">
        <v>37</v>
      </c>
      <c r="V166" s="3" t="s">
        <v>30</v>
      </c>
      <c r="W166" s="3" t="s">
        <v>112</v>
      </c>
      <c r="X166" s="3" t="s">
        <v>113</v>
      </c>
      <c r="Y166" s="3" t="s">
        <v>114</v>
      </c>
      <c r="Z166" s="3" t="s">
        <v>63</v>
      </c>
      <c r="AA166" s="3" t="s">
        <v>115</v>
      </c>
      <c r="AB166" s="3" t="s">
        <v>65</v>
      </c>
      <c r="AC166" s="3" t="s">
        <v>31</v>
      </c>
      <c r="AD166" s="3">
        <v>0</v>
      </c>
    </row>
    <row r="167" spans="1:30" x14ac:dyDescent="0.3">
      <c r="A167" s="3">
        <v>193</v>
      </c>
      <c r="B167" s="13" t="s">
        <v>478</v>
      </c>
      <c r="C167" s="3" t="s">
        <v>30</v>
      </c>
      <c r="D167" s="3" t="s">
        <v>31</v>
      </c>
      <c r="E167" s="3" t="s">
        <v>32</v>
      </c>
      <c r="F167" s="12">
        <v>45107</v>
      </c>
      <c r="G167" s="3">
        <v>2023</v>
      </c>
      <c r="H167" s="3" t="s">
        <v>33</v>
      </c>
      <c r="I167" s="3" t="s">
        <v>47</v>
      </c>
      <c r="J167" s="3">
        <v>1</v>
      </c>
      <c r="K167" s="3">
        <v>92</v>
      </c>
      <c r="L167" s="3">
        <v>91.9</v>
      </c>
      <c r="M167" s="3">
        <f t="shared" si="24"/>
        <v>0.99891304347826093</v>
      </c>
      <c r="N167" s="3">
        <f t="shared" si="25"/>
        <v>0.99891304347826093</v>
      </c>
      <c r="O167" s="3" t="s">
        <v>58</v>
      </c>
      <c r="P167" s="3" t="s">
        <v>58</v>
      </c>
      <c r="Q167" s="3" t="str">
        <f t="shared" si="21"/>
        <v>193-2023-06-30</v>
      </c>
      <c r="R167" s="3">
        <v>1</v>
      </c>
      <c r="S167" s="3">
        <v>1</v>
      </c>
      <c r="T167" s="3" t="s">
        <v>31</v>
      </c>
      <c r="U167" s="3" t="s">
        <v>37</v>
      </c>
      <c r="V167" s="3" t="s">
        <v>30</v>
      </c>
      <c r="W167" s="3" t="s">
        <v>112</v>
      </c>
      <c r="X167" s="3" t="s">
        <v>113</v>
      </c>
      <c r="Y167" s="3" t="s">
        <v>114</v>
      </c>
      <c r="Z167" s="3" t="s">
        <v>63</v>
      </c>
      <c r="AA167" s="3" t="s">
        <v>115</v>
      </c>
      <c r="AB167" s="3" t="s">
        <v>65</v>
      </c>
      <c r="AC167" s="3" t="s">
        <v>31</v>
      </c>
      <c r="AD167" s="3">
        <v>0</v>
      </c>
    </row>
    <row r="168" spans="1:30" x14ac:dyDescent="0.3">
      <c r="A168" s="3">
        <v>193</v>
      </c>
      <c r="B168" s="13" t="s">
        <v>478</v>
      </c>
      <c r="C168" s="3" t="s">
        <v>30</v>
      </c>
      <c r="D168" s="3" t="s">
        <v>31</v>
      </c>
      <c r="E168" s="3" t="s">
        <v>32</v>
      </c>
      <c r="F168" s="12">
        <v>45291</v>
      </c>
      <c r="G168" s="3">
        <v>2023</v>
      </c>
      <c r="H168" s="3" t="s">
        <v>44</v>
      </c>
      <c r="I168" s="3" t="s">
        <v>49</v>
      </c>
      <c r="J168" s="3">
        <v>2</v>
      </c>
      <c r="K168" s="3">
        <v>92</v>
      </c>
      <c r="L168" s="3">
        <v>91.3</v>
      </c>
      <c r="M168" s="3">
        <f t="shared" si="24"/>
        <v>0.99239130434782608</v>
      </c>
      <c r="N168" s="3">
        <f t="shared" si="25"/>
        <v>0.99239130434782608</v>
      </c>
      <c r="O168" s="3" t="s">
        <v>58</v>
      </c>
      <c r="P168" s="3" t="s">
        <v>58</v>
      </c>
      <c r="Q168" s="3" t="str">
        <f t="shared" si="21"/>
        <v>193-2023-12-31</v>
      </c>
      <c r="R168" s="3">
        <v>1</v>
      </c>
      <c r="S168" s="3">
        <v>1</v>
      </c>
      <c r="T168" s="3" t="s">
        <v>31</v>
      </c>
      <c r="U168" s="3" t="s">
        <v>37</v>
      </c>
      <c r="V168" s="3" t="s">
        <v>30</v>
      </c>
      <c r="W168" s="3" t="s">
        <v>112</v>
      </c>
      <c r="X168" s="3" t="s">
        <v>113</v>
      </c>
      <c r="Y168" s="3" t="s">
        <v>114</v>
      </c>
      <c r="Z168" s="3" t="s">
        <v>63</v>
      </c>
      <c r="AA168" s="3" t="s">
        <v>115</v>
      </c>
      <c r="AB168" s="3" t="s">
        <v>65</v>
      </c>
      <c r="AC168" s="3" t="s">
        <v>31</v>
      </c>
      <c r="AD168" s="3">
        <v>0</v>
      </c>
    </row>
    <row r="169" spans="1:30" x14ac:dyDescent="0.3">
      <c r="A169" s="3">
        <v>193</v>
      </c>
      <c r="B169" s="13" t="s">
        <v>478</v>
      </c>
      <c r="C169" s="3" t="s">
        <v>30</v>
      </c>
      <c r="D169" s="3" t="s">
        <v>31</v>
      </c>
      <c r="E169" s="3" t="s">
        <v>32</v>
      </c>
      <c r="F169" s="12">
        <v>45291</v>
      </c>
      <c r="G169" s="3">
        <v>2023</v>
      </c>
      <c r="H169" s="3" t="s">
        <v>44</v>
      </c>
      <c r="I169" s="3" t="s">
        <v>49</v>
      </c>
      <c r="J169" s="3"/>
      <c r="K169" s="3">
        <v>92</v>
      </c>
      <c r="L169" s="3">
        <v>91.3</v>
      </c>
      <c r="M169" s="3">
        <f t="shared" si="24"/>
        <v>0.99239130434782608</v>
      </c>
      <c r="N169" s="3">
        <f t="shared" si="25"/>
        <v>0.99239130434782608</v>
      </c>
      <c r="O169" s="3" t="s">
        <v>58</v>
      </c>
      <c r="P169" s="3" t="s">
        <v>58</v>
      </c>
      <c r="Q169" s="3" t="str">
        <f t="shared" si="21"/>
        <v>193-2023-12-31</v>
      </c>
      <c r="R169" s="3">
        <v>1</v>
      </c>
      <c r="S169" s="3">
        <v>1</v>
      </c>
      <c r="T169" s="3" t="s">
        <v>443</v>
      </c>
      <c r="U169" s="3" t="s">
        <v>37</v>
      </c>
      <c r="V169" s="3" t="s">
        <v>30</v>
      </c>
      <c r="W169" s="3" t="s">
        <v>112</v>
      </c>
      <c r="X169" s="3" t="s">
        <v>113</v>
      </c>
      <c r="Y169" s="3" t="s">
        <v>114</v>
      </c>
      <c r="Z169" s="3" t="s">
        <v>63</v>
      </c>
      <c r="AA169" s="3" t="s">
        <v>115</v>
      </c>
      <c r="AB169" s="3" t="s">
        <v>65</v>
      </c>
      <c r="AC169" s="3" t="s">
        <v>31</v>
      </c>
      <c r="AD169" s="3">
        <v>0</v>
      </c>
    </row>
    <row r="170" spans="1:30" x14ac:dyDescent="0.3">
      <c r="A170" s="3">
        <v>193</v>
      </c>
      <c r="B170" s="13" t="s">
        <v>478</v>
      </c>
      <c r="C170" s="3" t="s">
        <v>30</v>
      </c>
      <c r="D170" s="3" t="s">
        <v>31</v>
      </c>
      <c r="E170" s="3" t="s">
        <v>32</v>
      </c>
      <c r="F170" s="12">
        <v>45473</v>
      </c>
      <c r="G170" s="3">
        <v>2024</v>
      </c>
      <c r="H170" s="3" t="s">
        <v>33</v>
      </c>
      <c r="I170" s="3" t="s">
        <v>51</v>
      </c>
      <c r="J170" s="3">
        <v>1</v>
      </c>
      <c r="K170" s="3">
        <v>90</v>
      </c>
      <c r="L170" s="3">
        <v>91.7</v>
      </c>
      <c r="M170" s="3">
        <f t="shared" si="24"/>
        <v>1.018888888888889</v>
      </c>
      <c r="N170" s="3">
        <f t="shared" si="25"/>
        <v>1.018888888888889</v>
      </c>
      <c r="O170" s="3" t="s">
        <v>58</v>
      </c>
      <c r="P170" s="3" t="s">
        <v>58</v>
      </c>
      <c r="Q170" s="3" t="str">
        <f t="shared" si="21"/>
        <v>193-2024-06-30</v>
      </c>
      <c r="R170" s="3">
        <v>1</v>
      </c>
      <c r="S170" s="3">
        <v>1</v>
      </c>
      <c r="T170" s="3" t="s">
        <v>31</v>
      </c>
      <c r="U170" s="3" t="s">
        <v>37</v>
      </c>
      <c r="V170" s="3" t="s">
        <v>30</v>
      </c>
      <c r="W170" s="3" t="s">
        <v>112</v>
      </c>
      <c r="X170" s="3" t="s">
        <v>113</v>
      </c>
      <c r="Y170" s="3" t="s">
        <v>114</v>
      </c>
      <c r="Z170" s="3" t="s">
        <v>63</v>
      </c>
      <c r="AA170" s="3" t="s">
        <v>115</v>
      </c>
      <c r="AB170" s="3" t="s">
        <v>65</v>
      </c>
      <c r="AC170" s="3" t="s">
        <v>31</v>
      </c>
      <c r="AD170" s="3">
        <v>0</v>
      </c>
    </row>
    <row r="171" spans="1:30" x14ac:dyDescent="0.3">
      <c r="A171" s="3">
        <v>193</v>
      </c>
      <c r="B171" s="13" t="s">
        <v>478</v>
      </c>
      <c r="C171" s="3" t="s">
        <v>30</v>
      </c>
      <c r="D171" s="3" t="s">
        <v>31</v>
      </c>
      <c r="E171" s="3" t="s">
        <v>32</v>
      </c>
      <c r="F171" s="12">
        <v>45657</v>
      </c>
      <c r="G171" s="3">
        <v>2024</v>
      </c>
      <c r="H171" s="3" t="s">
        <v>44</v>
      </c>
      <c r="I171" s="3" t="s">
        <v>53</v>
      </c>
      <c r="J171" s="3">
        <v>2</v>
      </c>
      <c r="K171" s="3">
        <v>90</v>
      </c>
      <c r="L171" s="3">
        <v>93.5</v>
      </c>
      <c r="M171" s="3">
        <f t="shared" si="24"/>
        <v>1.038888888888889</v>
      </c>
      <c r="N171" s="3">
        <f t="shared" si="25"/>
        <v>1.038888888888889</v>
      </c>
      <c r="O171" s="3" t="s">
        <v>58</v>
      </c>
      <c r="P171" s="3" t="s">
        <v>58</v>
      </c>
      <c r="Q171" s="3" t="str">
        <f t="shared" si="21"/>
        <v>193-2024-12-31</v>
      </c>
      <c r="R171" s="3">
        <v>0</v>
      </c>
      <c r="S171" s="3">
        <v>0</v>
      </c>
      <c r="T171" s="3" t="s">
        <v>31</v>
      </c>
      <c r="U171" s="3" t="s">
        <v>37</v>
      </c>
      <c r="V171" s="3" t="s">
        <v>30</v>
      </c>
      <c r="W171" s="3" t="s">
        <v>112</v>
      </c>
      <c r="X171" s="3" t="s">
        <v>113</v>
      </c>
      <c r="Y171" s="3" t="s">
        <v>114</v>
      </c>
      <c r="Z171" s="3" t="s">
        <v>63</v>
      </c>
      <c r="AA171" s="3" t="s">
        <v>115</v>
      </c>
      <c r="AB171" s="3" t="s">
        <v>65</v>
      </c>
      <c r="AC171" s="3" t="s">
        <v>31</v>
      </c>
      <c r="AD171" s="3">
        <v>0</v>
      </c>
    </row>
    <row r="172" spans="1:30" x14ac:dyDescent="0.3">
      <c r="A172" s="3">
        <v>193</v>
      </c>
      <c r="B172" s="13" t="s">
        <v>478</v>
      </c>
      <c r="C172" s="3" t="s">
        <v>30</v>
      </c>
      <c r="D172" s="3" t="s">
        <v>31</v>
      </c>
      <c r="E172" s="3" t="s">
        <v>32</v>
      </c>
      <c r="F172" s="12">
        <v>45657</v>
      </c>
      <c r="G172" s="3">
        <v>2024</v>
      </c>
      <c r="H172" s="3" t="s">
        <v>44</v>
      </c>
      <c r="I172" s="3" t="s">
        <v>53</v>
      </c>
      <c r="J172" s="3"/>
      <c r="K172" s="3">
        <v>90</v>
      </c>
      <c r="L172" s="3">
        <v>93.5</v>
      </c>
      <c r="M172" s="3">
        <f t="shared" si="24"/>
        <v>1.038888888888889</v>
      </c>
      <c r="N172" s="3">
        <f t="shared" si="25"/>
        <v>1.038888888888889</v>
      </c>
      <c r="O172" s="3" t="s">
        <v>58</v>
      </c>
      <c r="P172" s="3" t="s">
        <v>58</v>
      </c>
      <c r="Q172" s="3" t="str">
        <f t="shared" si="21"/>
        <v>193-2024-12-31</v>
      </c>
      <c r="R172" s="3">
        <v>1</v>
      </c>
      <c r="S172" s="3">
        <v>1</v>
      </c>
      <c r="T172" s="3" t="s">
        <v>443</v>
      </c>
      <c r="U172" s="3" t="s">
        <v>37</v>
      </c>
      <c r="V172" s="3" t="s">
        <v>30</v>
      </c>
      <c r="W172" s="3" t="s">
        <v>112</v>
      </c>
      <c r="X172" s="3" t="s">
        <v>113</v>
      </c>
      <c r="Y172" s="3" t="s">
        <v>114</v>
      </c>
      <c r="Z172" s="3" t="s">
        <v>63</v>
      </c>
      <c r="AA172" s="3" t="s">
        <v>115</v>
      </c>
      <c r="AB172" s="3" t="s">
        <v>65</v>
      </c>
      <c r="AC172" s="3" t="s">
        <v>31</v>
      </c>
      <c r="AD172" s="3">
        <v>0</v>
      </c>
    </row>
    <row r="173" spans="1:30" x14ac:dyDescent="0.3">
      <c r="A173" s="3">
        <v>193</v>
      </c>
      <c r="B173" s="13" t="s">
        <v>478</v>
      </c>
      <c r="C173" s="3" t="s">
        <v>30</v>
      </c>
      <c r="D173" s="3" t="s">
        <v>31</v>
      </c>
      <c r="E173" s="3" t="s">
        <v>32</v>
      </c>
      <c r="F173" s="12">
        <v>45838</v>
      </c>
      <c r="G173" s="3">
        <v>2025</v>
      </c>
      <c r="H173" s="3" t="s">
        <v>33</v>
      </c>
      <c r="I173" s="3" t="s">
        <v>404</v>
      </c>
      <c r="J173" s="3">
        <v>1</v>
      </c>
      <c r="K173" s="3">
        <v>93</v>
      </c>
      <c r="L173" s="3">
        <v>96.21</v>
      </c>
      <c r="M173" s="3">
        <f t="shared" si="24"/>
        <v>1.034516129032258</v>
      </c>
      <c r="N173" s="3">
        <f t="shared" si="25"/>
        <v>1.034516129032258</v>
      </c>
      <c r="O173" s="3" t="s">
        <v>58</v>
      </c>
      <c r="P173" s="3" t="s">
        <v>58</v>
      </c>
      <c r="Q173" s="3" t="str">
        <f t="shared" si="21"/>
        <v>193-2025-06-30</v>
      </c>
      <c r="R173" s="3">
        <v>1</v>
      </c>
      <c r="S173" s="3">
        <v>1</v>
      </c>
      <c r="T173" s="3" t="s">
        <v>31</v>
      </c>
      <c r="U173" s="3" t="s">
        <v>37</v>
      </c>
      <c r="V173" s="3" t="s">
        <v>30</v>
      </c>
      <c r="W173" s="3" t="s">
        <v>112</v>
      </c>
      <c r="X173" s="3" t="s">
        <v>113</v>
      </c>
      <c r="Y173" s="3" t="s">
        <v>114</v>
      </c>
      <c r="Z173" s="3" t="s">
        <v>63</v>
      </c>
      <c r="AA173" s="3" t="s">
        <v>115</v>
      </c>
      <c r="AB173" s="3" t="s">
        <v>65</v>
      </c>
      <c r="AC173" s="3" t="s">
        <v>31</v>
      </c>
      <c r="AD173" s="3">
        <v>0</v>
      </c>
    </row>
    <row r="174" spans="1:30" x14ac:dyDescent="0.3">
      <c r="A174" s="3">
        <v>193</v>
      </c>
      <c r="B174" s="13" t="s">
        <v>478</v>
      </c>
      <c r="C174" s="3" t="s">
        <v>30</v>
      </c>
      <c r="D174" s="3" t="s">
        <v>31</v>
      </c>
      <c r="E174" s="3" t="s">
        <v>32</v>
      </c>
      <c r="F174" s="12">
        <v>46022</v>
      </c>
      <c r="G174" s="3">
        <v>2025</v>
      </c>
      <c r="H174" s="3" t="s">
        <v>44</v>
      </c>
      <c r="I174" s="3" t="s">
        <v>465</v>
      </c>
      <c r="J174" s="3">
        <v>2</v>
      </c>
      <c r="K174" s="3">
        <v>94</v>
      </c>
      <c r="L174" s="3">
        <v>95</v>
      </c>
      <c r="M174" s="3">
        <f t="shared" si="24"/>
        <v>1.0106382978723405</v>
      </c>
      <c r="N174" s="3">
        <f t="shared" si="25"/>
        <v>1.0106382978723405</v>
      </c>
      <c r="O174" s="3" t="s">
        <v>58</v>
      </c>
      <c r="P174" s="3" t="s">
        <v>58</v>
      </c>
      <c r="Q174" s="3" t="str">
        <f t="shared" si="21"/>
        <v>193-2025-12-31</v>
      </c>
      <c r="R174" s="3">
        <v>1</v>
      </c>
      <c r="S174" s="3">
        <v>1</v>
      </c>
      <c r="T174" s="3" t="s">
        <v>31</v>
      </c>
      <c r="U174" s="3" t="s">
        <v>37</v>
      </c>
      <c r="V174" s="3" t="s">
        <v>30</v>
      </c>
      <c r="W174" s="3" t="s">
        <v>112</v>
      </c>
      <c r="X174" s="3" t="s">
        <v>113</v>
      </c>
      <c r="Y174" s="3" t="s">
        <v>114</v>
      </c>
      <c r="Z174" s="3" t="s">
        <v>63</v>
      </c>
      <c r="AA174" s="3" t="s">
        <v>115</v>
      </c>
      <c r="AB174" s="3" t="s">
        <v>65</v>
      </c>
      <c r="AC174" s="3" t="s">
        <v>31</v>
      </c>
      <c r="AD174" s="3">
        <v>0</v>
      </c>
    </row>
    <row r="175" spans="1:30" x14ac:dyDescent="0.3">
      <c r="A175" s="3">
        <v>194</v>
      </c>
      <c r="B175" s="3" t="s">
        <v>121</v>
      </c>
      <c r="C175" s="3" t="s">
        <v>30</v>
      </c>
      <c r="D175" s="3" t="s">
        <v>31</v>
      </c>
      <c r="E175" s="3" t="s">
        <v>32</v>
      </c>
      <c r="F175" s="12">
        <v>44742</v>
      </c>
      <c r="G175" s="3">
        <v>2022</v>
      </c>
      <c r="H175" s="3" t="s">
        <v>33</v>
      </c>
      <c r="I175" s="3" t="s">
        <v>34</v>
      </c>
      <c r="J175" s="3">
        <v>1</v>
      </c>
      <c r="K175" s="3">
        <v>73</v>
      </c>
      <c r="L175" s="3">
        <v>83.26</v>
      </c>
      <c r="M175" s="3">
        <f>+L175/K175</f>
        <v>1.1405479452054794</v>
      </c>
      <c r="N175" s="3">
        <f>+L175/K175</f>
        <v>1.1405479452054794</v>
      </c>
      <c r="O175" s="3" t="s">
        <v>58</v>
      </c>
      <c r="P175" s="3" t="s">
        <v>58</v>
      </c>
      <c r="Q175" s="3" t="str">
        <f t="shared" si="21"/>
        <v>194-2022-06-30</v>
      </c>
      <c r="R175" s="3">
        <v>0</v>
      </c>
      <c r="S175" s="3">
        <v>0</v>
      </c>
      <c r="T175" s="3" t="s">
        <v>31</v>
      </c>
      <c r="U175" s="3" t="s">
        <v>37</v>
      </c>
      <c r="V175" s="3" t="s">
        <v>30</v>
      </c>
      <c r="W175" s="3" t="s">
        <v>112</v>
      </c>
      <c r="X175" s="3" t="s">
        <v>113</v>
      </c>
      <c r="Y175" s="3" t="s">
        <v>123</v>
      </c>
      <c r="Z175" s="3" t="s">
        <v>41</v>
      </c>
      <c r="AA175" s="3" t="s">
        <v>124</v>
      </c>
      <c r="AB175" s="3" t="s">
        <v>43</v>
      </c>
      <c r="AC175" s="3" t="s">
        <v>66</v>
      </c>
      <c r="AD175" s="3">
        <v>0</v>
      </c>
    </row>
    <row r="176" spans="1:30" x14ac:dyDescent="0.3">
      <c r="A176" s="3">
        <v>194</v>
      </c>
      <c r="B176" s="3" t="s">
        <v>121</v>
      </c>
      <c r="C176" s="3" t="s">
        <v>30</v>
      </c>
      <c r="D176" s="3" t="s">
        <v>31</v>
      </c>
      <c r="E176" s="3" t="s">
        <v>32</v>
      </c>
      <c r="F176" s="12">
        <v>44926</v>
      </c>
      <c r="G176" s="3">
        <v>2022</v>
      </c>
      <c r="H176" s="3" t="s">
        <v>44</v>
      </c>
      <c r="I176" s="3" t="s">
        <v>45</v>
      </c>
      <c r="J176" s="3">
        <v>2</v>
      </c>
      <c r="K176" s="3">
        <v>73</v>
      </c>
      <c r="L176" s="3">
        <v>83.11</v>
      </c>
      <c r="M176" s="3">
        <f t="shared" ref="M176:M185" si="26">+L176/K176</f>
        <v>1.1384931506849314</v>
      </c>
      <c r="N176" s="3">
        <f t="shared" ref="N176:N185" si="27">+L176/K176</f>
        <v>1.1384931506849314</v>
      </c>
      <c r="O176" s="3" t="s">
        <v>58</v>
      </c>
      <c r="P176" s="3" t="s">
        <v>58</v>
      </c>
      <c r="Q176" s="3" t="str">
        <f t="shared" si="21"/>
        <v>194-2022-12-31</v>
      </c>
      <c r="R176" s="3">
        <v>0</v>
      </c>
      <c r="S176" s="3">
        <v>0</v>
      </c>
      <c r="T176" s="3" t="s">
        <v>31</v>
      </c>
      <c r="U176" s="3" t="s">
        <v>37</v>
      </c>
      <c r="V176" s="3" t="s">
        <v>30</v>
      </c>
      <c r="W176" s="3" t="s">
        <v>112</v>
      </c>
      <c r="X176" s="3" t="s">
        <v>113</v>
      </c>
      <c r="Y176" s="3" t="s">
        <v>123</v>
      </c>
      <c r="Z176" s="3" t="s">
        <v>41</v>
      </c>
      <c r="AA176" s="3" t="s">
        <v>124</v>
      </c>
      <c r="AB176" s="3" t="s">
        <v>43</v>
      </c>
      <c r="AC176" s="3" t="s">
        <v>66</v>
      </c>
      <c r="AD176" s="3">
        <v>0</v>
      </c>
    </row>
    <row r="177" spans="1:30" x14ac:dyDescent="0.3">
      <c r="A177" s="3">
        <v>194</v>
      </c>
      <c r="B177" s="3" t="s">
        <v>121</v>
      </c>
      <c r="C177" s="3" t="s">
        <v>30</v>
      </c>
      <c r="D177" s="3" t="s">
        <v>31</v>
      </c>
      <c r="E177" s="3" t="s">
        <v>32</v>
      </c>
      <c r="F177" s="12">
        <v>44926</v>
      </c>
      <c r="G177" s="3">
        <v>2022</v>
      </c>
      <c r="H177" s="3" t="s">
        <v>44</v>
      </c>
      <c r="I177" s="3" t="s">
        <v>45</v>
      </c>
      <c r="J177" s="3"/>
      <c r="K177" s="3">
        <v>73</v>
      </c>
      <c r="L177" s="3">
        <v>83.11</v>
      </c>
      <c r="M177" s="3">
        <f t="shared" si="26"/>
        <v>1.1384931506849314</v>
      </c>
      <c r="N177" s="3">
        <f t="shared" si="27"/>
        <v>1.1384931506849314</v>
      </c>
      <c r="O177" s="3" t="s">
        <v>58</v>
      </c>
      <c r="P177" s="3" t="s">
        <v>58</v>
      </c>
      <c r="Q177" s="3" t="str">
        <f t="shared" si="21"/>
        <v>194-2022-12-31</v>
      </c>
      <c r="R177" s="3">
        <v>0</v>
      </c>
      <c r="S177" s="3">
        <v>0</v>
      </c>
      <c r="T177" s="3" t="s">
        <v>443</v>
      </c>
      <c r="U177" s="3" t="s">
        <v>37</v>
      </c>
      <c r="V177" s="3" t="s">
        <v>30</v>
      </c>
      <c r="W177" s="3" t="s">
        <v>112</v>
      </c>
      <c r="X177" s="3" t="s">
        <v>113</v>
      </c>
      <c r="Y177" s="3" t="s">
        <v>123</v>
      </c>
      <c r="Z177" s="3" t="s">
        <v>41</v>
      </c>
      <c r="AA177" s="3" t="s">
        <v>124</v>
      </c>
      <c r="AB177" s="3" t="s">
        <v>43</v>
      </c>
      <c r="AC177" s="3" t="s">
        <v>66</v>
      </c>
      <c r="AD177" s="3">
        <v>0</v>
      </c>
    </row>
    <row r="178" spans="1:30" x14ac:dyDescent="0.3">
      <c r="A178" s="3">
        <v>194</v>
      </c>
      <c r="B178" s="3" t="s">
        <v>121</v>
      </c>
      <c r="C178" s="3" t="s">
        <v>30</v>
      </c>
      <c r="D178" s="3" t="s">
        <v>31</v>
      </c>
      <c r="E178" s="3" t="s">
        <v>32</v>
      </c>
      <c r="F178" s="12">
        <v>45107</v>
      </c>
      <c r="G178" s="3">
        <v>2023</v>
      </c>
      <c r="H178" s="3" t="s">
        <v>33</v>
      </c>
      <c r="I178" s="3" t="s">
        <v>47</v>
      </c>
      <c r="J178" s="3">
        <v>1</v>
      </c>
      <c r="K178" s="3">
        <v>80</v>
      </c>
      <c r="L178" s="3">
        <v>79.180000000000007</v>
      </c>
      <c r="M178" s="3">
        <f t="shared" si="26"/>
        <v>0.98975000000000013</v>
      </c>
      <c r="N178" s="3">
        <f t="shared" si="27"/>
        <v>0.98975000000000013</v>
      </c>
      <c r="O178" s="3" t="s">
        <v>58</v>
      </c>
      <c r="P178" s="3" t="s">
        <v>58</v>
      </c>
      <c r="Q178" s="3" t="str">
        <f t="shared" si="21"/>
        <v>194-2023-06-30</v>
      </c>
      <c r="R178" s="3">
        <v>0</v>
      </c>
      <c r="S178" s="3">
        <v>0</v>
      </c>
      <c r="T178" s="3" t="s">
        <v>31</v>
      </c>
      <c r="U178" s="3" t="s">
        <v>37</v>
      </c>
      <c r="V178" s="3" t="s">
        <v>30</v>
      </c>
      <c r="W178" s="3" t="s">
        <v>112</v>
      </c>
      <c r="X178" s="3" t="s">
        <v>113</v>
      </c>
      <c r="Y178" s="3" t="s">
        <v>123</v>
      </c>
      <c r="Z178" s="3" t="s">
        <v>41</v>
      </c>
      <c r="AA178" s="3" t="s">
        <v>124</v>
      </c>
      <c r="AB178" s="3" t="s">
        <v>43</v>
      </c>
      <c r="AC178" s="3" t="s">
        <v>66</v>
      </c>
      <c r="AD178" s="3">
        <v>0</v>
      </c>
    </row>
    <row r="179" spans="1:30" x14ac:dyDescent="0.3">
      <c r="A179" s="3">
        <v>194</v>
      </c>
      <c r="B179" s="3" t="s">
        <v>121</v>
      </c>
      <c r="C179" s="3" t="s">
        <v>30</v>
      </c>
      <c r="D179" s="3" t="s">
        <v>31</v>
      </c>
      <c r="E179" s="3" t="s">
        <v>32</v>
      </c>
      <c r="F179" s="12">
        <v>45291</v>
      </c>
      <c r="G179" s="3">
        <v>2023</v>
      </c>
      <c r="H179" s="3" t="s">
        <v>44</v>
      </c>
      <c r="I179" s="3" t="s">
        <v>49</v>
      </c>
      <c r="J179" s="3">
        <v>2</v>
      </c>
      <c r="K179" s="3">
        <v>80</v>
      </c>
      <c r="L179" s="3">
        <v>81.91</v>
      </c>
      <c r="M179" s="3">
        <f t="shared" si="26"/>
        <v>1.0238749999999999</v>
      </c>
      <c r="N179" s="3">
        <f t="shared" si="27"/>
        <v>1.0238749999999999</v>
      </c>
      <c r="O179" s="3" t="s">
        <v>58</v>
      </c>
      <c r="P179" s="3" t="s">
        <v>58</v>
      </c>
      <c r="Q179" s="3" t="str">
        <f t="shared" si="21"/>
        <v>194-2023-12-31</v>
      </c>
      <c r="R179" s="3">
        <v>0</v>
      </c>
      <c r="S179" s="3">
        <v>0</v>
      </c>
      <c r="T179" s="3" t="s">
        <v>31</v>
      </c>
      <c r="U179" s="3" t="s">
        <v>37</v>
      </c>
      <c r="V179" s="3" t="s">
        <v>30</v>
      </c>
      <c r="W179" s="3" t="s">
        <v>112</v>
      </c>
      <c r="X179" s="3" t="s">
        <v>113</v>
      </c>
      <c r="Y179" s="3" t="s">
        <v>123</v>
      </c>
      <c r="Z179" s="3" t="s">
        <v>41</v>
      </c>
      <c r="AA179" s="3" t="s">
        <v>124</v>
      </c>
      <c r="AB179" s="3" t="s">
        <v>43</v>
      </c>
      <c r="AC179" s="3" t="s">
        <v>66</v>
      </c>
      <c r="AD179" s="3">
        <v>0</v>
      </c>
    </row>
    <row r="180" spans="1:30" x14ac:dyDescent="0.3">
      <c r="A180" s="3">
        <v>194</v>
      </c>
      <c r="B180" s="3" t="s">
        <v>121</v>
      </c>
      <c r="C180" s="3" t="s">
        <v>30</v>
      </c>
      <c r="D180" s="3" t="s">
        <v>31</v>
      </c>
      <c r="E180" s="3" t="s">
        <v>32</v>
      </c>
      <c r="F180" s="12">
        <v>45291</v>
      </c>
      <c r="G180" s="3">
        <v>2023</v>
      </c>
      <c r="H180" s="3" t="s">
        <v>44</v>
      </c>
      <c r="I180" s="3" t="s">
        <v>49</v>
      </c>
      <c r="J180" s="3"/>
      <c r="K180" s="3">
        <v>80</v>
      </c>
      <c r="L180" s="3">
        <v>81.91</v>
      </c>
      <c r="M180" s="3">
        <f t="shared" si="26"/>
        <v>1.0238749999999999</v>
      </c>
      <c r="N180" s="3">
        <f t="shared" si="27"/>
        <v>1.0238749999999999</v>
      </c>
      <c r="O180" s="3" t="s">
        <v>58</v>
      </c>
      <c r="P180" s="3" t="s">
        <v>58</v>
      </c>
      <c r="Q180" s="3" t="str">
        <f t="shared" si="21"/>
        <v>194-2023-12-31</v>
      </c>
      <c r="R180" s="3">
        <v>0</v>
      </c>
      <c r="S180" s="3">
        <v>0</v>
      </c>
      <c r="T180" s="3" t="s">
        <v>443</v>
      </c>
      <c r="U180" s="3" t="s">
        <v>37</v>
      </c>
      <c r="V180" s="3" t="s">
        <v>30</v>
      </c>
      <c r="W180" s="3" t="s">
        <v>112</v>
      </c>
      <c r="X180" s="3" t="s">
        <v>113</v>
      </c>
      <c r="Y180" s="3" t="s">
        <v>123</v>
      </c>
      <c r="Z180" s="3" t="s">
        <v>41</v>
      </c>
      <c r="AA180" s="3" t="s">
        <v>124</v>
      </c>
      <c r="AB180" s="3" t="s">
        <v>43</v>
      </c>
      <c r="AC180" s="3" t="s">
        <v>66</v>
      </c>
      <c r="AD180" s="3">
        <v>0</v>
      </c>
    </row>
    <row r="181" spans="1:30" x14ac:dyDescent="0.3">
      <c r="A181" s="3">
        <v>194</v>
      </c>
      <c r="B181" s="3" t="s">
        <v>121</v>
      </c>
      <c r="C181" s="3" t="s">
        <v>30</v>
      </c>
      <c r="D181" s="3" t="s">
        <v>31</v>
      </c>
      <c r="E181" s="3" t="s">
        <v>32</v>
      </c>
      <c r="F181" s="12">
        <v>45473</v>
      </c>
      <c r="G181" s="3">
        <v>2024</v>
      </c>
      <c r="H181" s="3" t="s">
        <v>33</v>
      </c>
      <c r="I181" s="3" t="s">
        <v>51</v>
      </c>
      <c r="J181" s="3">
        <v>1</v>
      </c>
      <c r="K181" s="3">
        <v>81</v>
      </c>
      <c r="L181" s="3">
        <v>83.01</v>
      </c>
      <c r="M181" s="3">
        <f t="shared" si="26"/>
        <v>1.0248148148148148</v>
      </c>
      <c r="N181" s="3">
        <f t="shared" si="27"/>
        <v>1.0248148148148148</v>
      </c>
      <c r="O181" s="3" t="s">
        <v>58</v>
      </c>
      <c r="P181" s="3" t="s">
        <v>58</v>
      </c>
      <c r="Q181" s="3" t="str">
        <f t="shared" si="21"/>
        <v>194-2024-06-30</v>
      </c>
      <c r="R181" s="3">
        <v>0</v>
      </c>
      <c r="S181" s="3">
        <v>0</v>
      </c>
      <c r="T181" s="3" t="s">
        <v>31</v>
      </c>
      <c r="U181" s="3" t="s">
        <v>37</v>
      </c>
      <c r="V181" s="3" t="s">
        <v>30</v>
      </c>
      <c r="W181" s="3" t="s">
        <v>112</v>
      </c>
      <c r="X181" s="3" t="s">
        <v>113</v>
      </c>
      <c r="Y181" s="3" t="s">
        <v>123</v>
      </c>
      <c r="Z181" s="3" t="s">
        <v>41</v>
      </c>
      <c r="AA181" s="3" t="s">
        <v>124</v>
      </c>
      <c r="AB181" s="3" t="s">
        <v>43</v>
      </c>
      <c r="AC181" s="3" t="s">
        <v>66</v>
      </c>
      <c r="AD181" s="3">
        <v>0</v>
      </c>
    </row>
    <row r="182" spans="1:30" x14ac:dyDescent="0.3">
      <c r="A182" s="3">
        <v>194</v>
      </c>
      <c r="B182" s="3" t="s">
        <v>121</v>
      </c>
      <c r="C182" s="3" t="s">
        <v>30</v>
      </c>
      <c r="D182" s="3" t="s">
        <v>31</v>
      </c>
      <c r="E182" s="3" t="s">
        <v>32</v>
      </c>
      <c r="F182" s="12">
        <v>45657</v>
      </c>
      <c r="G182" s="3">
        <v>2024</v>
      </c>
      <c r="H182" s="3" t="s">
        <v>44</v>
      </c>
      <c r="I182" s="3" t="s">
        <v>53</v>
      </c>
      <c r="J182" s="3">
        <v>2</v>
      </c>
      <c r="K182" s="3">
        <v>81</v>
      </c>
      <c r="L182" s="3">
        <v>89</v>
      </c>
      <c r="M182" s="3">
        <f t="shared" si="26"/>
        <v>1.0987654320987654</v>
      </c>
      <c r="N182" s="3">
        <f t="shared" si="27"/>
        <v>1.0987654320987654</v>
      </c>
      <c r="O182" s="3" t="s">
        <v>58</v>
      </c>
      <c r="P182" s="3" t="s">
        <v>58</v>
      </c>
      <c r="Q182" s="3" t="str">
        <f t="shared" si="21"/>
        <v>194-2024-12-31</v>
      </c>
      <c r="R182" s="3">
        <v>0</v>
      </c>
      <c r="S182" s="3">
        <v>0</v>
      </c>
      <c r="T182" s="3" t="s">
        <v>31</v>
      </c>
      <c r="U182" s="3" t="s">
        <v>37</v>
      </c>
      <c r="V182" s="3" t="s">
        <v>30</v>
      </c>
      <c r="W182" s="3" t="s">
        <v>112</v>
      </c>
      <c r="X182" s="3" t="s">
        <v>113</v>
      </c>
      <c r="Y182" s="3" t="s">
        <v>123</v>
      </c>
      <c r="Z182" s="3" t="s">
        <v>41</v>
      </c>
      <c r="AA182" s="3" t="s">
        <v>124</v>
      </c>
      <c r="AB182" s="3" t="s">
        <v>43</v>
      </c>
      <c r="AC182" s="3" t="s">
        <v>66</v>
      </c>
      <c r="AD182" s="3">
        <v>0</v>
      </c>
    </row>
    <row r="183" spans="1:30" x14ac:dyDescent="0.3">
      <c r="A183" s="3">
        <v>194</v>
      </c>
      <c r="B183" s="3" t="s">
        <v>121</v>
      </c>
      <c r="C183" s="3" t="s">
        <v>30</v>
      </c>
      <c r="D183" s="3" t="s">
        <v>31</v>
      </c>
      <c r="E183" s="3" t="s">
        <v>32</v>
      </c>
      <c r="F183" s="12">
        <v>45657</v>
      </c>
      <c r="G183" s="3">
        <v>2024</v>
      </c>
      <c r="H183" s="3" t="s">
        <v>44</v>
      </c>
      <c r="I183" s="3" t="s">
        <v>53</v>
      </c>
      <c r="J183" s="3"/>
      <c r="K183" s="3">
        <v>81</v>
      </c>
      <c r="L183" s="3">
        <v>89</v>
      </c>
      <c r="M183" s="3">
        <f t="shared" si="26"/>
        <v>1.0987654320987654</v>
      </c>
      <c r="N183" s="3">
        <f t="shared" si="27"/>
        <v>1.0987654320987654</v>
      </c>
      <c r="O183" s="3" t="s">
        <v>58</v>
      </c>
      <c r="P183" s="3" t="s">
        <v>58</v>
      </c>
      <c r="Q183" s="3" t="str">
        <f t="shared" si="21"/>
        <v>194-2024-12-31</v>
      </c>
      <c r="R183" s="3">
        <v>0</v>
      </c>
      <c r="S183" s="3">
        <v>0</v>
      </c>
      <c r="T183" s="3" t="s">
        <v>443</v>
      </c>
      <c r="U183" s="3" t="s">
        <v>37</v>
      </c>
      <c r="V183" s="3" t="s">
        <v>30</v>
      </c>
      <c r="W183" s="3" t="s">
        <v>112</v>
      </c>
      <c r="X183" s="3" t="s">
        <v>113</v>
      </c>
      <c r="Y183" s="3" t="s">
        <v>123</v>
      </c>
      <c r="Z183" s="3" t="s">
        <v>41</v>
      </c>
      <c r="AA183" s="3" t="s">
        <v>124</v>
      </c>
      <c r="AB183" s="3" t="s">
        <v>43</v>
      </c>
      <c r="AC183" s="3" t="s">
        <v>66</v>
      </c>
      <c r="AD183" s="3">
        <v>0</v>
      </c>
    </row>
    <row r="184" spans="1:30" x14ac:dyDescent="0.3">
      <c r="A184" s="3">
        <v>194</v>
      </c>
      <c r="B184" s="3" t="s">
        <v>121</v>
      </c>
      <c r="C184" s="3" t="s">
        <v>30</v>
      </c>
      <c r="D184" s="3" t="s">
        <v>31</v>
      </c>
      <c r="E184" s="3" t="s">
        <v>32</v>
      </c>
      <c r="F184" s="12">
        <v>45838</v>
      </c>
      <c r="G184" s="3">
        <v>2025</v>
      </c>
      <c r="H184" s="3" t="s">
        <v>33</v>
      </c>
      <c r="I184" s="3" t="s">
        <v>404</v>
      </c>
      <c r="J184" s="3">
        <v>1</v>
      </c>
      <c r="K184" s="3">
        <v>80</v>
      </c>
      <c r="L184" s="3">
        <v>90</v>
      </c>
      <c r="M184" s="3">
        <f t="shared" si="26"/>
        <v>1.125</v>
      </c>
      <c r="N184" s="3">
        <f t="shared" si="27"/>
        <v>1.125</v>
      </c>
      <c r="O184" s="3" t="s">
        <v>58</v>
      </c>
      <c r="P184" s="3" t="s">
        <v>58</v>
      </c>
      <c r="Q184" s="3" t="str">
        <f t="shared" si="21"/>
        <v>194-2025-06-30</v>
      </c>
      <c r="R184" s="3">
        <v>0</v>
      </c>
      <c r="S184" s="3">
        <v>0</v>
      </c>
      <c r="T184" s="3" t="s">
        <v>31</v>
      </c>
      <c r="U184" s="3" t="s">
        <v>37</v>
      </c>
      <c r="V184" s="3" t="s">
        <v>30</v>
      </c>
      <c r="W184" s="3" t="s">
        <v>112</v>
      </c>
      <c r="X184" s="3" t="s">
        <v>113</v>
      </c>
      <c r="Y184" s="3" t="s">
        <v>123</v>
      </c>
      <c r="Z184" s="3" t="s">
        <v>41</v>
      </c>
      <c r="AA184" s="3" t="s">
        <v>124</v>
      </c>
      <c r="AB184" s="3" t="s">
        <v>43</v>
      </c>
      <c r="AC184" s="3" t="s">
        <v>66</v>
      </c>
      <c r="AD184" s="3">
        <v>0</v>
      </c>
    </row>
    <row r="185" spans="1:30" x14ac:dyDescent="0.3">
      <c r="A185" s="3">
        <v>194</v>
      </c>
      <c r="B185" s="3" t="s">
        <v>121</v>
      </c>
      <c r="C185" s="3" t="s">
        <v>30</v>
      </c>
      <c r="D185" s="3" t="s">
        <v>31</v>
      </c>
      <c r="E185" s="3" t="s">
        <v>32</v>
      </c>
      <c r="F185" s="12">
        <v>46022</v>
      </c>
      <c r="G185" s="3">
        <v>2025</v>
      </c>
      <c r="H185" s="3" t="s">
        <v>44</v>
      </c>
      <c r="I185" s="3" t="s">
        <v>465</v>
      </c>
      <c r="J185" s="3">
        <v>2</v>
      </c>
      <c r="K185" s="3">
        <v>85</v>
      </c>
      <c r="L185" s="3">
        <v>89.9</v>
      </c>
      <c r="M185" s="3">
        <f t="shared" si="26"/>
        <v>1.0576470588235294</v>
      </c>
      <c r="N185" s="3">
        <f t="shared" si="27"/>
        <v>1.0576470588235294</v>
      </c>
      <c r="O185" s="3" t="s">
        <v>58</v>
      </c>
      <c r="P185" s="3" t="s">
        <v>58</v>
      </c>
      <c r="Q185" s="3" t="str">
        <f t="shared" si="21"/>
        <v>194-2025-12-31</v>
      </c>
      <c r="R185" s="3">
        <v>0</v>
      </c>
      <c r="S185" s="3">
        <v>0</v>
      </c>
      <c r="T185" s="3" t="s">
        <v>31</v>
      </c>
      <c r="U185" s="3" t="s">
        <v>37</v>
      </c>
      <c r="V185" s="3" t="s">
        <v>30</v>
      </c>
      <c r="W185" s="3" t="s">
        <v>112</v>
      </c>
      <c r="X185" s="3" t="s">
        <v>113</v>
      </c>
      <c r="Y185" s="3" t="s">
        <v>123</v>
      </c>
      <c r="Z185" s="3" t="s">
        <v>41</v>
      </c>
      <c r="AA185" s="3" t="s">
        <v>124</v>
      </c>
      <c r="AB185" s="3" t="s">
        <v>43</v>
      </c>
      <c r="AC185" s="3" t="s">
        <v>66</v>
      </c>
      <c r="AD185" s="3">
        <v>0</v>
      </c>
    </row>
    <row r="186" spans="1:30" x14ac:dyDescent="0.3">
      <c r="A186" s="3">
        <v>200</v>
      </c>
      <c r="B186" s="3" t="s">
        <v>129</v>
      </c>
      <c r="C186" s="3" t="s">
        <v>130</v>
      </c>
      <c r="D186" s="3" t="s">
        <v>66</v>
      </c>
      <c r="E186" s="3" t="s">
        <v>32</v>
      </c>
      <c r="F186" s="12">
        <v>45291</v>
      </c>
      <c r="G186" s="3">
        <v>2023</v>
      </c>
      <c r="H186" s="3" t="s">
        <v>44</v>
      </c>
      <c r="I186" s="3" t="s">
        <v>49</v>
      </c>
      <c r="J186" s="3">
        <v>2</v>
      </c>
      <c r="K186" s="3"/>
      <c r="L186" s="3">
        <v>90</v>
      </c>
      <c r="M186" s="3"/>
      <c r="N186" s="3"/>
      <c r="O186" s="3" t="s">
        <v>131</v>
      </c>
      <c r="P186" s="3" t="s">
        <v>58</v>
      </c>
      <c r="Q186" s="3" t="str">
        <f t="shared" si="21"/>
        <v>200-2023-12-31</v>
      </c>
      <c r="R186" s="3">
        <v>0</v>
      </c>
      <c r="S186" s="3">
        <v>0</v>
      </c>
      <c r="T186" s="3" t="s">
        <v>31</v>
      </c>
      <c r="U186" s="3" t="s">
        <v>37</v>
      </c>
      <c r="V186" s="3" t="s">
        <v>130</v>
      </c>
      <c r="W186" s="3" t="s">
        <v>60</v>
      </c>
      <c r="X186" s="3" t="s">
        <v>100</v>
      </c>
      <c r="Y186" s="3" t="s">
        <v>133</v>
      </c>
      <c r="Z186" s="3" t="s">
        <v>134</v>
      </c>
      <c r="AA186" s="3" t="s">
        <v>135</v>
      </c>
      <c r="AB186" s="3" t="s">
        <v>43</v>
      </c>
      <c r="AC186" s="3" t="s">
        <v>66</v>
      </c>
      <c r="AD186" s="3">
        <v>0</v>
      </c>
    </row>
    <row r="187" spans="1:30" x14ac:dyDescent="0.3">
      <c r="A187" s="3">
        <v>200</v>
      </c>
      <c r="B187" s="3" t="s">
        <v>129</v>
      </c>
      <c r="C187" s="3" t="s">
        <v>130</v>
      </c>
      <c r="D187" s="3" t="s">
        <v>66</v>
      </c>
      <c r="E187" s="3" t="s">
        <v>32</v>
      </c>
      <c r="F187" s="12">
        <v>45291</v>
      </c>
      <c r="G187" s="3">
        <v>2023</v>
      </c>
      <c r="H187" s="3" t="s">
        <v>44</v>
      </c>
      <c r="I187" s="3" t="s">
        <v>49</v>
      </c>
      <c r="J187" s="3"/>
      <c r="K187" s="3"/>
      <c r="L187" s="3">
        <v>90</v>
      </c>
      <c r="M187" s="3"/>
      <c r="N187" s="3"/>
      <c r="O187" s="3" t="s">
        <v>284</v>
      </c>
      <c r="P187" s="3" t="s">
        <v>58</v>
      </c>
      <c r="Q187" s="3" t="str">
        <f t="shared" si="21"/>
        <v>200-2023-12-31</v>
      </c>
      <c r="R187" s="3">
        <v>0</v>
      </c>
      <c r="S187" s="3">
        <v>0</v>
      </c>
      <c r="T187" s="3" t="s">
        <v>443</v>
      </c>
      <c r="U187" s="3" t="s">
        <v>37</v>
      </c>
      <c r="V187" s="3" t="s">
        <v>130</v>
      </c>
      <c r="W187" s="3" t="s">
        <v>60</v>
      </c>
      <c r="X187" s="3" t="s">
        <v>100</v>
      </c>
      <c r="Y187" s="3" t="s">
        <v>133</v>
      </c>
      <c r="Z187" s="3" t="s">
        <v>134</v>
      </c>
      <c r="AA187" s="3" t="s">
        <v>135</v>
      </c>
      <c r="AB187" s="3" t="s">
        <v>43</v>
      </c>
      <c r="AC187" s="3" t="s">
        <v>66</v>
      </c>
      <c r="AD187" s="3">
        <v>0</v>
      </c>
    </row>
    <row r="188" spans="1:30" x14ac:dyDescent="0.3">
      <c r="A188" s="3">
        <v>200</v>
      </c>
      <c r="B188" s="3" t="s">
        <v>129</v>
      </c>
      <c r="C188" s="3" t="s">
        <v>130</v>
      </c>
      <c r="D188" s="3" t="s">
        <v>66</v>
      </c>
      <c r="E188" s="3" t="s">
        <v>32</v>
      </c>
      <c r="F188" s="12">
        <v>45657</v>
      </c>
      <c r="G188" s="3">
        <v>2024</v>
      </c>
      <c r="H188" s="3" t="s">
        <v>44</v>
      </c>
      <c r="I188" s="3" t="s">
        <v>53</v>
      </c>
      <c r="J188" s="3">
        <v>2</v>
      </c>
      <c r="K188" s="3">
        <v>80</v>
      </c>
      <c r="L188" s="3">
        <v>87.4</v>
      </c>
      <c r="M188" s="3">
        <f>+L188/K188</f>
        <v>1.0925</v>
      </c>
      <c r="N188" s="3">
        <v>1.0925</v>
      </c>
      <c r="O188" s="3"/>
      <c r="P188" s="3"/>
      <c r="Q188" s="3" t="str">
        <f t="shared" si="21"/>
        <v>200-2024-12-31</v>
      </c>
      <c r="R188" s="3">
        <v>0</v>
      </c>
      <c r="S188" s="3">
        <v>0</v>
      </c>
      <c r="T188" s="3" t="s">
        <v>31</v>
      </c>
      <c r="U188" s="3" t="s">
        <v>37</v>
      </c>
      <c r="V188" s="3" t="s">
        <v>130</v>
      </c>
      <c r="W188" s="3" t="s">
        <v>60</v>
      </c>
      <c r="X188" s="3" t="s">
        <v>100</v>
      </c>
      <c r="Y188" s="3" t="s">
        <v>133</v>
      </c>
      <c r="Z188" s="3" t="s">
        <v>134</v>
      </c>
      <c r="AA188" s="3" t="s">
        <v>135</v>
      </c>
      <c r="AB188" s="3" t="s">
        <v>43</v>
      </c>
      <c r="AC188" s="3" t="s">
        <v>66</v>
      </c>
      <c r="AD188" s="3">
        <v>0</v>
      </c>
    </row>
    <row r="189" spans="1:30" x14ac:dyDescent="0.3">
      <c r="A189" s="3">
        <v>200</v>
      </c>
      <c r="B189" s="3" t="s">
        <v>129</v>
      </c>
      <c r="C189" s="3" t="s">
        <v>130</v>
      </c>
      <c r="D189" s="3" t="s">
        <v>66</v>
      </c>
      <c r="E189" s="3" t="s">
        <v>32</v>
      </c>
      <c r="F189" s="12">
        <v>45657</v>
      </c>
      <c r="G189" s="3">
        <v>2024</v>
      </c>
      <c r="H189" s="3" t="s">
        <v>44</v>
      </c>
      <c r="I189" s="3" t="s">
        <v>53</v>
      </c>
      <c r="J189" s="3"/>
      <c r="K189" s="3">
        <v>80</v>
      </c>
      <c r="L189" s="3">
        <v>87.4</v>
      </c>
      <c r="M189" s="3">
        <f>+L189/K189</f>
        <v>1.0925</v>
      </c>
      <c r="N189" s="3">
        <v>1.0925</v>
      </c>
      <c r="O189" s="3" t="s">
        <v>58</v>
      </c>
      <c r="P189" s="3" t="s">
        <v>58</v>
      </c>
      <c r="Q189" s="3" t="str">
        <f t="shared" si="21"/>
        <v>200-2024-12-31</v>
      </c>
      <c r="R189" s="3">
        <v>0</v>
      </c>
      <c r="S189" s="3">
        <v>1</v>
      </c>
      <c r="T189" s="3" t="s">
        <v>443</v>
      </c>
      <c r="U189" s="3" t="s">
        <v>37</v>
      </c>
      <c r="V189" s="3" t="s">
        <v>130</v>
      </c>
      <c r="W189" s="3" t="s">
        <v>60</v>
      </c>
      <c r="X189" s="3" t="s">
        <v>100</v>
      </c>
      <c r="Y189" s="3" t="s">
        <v>133</v>
      </c>
      <c r="Z189" s="3" t="s">
        <v>134</v>
      </c>
      <c r="AA189" s="3" t="s">
        <v>135</v>
      </c>
      <c r="AB189" s="3" t="s">
        <v>43</v>
      </c>
      <c r="AC189" s="3" t="s">
        <v>66</v>
      </c>
      <c r="AD189" s="3">
        <v>0</v>
      </c>
    </row>
    <row r="190" spans="1:30" x14ac:dyDescent="0.3">
      <c r="A190" s="3">
        <v>200</v>
      </c>
      <c r="B190" s="3" t="s">
        <v>129</v>
      </c>
      <c r="C190" s="3" t="s">
        <v>130</v>
      </c>
      <c r="D190" s="3" t="s">
        <v>66</v>
      </c>
      <c r="E190" s="3" t="s">
        <v>32</v>
      </c>
      <c r="F190" s="12">
        <v>45838</v>
      </c>
      <c r="G190" s="3">
        <v>2025</v>
      </c>
      <c r="H190" s="3" t="s">
        <v>33</v>
      </c>
      <c r="I190" s="3" t="s">
        <v>404</v>
      </c>
      <c r="J190" s="3">
        <v>1</v>
      </c>
      <c r="K190" s="3">
        <v>80</v>
      </c>
      <c r="L190" s="3">
        <v>87.4</v>
      </c>
      <c r="M190" s="3">
        <f>+L190/K190</f>
        <v>1.0925</v>
      </c>
      <c r="N190" s="3">
        <v>1.0925</v>
      </c>
      <c r="O190" s="3" t="s">
        <v>58</v>
      </c>
      <c r="P190" s="3" t="s">
        <v>58</v>
      </c>
      <c r="Q190" s="3" t="str">
        <f t="shared" si="21"/>
        <v>200-2025-06-30</v>
      </c>
      <c r="R190" s="3">
        <v>0</v>
      </c>
      <c r="S190" s="3">
        <v>1</v>
      </c>
      <c r="T190" s="3" t="s">
        <v>31</v>
      </c>
      <c r="U190" s="3" t="s">
        <v>37</v>
      </c>
      <c r="V190" s="3" t="s">
        <v>130</v>
      </c>
      <c r="W190" s="3" t="s">
        <v>60</v>
      </c>
      <c r="X190" s="3" t="s">
        <v>100</v>
      </c>
      <c r="Y190" s="3" t="s">
        <v>133</v>
      </c>
      <c r="Z190" s="3" t="s">
        <v>134</v>
      </c>
      <c r="AA190" s="3" t="s">
        <v>135</v>
      </c>
      <c r="AB190" s="3" t="s">
        <v>43</v>
      </c>
      <c r="AC190" s="3" t="s">
        <v>66</v>
      </c>
      <c r="AD190" s="3">
        <v>0</v>
      </c>
    </row>
    <row r="191" spans="1:30" x14ac:dyDescent="0.3">
      <c r="A191" s="3">
        <v>202</v>
      </c>
      <c r="B191" s="3" t="s">
        <v>137</v>
      </c>
      <c r="C191" s="3" t="s">
        <v>130</v>
      </c>
      <c r="D191" s="3" t="s">
        <v>66</v>
      </c>
      <c r="E191" s="3" t="s">
        <v>32</v>
      </c>
      <c r="F191" s="12">
        <v>43100</v>
      </c>
      <c r="G191" s="3">
        <f t="shared" ref="G191:G196" si="28">YEAR(F191)</f>
        <v>2017</v>
      </c>
      <c r="H191" s="3" t="str">
        <f t="shared" ref="H191:H196" si="29">PROPER(TEXT(F191,"mmmm"))</f>
        <v>Diciembre</v>
      </c>
      <c r="I191" s="3" t="str">
        <f t="shared" ref="I191:I196" si="30">IF(H191="Junio",G191&amp;"-1",G191&amp;"-2")</f>
        <v>2017-2</v>
      </c>
      <c r="J191" s="3"/>
      <c r="K191" s="3"/>
      <c r="L191" s="3">
        <v>64.400000000000006</v>
      </c>
      <c r="M191" s="3"/>
      <c r="N191" s="3"/>
      <c r="O191" s="3" t="s">
        <v>245</v>
      </c>
      <c r="P191" s="3" t="s">
        <v>245</v>
      </c>
      <c r="Q191" s="3" t="str">
        <f t="shared" si="21"/>
        <v>202-2017-12-31</v>
      </c>
      <c r="R191" s="3">
        <v>1</v>
      </c>
      <c r="S191" s="3">
        <v>1</v>
      </c>
      <c r="T191" s="3" t="s">
        <v>31</v>
      </c>
      <c r="U191" s="3" t="s">
        <v>37</v>
      </c>
      <c r="V191" s="3" t="s">
        <v>130</v>
      </c>
      <c r="W191" s="3" t="s">
        <v>60</v>
      </c>
      <c r="X191" s="3" t="s">
        <v>100</v>
      </c>
      <c r="Y191" s="3" t="s">
        <v>139</v>
      </c>
      <c r="Z191" s="3" t="s">
        <v>63</v>
      </c>
      <c r="AA191" s="3" t="s">
        <v>115</v>
      </c>
      <c r="AB191" s="3" t="s">
        <v>43</v>
      </c>
      <c r="AC191" s="3" t="s">
        <v>66</v>
      </c>
      <c r="AD191" s="3">
        <v>0</v>
      </c>
    </row>
    <row r="192" spans="1:30" x14ac:dyDescent="0.3">
      <c r="A192" s="3">
        <v>202</v>
      </c>
      <c r="B192" s="3" t="s">
        <v>137</v>
      </c>
      <c r="C192" s="3" t="s">
        <v>130</v>
      </c>
      <c r="D192" s="3" t="s">
        <v>66</v>
      </c>
      <c r="E192" s="3" t="s">
        <v>32</v>
      </c>
      <c r="F192" s="12">
        <v>43100</v>
      </c>
      <c r="G192" s="3">
        <f t="shared" si="28"/>
        <v>2017</v>
      </c>
      <c r="H192" s="3" t="str">
        <f t="shared" si="29"/>
        <v>Diciembre</v>
      </c>
      <c r="I192" s="3" t="str">
        <f t="shared" si="30"/>
        <v>2017-2</v>
      </c>
      <c r="J192" s="3">
        <v>2</v>
      </c>
      <c r="K192" s="3"/>
      <c r="L192" s="3">
        <v>64.400000000000006</v>
      </c>
      <c r="M192" s="3"/>
      <c r="N192" s="3"/>
      <c r="O192" s="3" t="s">
        <v>245</v>
      </c>
      <c r="P192" s="3" t="s">
        <v>245</v>
      </c>
      <c r="Q192" s="3" t="str">
        <f t="shared" si="21"/>
        <v>202-2017-12-31</v>
      </c>
      <c r="R192" s="3">
        <v>1</v>
      </c>
      <c r="S192" s="3">
        <v>1</v>
      </c>
      <c r="T192" s="3" t="s">
        <v>31</v>
      </c>
      <c r="U192" s="3" t="s">
        <v>37</v>
      </c>
      <c r="V192" s="3" t="s">
        <v>130</v>
      </c>
      <c r="W192" s="3" t="s">
        <v>60</v>
      </c>
      <c r="X192" s="3" t="s">
        <v>100</v>
      </c>
      <c r="Y192" s="3" t="s">
        <v>139</v>
      </c>
      <c r="Z192" s="3" t="s">
        <v>63</v>
      </c>
      <c r="AA192" s="3" t="s">
        <v>115</v>
      </c>
      <c r="AB192" s="3" t="s">
        <v>43</v>
      </c>
      <c r="AC192" s="3" t="s">
        <v>66</v>
      </c>
      <c r="AD192" s="3">
        <v>0</v>
      </c>
    </row>
    <row r="193" spans="1:30" x14ac:dyDescent="0.3">
      <c r="A193" s="3">
        <v>202</v>
      </c>
      <c r="B193" s="3" t="s">
        <v>137</v>
      </c>
      <c r="C193" s="3" t="s">
        <v>130</v>
      </c>
      <c r="D193" s="3" t="s">
        <v>66</v>
      </c>
      <c r="E193" s="3" t="s">
        <v>32</v>
      </c>
      <c r="F193" s="12">
        <v>43830</v>
      </c>
      <c r="G193" s="3">
        <f t="shared" si="28"/>
        <v>2019</v>
      </c>
      <c r="H193" s="3" t="str">
        <f t="shared" si="29"/>
        <v>Diciembre</v>
      </c>
      <c r="I193" s="3" t="str">
        <f t="shared" si="30"/>
        <v>2019-2</v>
      </c>
      <c r="J193" s="3">
        <v>2</v>
      </c>
      <c r="K193" s="3"/>
      <c r="L193" s="3">
        <v>77.099999999999994</v>
      </c>
      <c r="M193" s="3"/>
      <c r="N193" s="3"/>
      <c r="O193" s="3" t="s">
        <v>245</v>
      </c>
      <c r="P193" s="3" t="s">
        <v>245</v>
      </c>
      <c r="Q193" s="3" t="str">
        <f t="shared" si="21"/>
        <v>202-2019-12-31</v>
      </c>
      <c r="R193" s="3">
        <v>1</v>
      </c>
      <c r="S193" s="3">
        <v>1</v>
      </c>
      <c r="T193" s="3" t="s">
        <v>31</v>
      </c>
      <c r="U193" s="3" t="s">
        <v>37</v>
      </c>
      <c r="V193" s="3" t="s">
        <v>130</v>
      </c>
      <c r="W193" s="3" t="s">
        <v>60</v>
      </c>
      <c r="X193" s="3" t="s">
        <v>100</v>
      </c>
      <c r="Y193" s="3" t="s">
        <v>139</v>
      </c>
      <c r="Z193" s="3" t="s">
        <v>63</v>
      </c>
      <c r="AA193" s="3" t="s">
        <v>115</v>
      </c>
      <c r="AB193" s="3" t="s">
        <v>43</v>
      </c>
      <c r="AC193" s="3" t="s">
        <v>66</v>
      </c>
      <c r="AD193" s="3">
        <v>0</v>
      </c>
    </row>
    <row r="194" spans="1:30" x14ac:dyDescent="0.3">
      <c r="A194" s="3">
        <v>202</v>
      </c>
      <c r="B194" s="3" t="s">
        <v>137</v>
      </c>
      <c r="C194" s="3" t="s">
        <v>130</v>
      </c>
      <c r="D194" s="3" t="s">
        <v>66</v>
      </c>
      <c r="E194" s="3" t="s">
        <v>32</v>
      </c>
      <c r="F194" s="12">
        <v>43830</v>
      </c>
      <c r="G194" s="3">
        <f t="shared" si="28"/>
        <v>2019</v>
      </c>
      <c r="H194" s="3" t="str">
        <f t="shared" si="29"/>
        <v>Diciembre</v>
      </c>
      <c r="I194" s="3" t="str">
        <f t="shared" si="30"/>
        <v>2019-2</v>
      </c>
      <c r="J194" s="3"/>
      <c r="K194" s="3"/>
      <c r="L194" s="3">
        <v>77.099999999999994</v>
      </c>
      <c r="M194" s="3"/>
      <c r="N194" s="3"/>
      <c r="O194" s="3" t="s">
        <v>245</v>
      </c>
      <c r="P194" s="3" t="s">
        <v>245</v>
      </c>
      <c r="Q194" s="3" t="str">
        <f t="shared" si="21"/>
        <v>202-2019-12-31</v>
      </c>
      <c r="R194" s="3">
        <v>1</v>
      </c>
      <c r="S194" s="3">
        <v>1</v>
      </c>
      <c r="T194" s="3" t="s">
        <v>31</v>
      </c>
      <c r="U194" s="3" t="s">
        <v>37</v>
      </c>
      <c r="V194" s="3" t="s">
        <v>130</v>
      </c>
      <c r="W194" s="3" t="s">
        <v>60</v>
      </c>
      <c r="X194" s="3" t="s">
        <v>100</v>
      </c>
      <c r="Y194" s="3" t="s">
        <v>139</v>
      </c>
      <c r="Z194" s="3" t="s">
        <v>63</v>
      </c>
      <c r="AA194" s="3" t="s">
        <v>115</v>
      </c>
      <c r="AB194" s="3" t="s">
        <v>43</v>
      </c>
      <c r="AC194" s="3" t="s">
        <v>66</v>
      </c>
      <c r="AD194" s="3">
        <v>0</v>
      </c>
    </row>
    <row r="195" spans="1:30" x14ac:dyDescent="0.3">
      <c r="A195" s="3">
        <v>202</v>
      </c>
      <c r="B195" s="3" t="s">
        <v>137</v>
      </c>
      <c r="C195" s="3" t="s">
        <v>130</v>
      </c>
      <c r="D195" s="3" t="s">
        <v>66</v>
      </c>
      <c r="E195" s="3" t="s">
        <v>32</v>
      </c>
      <c r="F195" s="12">
        <v>44561</v>
      </c>
      <c r="G195" s="3">
        <f t="shared" si="28"/>
        <v>2021</v>
      </c>
      <c r="H195" s="3" t="str">
        <f t="shared" si="29"/>
        <v>Diciembre</v>
      </c>
      <c r="I195" s="3" t="str">
        <f t="shared" si="30"/>
        <v>2021-2</v>
      </c>
      <c r="J195" s="3">
        <v>2</v>
      </c>
      <c r="K195" s="3"/>
      <c r="L195" s="3">
        <v>61.7</v>
      </c>
      <c r="M195" s="3"/>
      <c r="N195" s="3"/>
      <c r="O195" s="3" t="s">
        <v>245</v>
      </c>
      <c r="P195" s="3" t="s">
        <v>245</v>
      </c>
      <c r="Q195" s="3" t="str">
        <f t="shared" ref="Q195:Q258" si="31">A195&amp;"-"&amp;YEAR(F195)&amp;"-"&amp;IF(LEN(MONTH(F195))=1,"0"&amp;MONTH(F195),MONTH(F195))&amp;"-"&amp;IF(LEN(DAY(F195))=1,"0"&amp;DAY(F195),DAY(F195))</f>
        <v>202-2021-12-31</v>
      </c>
      <c r="R195" s="3">
        <v>1</v>
      </c>
      <c r="S195" s="3">
        <v>1</v>
      </c>
      <c r="T195" s="3" t="s">
        <v>31</v>
      </c>
      <c r="U195" s="3" t="s">
        <v>37</v>
      </c>
      <c r="V195" s="3" t="s">
        <v>130</v>
      </c>
      <c r="W195" s="3" t="s">
        <v>60</v>
      </c>
      <c r="X195" s="3" t="s">
        <v>100</v>
      </c>
      <c r="Y195" s="3" t="s">
        <v>139</v>
      </c>
      <c r="Z195" s="3" t="s">
        <v>63</v>
      </c>
      <c r="AA195" s="3" t="s">
        <v>115</v>
      </c>
      <c r="AB195" s="3" t="s">
        <v>43</v>
      </c>
      <c r="AC195" s="3" t="s">
        <v>66</v>
      </c>
      <c r="AD195" s="3">
        <v>0</v>
      </c>
    </row>
    <row r="196" spans="1:30" x14ac:dyDescent="0.3">
      <c r="A196" s="3">
        <v>202</v>
      </c>
      <c r="B196" s="3" t="s">
        <v>137</v>
      </c>
      <c r="C196" s="3" t="s">
        <v>130</v>
      </c>
      <c r="D196" s="3" t="s">
        <v>66</v>
      </c>
      <c r="E196" s="3" t="s">
        <v>32</v>
      </c>
      <c r="F196" s="12">
        <v>44561</v>
      </c>
      <c r="G196" s="3">
        <f t="shared" si="28"/>
        <v>2021</v>
      </c>
      <c r="H196" s="3" t="str">
        <f t="shared" si="29"/>
        <v>Diciembre</v>
      </c>
      <c r="I196" s="3" t="str">
        <f t="shared" si="30"/>
        <v>2021-2</v>
      </c>
      <c r="J196" s="3"/>
      <c r="K196" s="3"/>
      <c r="L196" s="3">
        <v>61.7</v>
      </c>
      <c r="M196" s="3"/>
      <c r="N196" s="3"/>
      <c r="O196" s="3" t="s">
        <v>245</v>
      </c>
      <c r="P196" s="3" t="s">
        <v>245</v>
      </c>
      <c r="Q196" s="3" t="str">
        <f t="shared" si="31"/>
        <v>202-2021-12-31</v>
      </c>
      <c r="R196" s="3">
        <v>1</v>
      </c>
      <c r="S196" s="3">
        <v>1</v>
      </c>
      <c r="T196" s="3" t="s">
        <v>31</v>
      </c>
      <c r="U196" s="3" t="s">
        <v>37</v>
      </c>
      <c r="V196" s="3" t="s">
        <v>130</v>
      </c>
      <c r="W196" s="3" t="s">
        <v>60</v>
      </c>
      <c r="X196" s="3" t="s">
        <v>100</v>
      </c>
      <c r="Y196" s="3" t="s">
        <v>139</v>
      </c>
      <c r="Z196" s="3" t="s">
        <v>63</v>
      </c>
      <c r="AA196" s="3" t="s">
        <v>115</v>
      </c>
      <c r="AB196" s="3" t="s">
        <v>43</v>
      </c>
      <c r="AC196" s="3" t="s">
        <v>66</v>
      </c>
      <c r="AD196" s="3">
        <v>0</v>
      </c>
    </row>
    <row r="197" spans="1:30" x14ac:dyDescent="0.3">
      <c r="A197" s="3">
        <v>202</v>
      </c>
      <c r="B197" s="3" t="s">
        <v>137</v>
      </c>
      <c r="C197" s="3" t="s">
        <v>130</v>
      </c>
      <c r="D197" s="3" t="s">
        <v>66</v>
      </c>
      <c r="E197" s="3" t="s">
        <v>32</v>
      </c>
      <c r="F197" s="12">
        <v>45291</v>
      </c>
      <c r="G197" s="3">
        <v>2023</v>
      </c>
      <c r="H197" s="3" t="s">
        <v>44</v>
      </c>
      <c r="I197" s="3" t="s">
        <v>49</v>
      </c>
      <c r="J197" s="3">
        <v>2</v>
      </c>
      <c r="K197" s="3">
        <v>66</v>
      </c>
      <c r="L197" s="3">
        <v>64.7</v>
      </c>
      <c r="M197" s="3">
        <f>+L197/K197</f>
        <v>0.98030303030303034</v>
      </c>
      <c r="N197" s="3">
        <f>+L197/K197</f>
        <v>0.98030303030303034</v>
      </c>
      <c r="O197" s="3" t="s">
        <v>35</v>
      </c>
      <c r="P197" s="3" t="s">
        <v>245</v>
      </c>
      <c r="Q197" s="3" t="str">
        <f t="shared" si="31"/>
        <v>202-2023-12-31</v>
      </c>
      <c r="R197" s="3">
        <v>1</v>
      </c>
      <c r="S197" s="3">
        <v>1</v>
      </c>
      <c r="T197" s="3" t="s">
        <v>31</v>
      </c>
      <c r="U197" s="3" t="s">
        <v>37</v>
      </c>
      <c r="V197" s="3" t="s">
        <v>130</v>
      </c>
      <c r="W197" s="3" t="s">
        <v>60</v>
      </c>
      <c r="X197" s="3" t="s">
        <v>100</v>
      </c>
      <c r="Y197" s="3" t="s">
        <v>139</v>
      </c>
      <c r="Z197" s="3" t="s">
        <v>63</v>
      </c>
      <c r="AA197" s="3" t="s">
        <v>115</v>
      </c>
      <c r="AB197" s="3" t="s">
        <v>43</v>
      </c>
      <c r="AC197" s="3" t="s">
        <v>66</v>
      </c>
      <c r="AD197" s="3">
        <v>0</v>
      </c>
    </row>
    <row r="198" spans="1:30" x14ac:dyDescent="0.3">
      <c r="A198" s="3">
        <v>202</v>
      </c>
      <c r="B198" s="3" t="s">
        <v>137</v>
      </c>
      <c r="C198" s="3" t="s">
        <v>130</v>
      </c>
      <c r="D198" s="3" t="s">
        <v>66</v>
      </c>
      <c r="E198" s="3" t="s">
        <v>32</v>
      </c>
      <c r="F198" s="12">
        <v>45291</v>
      </c>
      <c r="G198" s="3">
        <v>2023</v>
      </c>
      <c r="H198" s="3" t="s">
        <v>44</v>
      </c>
      <c r="I198" s="3" t="s">
        <v>49</v>
      </c>
      <c r="J198" s="3"/>
      <c r="K198" s="3">
        <v>66</v>
      </c>
      <c r="L198" s="3">
        <v>64.7</v>
      </c>
      <c r="M198" s="3">
        <f>+L198/K198</f>
        <v>0.98030303030303034</v>
      </c>
      <c r="N198" s="3">
        <f>+L198/K198</f>
        <v>0.98030303030303034</v>
      </c>
      <c r="O198" s="3" t="s">
        <v>35</v>
      </c>
      <c r="P198" s="3" t="s">
        <v>245</v>
      </c>
      <c r="Q198" s="3" t="str">
        <f t="shared" si="31"/>
        <v>202-2023-12-31</v>
      </c>
      <c r="R198" s="3">
        <v>1</v>
      </c>
      <c r="S198" s="3">
        <v>1</v>
      </c>
      <c r="T198" s="3" t="s">
        <v>443</v>
      </c>
      <c r="U198" s="3" t="s">
        <v>37</v>
      </c>
      <c r="V198" s="3" t="s">
        <v>130</v>
      </c>
      <c r="W198" s="3" t="s">
        <v>60</v>
      </c>
      <c r="X198" s="3" t="s">
        <v>100</v>
      </c>
      <c r="Y198" s="3" t="s">
        <v>139</v>
      </c>
      <c r="Z198" s="3" t="s">
        <v>63</v>
      </c>
      <c r="AA198" s="3" t="s">
        <v>115</v>
      </c>
      <c r="AB198" s="3" t="s">
        <v>43</v>
      </c>
      <c r="AC198" s="3" t="s">
        <v>66</v>
      </c>
      <c r="AD198" s="3">
        <v>0</v>
      </c>
    </row>
    <row r="199" spans="1:30" x14ac:dyDescent="0.3">
      <c r="A199" s="3">
        <v>202</v>
      </c>
      <c r="B199" s="3" t="s">
        <v>137</v>
      </c>
      <c r="C199" s="3" t="s">
        <v>130</v>
      </c>
      <c r="D199" s="3" t="s">
        <v>66</v>
      </c>
      <c r="E199" s="3" t="s">
        <v>32</v>
      </c>
      <c r="F199" s="12">
        <v>45838</v>
      </c>
      <c r="G199" s="3">
        <v>2025</v>
      </c>
      <c r="H199" s="3" t="s">
        <v>44</v>
      </c>
      <c r="I199" s="3" t="s">
        <v>465</v>
      </c>
      <c r="J199" s="3">
        <v>2</v>
      </c>
      <c r="K199" s="3">
        <v>68.7</v>
      </c>
      <c r="L199" s="3">
        <v>81</v>
      </c>
      <c r="M199" s="3">
        <f>+L199/K199</f>
        <v>1.1790393013100435</v>
      </c>
      <c r="N199" s="3">
        <f>+L199/K199</f>
        <v>1.1790393013100435</v>
      </c>
      <c r="O199" s="3" t="s">
        <v>245</v>
      </c>
      <c r="P199" s="3" t="s">
        <v>35</v>
      </c>
      <c r="Q199" s="3" t="str">
        <f t="shared" si="31"/>
        <v>202-2025-06-30</v>
      </c>
      <c r="R199" s="3">
        <v>1</v>
      </c>
      <c r="S199" s="3">
        <v>1</v>
      </c>
      <c r="T199" s="3" t="s">
        <v>31</v>
      </c>
      <c r="U199" s="3" t="s">
        <v>37</v>
      </c>
      <c r="V199" s="3" t="s">
        <v>130</v>
      </c>
      <c r="W199" s="3" t="s">
        <v>60</v>
      </c>
      <c r="X199" s="3" t="s">
        <v>100</v>
      </c>
      <c r="Y199" s="3" t="s">
        <v>139</v>
      </c>
      <c r="Z199" s="3" t="s">
        <v>63</v>
      </c>
      <c r="AA199" s="3" t="s">
        <v>115</v>
      </c>
      <c r="AB199" s="3" t="s">
        <v>43</v>
      </c>
      <c r="AC199" s="3" t="s">
        <v>66</v>
      </c>
      <c r="AD199" s="3">
        <v>0</v>
      </c>
    </row>
    <row r="200" spans="1:30" x14ac:dyDescent="0.3">
      <c r="A200" s="3">
        <v>202</v>
      </c>
      <c r="B200" s="3" t="s">
        <v>137</v>
      </c>
      <c r="C200" s="3" t="s">
        <v>130</v>
      </c>
      <c r="D200" s="3" t="s">
        <v>66</v>
      </c>
      <c r="E200" s="3" t="s">
        <v>32</v>
      </c>
      <c r="F200" s="12">
        <v>46022</v>
      </c>
      <c r="G200" s="3">
        <v>2025</v>
      </c>
      <c r="H200" s="3" t="s">
        <v>44</v>
      </c>
      <c r="I200" s="3" t="s">
        <v>465</v>
      </c>
      <c r="J200" s="3"/>
      <c r="K200" s="3">
        <v>68.7</v>
      </c>
      <c r="L200" s="3">
        <v>81</v>
      </c>
      <c r="M200" s="3">
        <f>+L200/K200</f>
        <v>1.1790393013100435</v>
      </c>
      <c r="N200" s="3">
        <f>+L200/K200</f>
        <v>1.1790393013100435</v>
      </c>
      <c r="O200" s="3" t="s">
        <v>245</v>
      </c>
      <c r="P200" s="3" t="s">
        <v>35</v>
      </c>
      <c r="Q200" s="3" t="str">
        <f t="shared" si="31"/>
        <v>202-2025-12-31</v>
      </c>
      <c r="R200" s="3">
        <v>1</v>
      </c>
      <c r="S200" s="3">
        <v>1</v>
      </c>
      <c r="T200" s="3" t="s">
        <v>443</v>
      </c>
      <c r="U200" s="3" t="s">
        <v>37</v>
      </c>
      <c r="V200" s="3" t="s">
        <v>130</v>
      </c>
      <c r="W200" s="3" t="s">
        <v>60</v>
      </c>
      <c r="X200" s="3" t="s">
        <v>100</v>
      </c>
      <c r="Y200" s="3" t="s">
        <v>139</v>
      </c>
      <c r="Z200" s="3" t="s">
        <v>63</v>
      </c>
      <c r="AA200" s="3" t="s">
        <v>115</v>
      </c>
      <c r="AB200" s="3" t="s">
        <v>43</v>
      </c>
      <c r="AC200" s="3" t="s">
        <v>66</v>
      </c>
      <c r="AD200" s="3">
        <v>0</v>
      </c>
    </row>
    <row r="201" spans="1:30" x14ac:dyDescent="0.3">
      <c r="A201" s="3">
        <v>203</v>
      </c>
      <c r="B201" s="3" t="s">
        <v>141</v>
      </c>
      <c r="C201" s="3" t="s">
        <v>142</v>
      </c>
      <c r="D201" s="3" t="s">
        <v>31</v>
      </c>
      <c r="E201" s="3" t="s">
        <v>32</v>
      </c>
      <c r="F201" s="12">
        <v>44742</v>
      </c>
      <c r="G201" s="3">
        <v>2022</v>
      </c>
      <c r="H201" s="3" t="s">
        <v>33</v>
      </c>
      <c r="I201" s="3" t="s">
        <v>34</v>
      </c>
      <c r="J201" s="3">
        <v>1</v>
      </c>
      <c r="K201" s="3">
        <v>113672</v>
      </c>
      <c r="L201" s="3">
        <v>119144</v>
      </c>
      <c r="M201" s="3">
        <f t="shared" ref="M201:M210" si="32">+L201/K201</f>
        <v>1.0481385037652193</v>
      </c>
      <c r="N201" s="3">
        <f>+L201/K201</f>
        <v>1.0481385037652193</v>
      </c>
      <c r="O201" s="3" t="s">
        <v>143</v>
      </c>
      <c r="P201" s="3" t="s">
        <v>143</v>
      </c>
      <c r="Q201" s="3" t="str">
        <f t="shared" si="31"/>
        <v>203-2022-06-30</v>
      </c>
      <c r="R201" s="3">
        <v>0</v>
      </c>
      <c r="S201" s="3">
        <v>0</v>
      </c>
      <c r="T201" s="3" t="s">
        <v>31</v>
      </c>
      <c r="U201" s="3" t="s">
        <v>37</v>
      </c>
      <c r="V201" s="3" t="s">
        <v>142</v>
      </c>
      <c r="W201" s="3" t="s">
        <v>145</v>
      </c>
      <c r="X201" s="3" t="s">
        <v>146</v>
      </c>
      <c r="Y201" s="3" t="s">
        <v>147</v>
      </c>
      <c r="Z201" s="3" t="s">
        <v>63</v>
      </c>
      <c r="AA201" s="3" t="s">
        <v>148</v>
      </c>
      <c r="AB201" s="3" t="s">
        <v>78</v>
      </c>
      <c r="AC201" s="3" t="s">
        <v>66</v>
      </c>
      <c r="AD201" s="3">
        <v>0</v>
      </c>
    </row>
    <row r="202" spans="1:30" x14ac:dyDescent="0.3">
      <c r="A202" s="3">
        <v>203</v>
      </c>
      <c r="B202" s="3" t="s">
        <v>141</v>
      </c>
      <c r="C202" s="3" t="s">
        <v>142</v>
      </c>
      <c r="D202" s="3" t="s">
        <v>31</v>
      </c>
      <c r="E202" s="3" t="s">
        <v>32</v>
      </c>
      <c r="F202" s="12">
        <v>44926</v>
      </c>
      <c r="G202" s="3">
        <v>2022</v>
      </c>
      <c r="H202" s="3" t="s">
        <v>44</v>
      </c>
      <c r="I202" s="3" t="s">
        <v>45</v>
      </c>
      <c r="J202" s="3">
        <v>2</v>
      </c>
      <c r="K202" s="3">
        <v>110768</v>
      </c>
      <c r="L202" s="3">
        <v>121738</v>
      </c>
      <c r="M202" s="3">
        <f t="shared" si="32"/>
        <v>1.0990358226202512</v>
      </c>
      <c r="N202" s="3">
        <f t="shared" ref="N202:N210" si="33">+L202/K202</f>
        <v>1.0990358226202512</v>
      </c>
      <c r="O202" s="3" t="s">
        <v>143</v>
      </c>
      <c r="P202" s="3" t="s">
        <v>143</v>
      </c>
      <c r="Q202" s="3" t="str">
        <f t="shared" si="31"/>
        <v>203-2022-12-31</v>
      </c>
      <c r="R202" s="3">
        <v>0</v>
      </c>
      <c r="S202" s="3">
        <v>0</v>
      </c>
      <c r="T202" s="3" t="s">
        <v>31</v>
      </c>
      <c r="U202" s="3" t="s">
        <v>37</v>
      </c>
      <c r="V202" s="3" t="s">
        <v>142</v>
      </c>
      <c r="W202" s="3" t="s">
        <v>145</v>
      </c>
      <c r="X202" s="3" t="s">
        <v>146</v>
      </c>
      <c r="Y202" s="3" t="s">
        <v>147</v>
      </c>
      <c r="Z202" s="3" t="s">
        <v>63</v>
      </c>
      <c r="AA202" s="3" t="s">
        <v>148</v>
      </c>
      <c r="AB202" s="3" t="s">
        <v>78</v>
      </c>
      <c r="AC202" s="3" t="s">
        <v>66</v>
      </c>
      <c r="AD202" s="3">
        <v>0</v>
      </c>
    </row>
    <row r="203" spans="1:30" x14ac:dyDescent="0.3">
      <c r="A203" s="3">
        <v>203</v>
      </c>
      <c r="B203" s="3" t="s">
        <v>141</v>
      </c>
      <c r="C203" s="3" t="s">
        <v>142</v>
      </c>
      <c r="D203" s="3" t="s">
        <v>31</v>
      </c>
      <c r="E203" s="3" t="s">
        <v>32</v>
      </c>
      <c r="F203" s="12">
        <v>44926</v>
      </c>
      <c r="G203" s="3">
        <v>2022</v>
      </c>
      <c r="H203" s="3" t="s">
        <v>44</v>
      </c>
      <c r="I203" s="3" t="s">
        <v>45</v>
      </c>
      <c r="J203" s="3"/>
      <c r="K203" s="3">
        <v>224440</v>
      </c>
      <c r="L203" s="3">
        <v>241706</v>
      </c>
      <c r="M203" s="3">
        <f t="shared" si="32"/>
        <v>1.0769292461236857</v>
      </c>
      <c r="N203" s="3">
        <f t="shared" si="33"/>
        <v>1.0769292461236857</v>
      </c>
      <c r="O203" s="3" t="s">
        <v>143</v>
      </c>
      <c r="P203" s="3" t="s">
        <v>143</v>
      </c>
      <c r="Q203" s="3" t="str">
        <f t="shared" si="31"/>
        <v>203-2022-12-31</v>
      </c>
      <c r="R203" s="3">
        <v>0</v>
      </c>
      <c r="S203" s="3">
        <v>0</v>
      </c>
      <c r="T203" s="3" t="s">
        <v>443</v>
      </c>
      <c r="U203" s="3" t="s">
        <v>37</v>
      </c>
      <c r="V203" s="3" t="s">
        <v>142</v>
      </c>
      <c r="W203" s="3" t="s">
        <v>145</v>
      </c>
      <c r="X203" s="3" t="s">
        <v>146</v>
      </c>
      <c r="Y203" s="3" t="s">
        <v>147</v>
      </c>
      <c r="Z203" s="3" t="s">
        <v>63</v>
      </c>
      <c r="AA203" s="3" t="s">
        <v>148</v>
      </c>
      <c r="AB203" s="3" t="s">
        <v>78</v>
      </c>
      <c r="AC203" s="3" t="s">
        <v>66</v>
      </c>
      <c r="AD203" s="3">
        <v>0</v>
      </c>
    </row>
    <row r="204" spans="1:30" x14ac:dyDescent="0.3">
      <c r="A204" s="3">
        <v>203</v>
      </c>
      <c r="B204" s="3" t="s">
        <v>141</v>
      </c>
      <c r="C204" s="3" t="s">
        <v>142</v>
      </c>
      <c r="D204" s="3" t="s">
        <v>31</v>
      </c>
      <c r="E204" s="3" t="s">
        <v>32</v>
      </c>
      <c r="F204" s="12">
        <v>45107</v>
      </c>
      <c r="G204" s="3">
        <v>2023</v>
      </c>
      <c r="H204" s="3" t="s">
        <v>33</v>
      </c>
      <c r="I204" s="3" t="s">
        <v>47</v>
      </c>
      <c r="J204" s="3">
        <v>1</v>
      </c>
      <c r="K204" s="3">
        <v>123465.69985999999</v>
      </c>
      <c r="L204" s="3">
        <v>129185.069909</v>
      </c>
      <c r="M204" s="3">
        <f t="shared" si="32"/>
        <v>1.0463235542785188</v>
      </c>
      <c r="N204" s="3">
        <f t="shared" si="33"/>
        <v>1.0463235542785188</v>
      </c>
      <c r="O204" s="3" t="s">
        <v>143</v>
      </c>
      <c r="P204" s="3" t="s">
        <v>143</v>
      </c>
      <c r="Q204" s="3" t="str">
        <f t="shared" si="31"/>
        <v>203-2023-06-30</v>
      </c>
      <c r="R204" s="3">
        <v>0</v>
      </c>
      <c r="S204" s="3">
        <v>0</v>
      </c>
      <c r="T204" s="3" t="s">
        <v>31</v>
      </c>
      <c r="U204" s="3" t="s">
        <v>37</v>
      </c>
      <c r="V204" s="3" t="s">
        <v>142</v>
      </c>
      <c r="W204" s="3" t="s">
        <v>145</v>
      </c>
      <c r="X204" s="3" t="s">
        <v>146</v>
      </c>
      <c r="Y204" s="3" t="s">
        <v>147</v>
      </c>
      <c r="Z204" s="3" t="s">
        <v>63</v>
      </c>
      <c r="AA204" s="3" t="s">
        <v>148</v>
      </c>
      <c r="AB204" s="3" t="s">
        <v>78</v>
      </c>
      <c r="AC204" s="3" t="s">
        <v>66</v>
      </c>
      <c r="AD204" s="3">
        <v>0</v>
      </c>
    </row>
    <row r="205" spans="1:30" x14ac:dyDescent="0.3">
      <c r="A205" s="3">
        <v>203</v>
      </c>
      <c r="B205" s="3" t="s">
        <v>141</v>
      </c>
      <c r="C205" s="3" t="s">
        <v>142</v>
      </c>
      <c r="D205" s="3" t="s">
        <v>31</v>
      </c>
      <c r="E205" s="3" t="s">
        <v>32</v>
      </c>
      <c r="F205" s="12">
        <v>45291</v>
      </c>
      <c r="G205" s="3">
        <v>2023</v>
      </c>
      <c r="H205" s="3" t="s">
        <v>44</v>
      </c>
      <c r="I205" s="3" t="s">
        <v>49</v>
      </c>
      <c r="J205" s="3">
        <v>2</v>
      </c>
      <c r="K205" s="3">
        <v>141378.739416</v>
      </c>
      <c r="L205" s="3">
        <v>144681.981019</v>
      </c>
      <c r="M205" s="3">
        <f t="shared" si="32"/>
        <v>1.0233644861783664</v>
      </c>
      <c r="N205" s="3">
        <f t="shared" si="33"/>
        <v>1.0233644861783664</v>
      </c>
      <c r="O205" s="3" t="s">
        <v>143</v>
      </c>
      <c r="P205" s="3" t="s">
        <v>143</v>
      </c>
      <c r="Q205" s="3" t="str">
        <f t="shared" si="31"/>
        <v>203-2023-12-31</v>
      </c>
      <c r="R205" s="3">
        <v>0</v>
      </c>
      <c r="S205" s="3">
        <v>0</v>
      </c>
      <c r="T205" s="3" t="s">
        <v>31</v>
      </c>
      <c r="U205" s="3" t="s">
        <v>37</v>
      </c>
      <c r="V205" s="3" t="s">
        <v>142</v>
      </c>
      <c r="W205" s="3" t="s">
        <v>145</v>
      </c>
      <c r="X205" s="3" t="s">
        <v>146</v>
      </c>
      <c r="Y205" s="3" t="s">
        <v>147</v>
      </c>
      <c r="Z205" s="3" t="s">
        <v>63</v>
      </c>
      <c r="AA205" s="3" t="s">
        <v>148</v>
      </c>
      <c r="AB205" s="3" t="s">
        <v>78</v>
      </c>
      <c r="AC205" s="3" t="s">
        <v>66</v>
      </c>
      <c r="AD205" s="3">
        <v>0</v>
      </c>
    </row>
    <row r="206" spans="1:30" x14ac:dyDescent="0.3">
      <c r="A206" s="3">
        <v>203</v>
      </c>
      <c r="B206" s="3" t="s">
        <v>141</v>
      </c>
      <c r="C206" s="3" t="s">
        <v>142</v>
      </c>
      <c r="D206" s="3" t="s">
        <v>31</v>
      </c>
      <c r="E206" s="3" t="s">
        <v>32</v>
      </c>
      <c r="F206" s="12">
        <v>45291</v>
      </c>
      <c r="G206" s="3">
        <v>2023</v>
      </c>
      <c r="H206" s="3" t="s">
        <v>44</v>
      </c>
      <c r="I206" s="3" t="s">
        <v>49</v>
      </c>
      <c r="J206" s="3"/>
      <c r="K206" s="3">
        <v>264844.43927600002</v>
      </c>
      <c r="L206" s="3">
        <v>273867.05092800001</v>
      </c>
      <c r="M206" s="3">
        <f t="shared" si="32"/>
        <v>1.0340675895505487</v>
      </c>
      <c r="N206" s="3">
        <f t="shared" si="33"/>
        <v>1.0340675895505487</v>
      </c>
      <c r="O206" s="3" t="s">
        <v>143</v>
      </c>
      <c r="P206" s="3" t="s">
        <v>143</v>
      </c>
      <c r="Q206" s="3" t="str">
        <f t="shared" si="31"/>
        <v>203-2023-12-31</v>
      </c>
      <c r="R206" s="3">
        <v>0</v>
      </c>
      <c r="S206" s="3">
        <v>0</v>
      </c>
      <c r="T206" s="3" t="s">
        <v>443</v>
      </c>
      <c r="U206" s="3" t="s">
        <v>37</v>
      </c>
      <c r="V206" s="3" t="s">
        <v>142</v>
      </c>
      <c r="W206" s="3" t="s">
        <v>145</v>
      </c>
      <c r="X206" s="3" t="s">
        <v>146</v>
      </c>
      <c r="Y206" s="3" t="s">
        <v>147</v>
      </c>
      <c r="Z206" s="3" t="s">
        <v>63</v>
      </c>
      <c r="AA206" s="3" t="s">
        <v>148</v>
      </c>
      <c r="AB206" s="3" t="s">
        <v>78</v>
      </c>
      <c r="AC206" s="3" t="s">
        <v>66</v>
      </c>
      <c r="AD206" s="3">
        <v>0</v>
      </c>
    </row>
    <row r="207" spans="1:30" x14ac:dyDescent="0.3">
      <c r="A207" s="3">
        <v>203</v>
      </c>
      <c r="B207" s="3" t="s">
        <v>141</v>
      </c>
      <c r="C207" s="3" t="s">
        <v>142</v>
      </c>
      <c r="D207" s="3" t="s">
        <v>31</v>
      </c>
      <c r="E207" s="3" t="s">
        <v>32</v>
      </c>
      <c r="F207" s="12">
        <v>45473</v>
      </c>
      <c r="G207" s="3">
        <v>2024</v>
      </c>
      <c r="H207" s="3" t="s">
        <v>33</v>
      </c>
      <c r="I207" s="3" t="s">
        <v>51</v>
      </c>
      <c r="J207" s="3">
        <v>1</v>
      </c>
      <c r="K207" s="3">
        <v>142872.2583337345</v>
      </c>
      <c r="L207" s="3">
        <v>145741.54103414001</v>
      </c>
      <c r="M207" s="3">
        <f t="shared" si="32"/>
        <v>1.0200828539694751</v>
      </c>
      <c r="N207" s="3">
        <f t="shared" si="33"/>
        <v>1.0200828539694751</v>
      </c>
      <c r="O207" s="3" t="s">
        <v>143</v>
      </c>
      <c r="P207" s="3" t="s">
        <v>143</v>
      </c>
      <c r="Q207" s="3" t="str">
        <f t="shared" si="31"/>
        <v>203-2024-06-30</v>
      </c>
      <c r="R207" s="3">
        <v>0</v>
      </c>
      <c r="S207" s="3">
        <v>0</v>
      </c>
      <c r="T207" s="3" t="s">
        <v>31</v>
      </c>
      <c r="U207" s="3" t="s">
        <v>37</v>
      </c>
      <c r="V207" s="3" t="s">
        <v>142</v>
      </c>
      <c r="W207" s="3" t="s">
        <v>145</v>
      </c>
      <c r="X207" s="3" t="s">
        <v>146</v>
      </c>
      <c r="Y207" s="3" t="s">
        <v>147</v>
      </c>
      <c r="Z207" s="3" t="s">
        <v>63</v>
      </c>
      <c r="AA207" s="3" t="s">
        <v>148</v>
      </c>
      <c r="AB207" s="3" t="s">
        <v>78</v>
      </c>
      <c r="AC207" s="3" t="s">
        <v>66</v>
      </c>
      <c r="AD207" s="3">
        <v>0</v>
      </c>
    </row>
    <row r="208" spans="1:30" x14ac:dyDescent="0.3">
      <c r="A208" s="3">
        <v>203</v>
      </c>
      <c r="B208" s="3" t="s">
        <v>141</v>
      </c>
      <c r="C208" s="3" t="s">
        <v>142</v>
      </c>
      <c r="D208" s="3" t="s">
        <v>31</v>
      </c>
      <c r="E208" s="3" t="s">
        <v>32</v>
      </c>
      <c r="F208" s="12">
        <v>45657</v>
      </c>
      <c r="G208" s="3">
        <v>2024</v>
      </c>
      <c r="H208" s="3" t="s">
        <v>44</v>
      </c>
      <c r="I208" s="3" t="s">
        <v>53</v>
      </c>
      <c r="J208" s="3">
        <v>2</v>
      </c>
      <c r="K208" s="3">
        <v>146766.19433692191</v>
      </c>
      <c r="L208" s="3">
        <v>152125.58089486</v>
      </c>
      <c r="M208" s="3">
        <f t="shared" si="32"/>
        <v>1.0365164919765848</v>
      </c>
      <c r="N208" s="3">
        <f t="shared" si="33"/>
        <v>1.0365164919765848</v>
      </c>
      <c r="O208" s="3" t="s">
        <v>143</v>
      </c>
      <c r="P208" s="3" t="s">
        <v>143</v>
      </c>
      <c r="Q208" s="3" t="str">
        <f t="shared" si="31"/>
        <v>203-2024-12-31</v>
      </c>
      <c r="R208" s="3">
        <v>0</v>
      </c>
      <c r="S208" s="3">
        <v>0</v>
      </c>
      <c r="T208" s="3" t="s">
        <v>31</v>
      </c>
      <c r="U208" s="3" t="s">
        <v>37</v>
      </c>
      <c r="V208" s="3" t="s">
        <v>142</v>
      </c>
      <c r="W208" s="3" t="s">
        <v>145</v>
      </c>
      <c r="X208" s="3" t="s">
        <v>146</v>
      </c>
      <c r="Y208" s="3" t="s">
        <v>147</v>
      </c>
      <c r="Z208" s="3" t="s">
        <v>63</v>
      </c>
      <c r="AA208" s="3" t="s">
        <v>148</v>
      </c>
      <c r="AB208" s="3" t="s">
        <v>78</v>
      </c>
      <c r="AC208" s="3" t="s">
        <v>66</v>
      </c>
      <c r="AD208" s="3">
        <v>0</v>
      </c>
    </row>
    <row r="209" spans="1:30" x14ac:dyDescent="0.3">
      <c r="A209" s="3">
        <v>203</v>
      </c>
      <c r="B209" s="3" t="s">
        <v>141</v>
      </c>
      <c r="C209" s="3" t="s">
        <v>142</v>
      </c>
      <c r="D209" s="3" t="s">
        <v>31</v>
      </c>
      <c r="E209" s="3" t="s">
        <v>32</v>
      </c>
      <c r="F209" s="12">
        <v>45657</v>
      </c>
      <c r="G209" s="3">
        <v>2024</v>
      </c>
      <c r="H209" s="3" t="s">
        <v>44</v>
      </c>
      <c r="I209" s="3" t="s">
        <v>53</v>
      </c>
      <c r="J209" s="3"/>
      <c r="K209" s="3">
        <v>289638.45267000003</v>
      </c>
      <c r="L209" s="3">
        <v>297867.12192900002</v>
      </c>
      <c r="M209" s="3">
        <f t="shared" si="32"/>
        <v>1.0284101409296484</v>
      </c>
      <c r="N209" s="3">
        <f t="shared" si="33"/>
        <v>1.0284101409296484</v>
      </c>
      <c r="O209" s="3" t="s">
        <v>143</v>
      </c>
      <c r="P209" s="3" t="s">
        <v>143</v>
      </c>
      <c r="Q209" s="3" t="str">
        <f t="shared" si="31"/>
        <v>203-2024-12-31</v>
      </c>
      <c r="R209" s="3">
        <v>0</v>
      </c>
      <c r="S209" s="3">
        <v>0</v>
      </c>
      <c r="T209" s="3" t="s">
        <v>443</v>
      </c>
      <c r="U209" s="3" t="s">
        <v>37</v>
      </c>
      <c r="V209" s="3" t="s">
        <v>142</v>
      </c>
      <c r="W209" s="3" t="s">
        <v>145</v>
      </c>
      <c r="X209" s="3" t="s">
        <v>146</v>
      </c>
      <c r="Y209" s="3" t="s">
        <v>147</v>
      </c>
      <c r="Z209" s="3" t="s">
        <v>63</v>
      </c>
      <c r="AA209" s="3" t="s">
        <v>148</v>
      </c>
      <c r="AB209" s="3" t="s">
        <v>78</v>
      </c>
      <c r="AC209" s="3" t="s">
        <v>66</v>
      </c>
      <c r="AD209" s="3">
        <v>0</v>
      </c>
    </row>
    <row r="210" spans="1:30" x14ac:dyDescent="0.3">
      <c r="A210" s="3">
        <v>203</v>
      </c>
      <c r="B210" s="3" t="s">
        <v>141</v>
      </c>
      <c r="C210" s="3" t="s">
        <v>142</v>
      </c>
      <c r="D210" s="3" t="s">
        <v>31</v>
      </c>
      <c r="E210" s="3" t="s">
        <v>32</v>
      </c>
      <c r="F210" s="12">
        <v>45838</v>
      </c>
      <c r="G210" s="3">
        <v>2025</v>
      </c>
      <c r="H210" s="3" t="s">
        <v>33</v>
      </c>
      <c r="I210" s="3" t="s">
        <v>404</v>
      </c>
      <c r="J210" s="3">
        <v>1</v>
      </c>
      <c r="K210" s="3">
        <v>149950.76733</v>
      </c>
      <c r="L210" s="3">
        <v>167595.14529690001</v>
      </c>
      <c r="M210" s="3">
        <f t="shared" si="32"/>
        <v>1.1176678071147821</v>
      </c>
      <c r="N210" s="3">
        <f t="shared" si="33"/>
        <v>1.1176678071147821</v>
      </c>
      <c r="O210" s="3" t="s">
        <v>143</v>
      </c>
      <c r="P210" s="3" t="s">
        <v>143</v>
      </c>
      <c r="Q210" s="3" t="str">
        <f t="shared" si="31"/>
        <v>203-2025-06-30</v>
      </c>
      <c r="R210" s="3">
        <v>0</v>
      </c>
      <c r="S210" s="3">
        <v>0</v>
      </c>
      <c r="T210" s="3" t="s">
        <v>31</v>
      </c>
      <c r="U210" s="3" t="s">
        <v>37</v>
      </c>
      <c r="V210" s="3" t="s">
        <v>142</v>
      </c>
      <c r="W210" s="3" t="s">
        <v>145</v>
      </c>
      <c r="X210" s="3" t="s">
        <v>146</v>
      </c>
      <c r="Y210" s="3" t="s">
        <v>147</v>
      </c>
      <c r="Z210" s="3" t="s">
        <v>63</v>
      </c>
      <c r="AA210" s="3" t="s">
        <v>148</v>
      </c>
      <c r="AB210" s="3" t="s">
        <v>78</v>
      </c>
      <c r="AC210" s="3" t="s">
        <v>66</v>
      </c>
      <c r="AD210" s="3">
        <v>0</v>
      </c>
    </row>
    <row r="211" spans="1:30" x14ac:dyDescent="0.3">
      <c r="A211" s="3">
        <v>204</v>
      </c>
      <c r="B211" s="3" t="s">
        <v>154</v>
      </c>
      <c r="C211" s="3" t="s">
        <v>142</v>
      </c>
      <c r="D211" s="3" t="s">
        <v>31</v>
      </c>
      <c r="E211" s="3" t="s">
        <v>32</v>
      </c>
      <c r="F211" s="12">
        <v>45291</v>
      </c>
      <c r="G211" s="3">
        <v>2023</v>
      </c>
      <c r="H211" s="3" t="s">
        <v>44</v>
      </c>
      <c r="I211" s="3" t="s">
        <v>49</v>
      </c>
      <c r="J211" s="3">
        <v>2</v>
      </c>
      <c r="K211" s="3">
        <v>86846.60702431656</v>
      </c>
      <c r="L211" s="3">
        <v>141016.76289899999</v>
      </c>
      <c r="M211" s="3">
        <v>1.3</v>
      </c>
      <c r="N211" s="3">
        <v>1.6237452185036549</v>
      </c>
      <c r="O211" s="3" t="s">
        <v>143</v>
      </c>
      <c r="P211" s="3" t="s">
        <v>143</v>
      </c>
      <c r="Q211" s="3" t="str">
        <f t="shared" si="31"/>
        <v>204-2023-12-31</v>
      </c>
      <c r="R211" s="3">
        <v>0</v>
      </c>
      <c r="S211" s="3">
        <v>0</v>
      </c>
      <c r="T211" s="3" t="s">
        <v>31</v>
      </c>
      <c r="U211" s="3" t="s">
        <v>37</v>
      </c>
      <c r="V211" s="3" t="s">
        <v>142</v>
      </c>
      <c r="W211" s="3" t="s">
        <v>145</v>
      </c>
      <c r="X211" s="3" t="s">
        <v>146</v>
      </c>
      <c r="Y211" s="3" t="s">
        <v>147</v>
      </c>
      <c r="Z211" s="3" t="s">
        <v>63</v>
      </c>
      <c r="AA211" s="3" t="s">
        <v>148</v>
      </c>
      <c r="AB211" s="3" t="s">
        <v>43</v>
      </c>
      <c r="AC211" s="3" t="s">
        <v>66</v>
      </c>
      <c r="AD211" s="3">
        <v>0</v>
      </c>
    </row>
    <row r="212" spans="1:30" x14ac:dyDescent="0.3">
      <c r="A212" s="3">
        <v>204</v>
      </c>
      <c r="B212" s="3" t="s">
        <v>154</v>
      </c>
      <c r="C212" s="3" t="s">
        <v>142</v>
      </c>
      <c r="D212" s="3" t="s">
        <v>31</v>
      </c>
      <c r="E212" s="3" t="s">
        <v>32</v>
      </c>
      <c r="F212" s="12">
        <v>45291</v>
      </c>
      <c r="G212" s="3">
        <v>2023</v>
      </c>
      <c r="H212" s="3" t="s">
        <v>44</v>
      </c>
      <c r="I212" s="3" t="s">
        <v>49</v>
      </c>
      <c r="J212" s="3"/>
      <c r="K212" s="3">
        <v>86846.60702431656</v>
      </c>
      <c r="L212" s="3">
        <v>141016.76289899999</v>
      </c>
      <c r="M212" s="3">
        <v>1.3</v>
      </c>
      <c r="N212" s="3">
        <v>1.6237452185036549</v>
      </c>
      <c r="O212" s="3" t="s">
        <v>143</v>
      </c>
      <c r="P212" s="3" t="s">
        <v>143</v>
      </c>
      <c r="Q212" s="3" t="str">
        <f t="shared" si="31"/>
        <v>204-2023-12-31</v>
      </c>
      <c r="R212" s="3">
        <v>0</v>
      </c>
      <c r="S212" s="3">
        <v>0</v>
      </c>
      <c r="T212" s="3" t="s">
        <v>443</v>
      </c>
      <c r="U212" s="3" t="s">
        <v>37</v>
      </c>
      <c r="V212" s="3" t="s">
        <v>142</v>
      </c>
      <c r="W212" s="3" t="s">
        <v>145</v>
      </c>
      <c r="X212" s="3" t="s">
        <v>146</v>
      </c>
      <c r="Y212" s="3" t="s">
        <v>147</v>
      </c>
      <c r="Z212" s="3" t="s">
        <v>63</v>
      </c>
      <c r="AA212" s="3" t="s">
        <v>148</v>
      </c>
      <c r="AB212" s="3" t="s">
        <v>43</v>
      </c>
      <c r="AC212" s="3" t="s">
        <v>66</v>
      </c>
      <c r="AD212" s="3">
        <v>0</v>
      </c>
    </row>
    <row r="213" spans="1:30" x14ac:dyDescent="0.3">
      <c r="A213" s="3">
        <v>204</v>
      </c>
      <c r="B213" s="3" t="s">
        <v>154</v>
      </c>
      <c r="C213" s="3" t="s">
        <v>142</v>
      </c>
      <c r="D213" s="3" t="s">
        <v>31</v>
      </c>
      <c r="E213" s="3" t="s">
        <v>32</v>
      </c>
      <c r="F213" s="12">
        <v>45657</v>
      </c>
      <c r="G213" s="3">
        <v>2024</v>
      </c>
      <c r="H213" s="3" t="s">
        <v>44</v>
      </c>
      <c r="I213" s="3" t="s">
        <v>53</v>
      </c>
      <c r="J213" s="3">
        <v>2</v>
      </c>
      <c r="K213" s="3">
        <v>122440.821151</v>
      </c>
      <c r="L213" s="3">
        <v>176962.74882400001</v>
      </c>
      <c r="M213" s="3">
        <v>1.3</v>
      </c>
      <c r="N213" s="3">
        <v>1.335538462273004</v>
      </c>
      <c r="O213" s="3" t="s">
        <v>143</v>
      </c>
      <c r="P213" s="3" t="s">
        <v>143</v>
      </c>
      <c r="Q213" s="3" t="str">
        <f t="shared" si="31"/>
        <v>204-2024-12-31</v>
      </c>
      <c r="R213" s="3">
        <v>0</v>
      </c>
      <c r="S213" s="3">
        <v>0</v>
      </c>
      <c r="T213" s="3" t="s">
        <v>31</v>
      </c>
      <c r="U213" s="3" t="s">
        <v>37</v>
      </c>
      <c r="V213" s="3" t="s">
        <v>142</v>
      </c>
      <c r="W213" s="3" t="s">
        <v>145</v>
      </c>
      <c r="X213" s="3" t="s">
        <v>146</v>
      </c>
      <c r="Y213" s="3" t="s">
        <v>147</v>
      </c>
      <c r="Z213" s="3" t="s">
        <v>63</v>
      </c>
      <c r="AA213" s="3" t="s">
        <v>148</v>
      </c>
      <c r="AB213" s="3" t="s">
        <v>43</v>
      </c>
      <c r="AC213" s="3" t="s">
        <v>66</v>
      </c>
      <c r="AD213" s="3">
        <v>0</v>
      </c>
    </row>
    <row r="214" spans="1:30" x14ac:dyDescent="0.3">
      <c r="A214" s="3">
        <v>204</v>
      </c>
      <c r="B214" s="3" t="s">
        <v>154</v>
      </c>
      <c r="C214" s="3" t="s">
        <v>142</v>
      </c>
      <c r="D214" s="3" t="s">
        <v>31</v>
      </c>
      <c r="E214" s="3" t="s">
        <v>32</v>
      </c>
      <c r="F214" s="12">
        <v>45657</v>
      </c>
      <c r="G214" s="3">
        <v>2024</v>
      </c>
      <c r="H214" s="3" t="s">
        <v>44</v>
      </c>
      <c r="I214" s="3" t="s">
        <v>53</v>
      </c>
      <c r="J214" s="3"/>
      <c r="K214" s="3">
        <v>122440.821151</v>
      </c>
      <c r="L214" s="3">
        <v>176962.74882400001</v>
      </c>
      <c r="M214" s="3">
        <v>1.3</v>
      </c>
      <c r="N214" s="3">
        <v>1.4452920779235949</v>
      </c>
      <c r="O214" s="3" t="s">
        <v>143</v>
      </c>
      <c r="P214" s="3" t="s">
        <v>143</v>
      </c>
      <c r="Q214" s="3" t="str">
        <f t="shared" si="31"/>
        <v>204-2024-12-31</v>
      </c>
      <c r="R214" s="3">
        <v>0</v>
      </c>
      <c r="S214" s="3">
        <v>0</v>
      </c>
      <c r="T214" s="3" t="s">
        <v>443</v>
      </c>
      <c r="U214" s="3" t="s">
        <v>37</v>
      </c>
      <c r="V214" s="3" t="s">
        <v>142</v>
      </c>
      <c r="W214" s="3" t="s">
        <v>145</v>
      </c>
      <c r="X214" s="3" t="s">
        <v>146</v>
      </c>
      <c r="Y214" s="3" t="s">
        <v>147</v>
      </c>
      <c r="Z214" s="3" t="s">
        <v>63</v>
      </c>
      <c r="AA214" s="3" t="s">
        <v>148</v>
      </c>
      <c r="AB214" s="3" t="s">
        <v>43</v>
      </c>
      <c r="AC214" s="3" t="s">
        <v>66</v>
      </c>
      <c r="AD214" s="3">
        <v>0</v>
      </c>
    </row>
    <row r="215" spans="1:30" x14ac:dyDescent="0.3">
      <c r="A215" s="3">
        <v>204</v>
      </c>
      <c r="B215" s="3" t="s">
        <v>154</v>
      </c>
      <c r="C215" s="3" t="s">
        <v>142</v>
      </c>
      <c r="D215" s="3" t="s">
        <v>31</v>
      </c>
      <c r="E215" s="3" t="s">
        <v>32</v>
      </c>
      <c r="F215" s="12">
        <v>46022</v>
      </c>
      <c r="G215" s="3">
        <v>2025</v>
      </c>
      <c r="H215" s="3" t="s">
        <v>44</v>
      </c>
      <c r="I215" s="3" t="s">
        <v>465</v>
      </c>
      <c r="J215" s="3">
        <v>2</v>
      </c>
      <c r="K215" s="3"/>
      <c r="L215" s="3">
        <f>128448131182/1000000</f>
        <v>128448.131182</v>
      </c>
      <c r="M215" s="3"/>
      <c r="N215" s="3"/>
      <c r="O215" s="3" t="s">
        <v>143</v>
      </c>
      <c r="P215" s="3" t="s">
        <v>143</v>
      </c>
      <c r="Q215" s="3" t="str">
        <f t="shared" si="31"/>
        <v>204-2025-12-31</v>
      </c>
      <c r="R215" s="3">
        <v>0</v>
      </c>
      <c r="S215" s="3">
        <v>0</v>
      </c>
      <c r="T215" s="3" t="s">
        <v>31</v>
      </c>
      <c r="U215" s="3" t="s">
        <v>37</v>
      </c>
      <c r="V215" s="3" t="s">
        <v>142</v>
      </c>
      <c r="W215" s="3" t="s">
        <v>145</v>
      </c>
      <c r="X215" s="3" t="s">
        <v>146</v>
      </c>
      <c r="Y215" s="3" t="s">
        <v>147</v>
      </c>
      <c r="Z215" s="3" t="s">
        <v>63</v>
      </c>
      <c r="AA215" s="3" t="s">
        <v>148</v>
      </c>
      <c r="AB215" s="3" t="s">
        <v>43</v>
      </c>
      <c r="AC215" s="3" t="s">
        <v>66</v>
      </c>
      <c r="AD215" s="3">
        <v>0</v>
      </c>
    </row>
    <row r="216" spans="1:30" x14ac:dyDescent="0.3">
      <c r="A216" s="3">
        <v>204</v>
      </c>
      <c r="B216" s="3" t="s">
        <v>154</v>
      </c>
      <c r="C216" s="3" t="s">
        <v>142</v>
      </c>
      <c r="D216" s="3" t="s">
        <v>31</v>
      </c>
      <c r="E216" s="3" t="s">
        <v>32</v>
      </c>
      <c r="F216" s="12">
        <v>46022</v>
      </c>
      <c r="G216" s="3">
        <v>2025</v>
      </c>
      <c r="H216" s="3" t="s">
        <v>44</v>
      </c>
      <c r="I216" s="3" t="s">
        <v>465</v>
      </c>
      <c r="J216" s="3"/>
      <c r="K216" s="3">
        <f>128448131182/1000000</f>
        <v>128448.131182</v>
      </c>
      <c r="L216" s="3">
        <f>128448131182/1000000</f>
        <v>128448.131182</v>
      </c>
      <c r="M216" s="3"/>
      <c r="N216" s="3"/>
      <c r="O216" s="3" t="s">
        <v>143</v>
      </c>
      <c r="P216" s="3" t="s">
        <v>143</v>
      </c>
      <c r="Q216" s="3" t="str">
        <f t="shared" si="31"/>
        <v>204-2025-12-31</v>
      </c>
      <c r="R216" s="3">
        <v>0</v>
      </c>
      <c r="S216" s="3">
        <v>0</v>
      </c>
      <c r="T216" s="3" t="s">
        <v>443</v>
      </c>
      <c r="U216" s="3" t="s">
        <v>37</v>
      </c>
      <c r="V216" s="3" t="s">
        <v>142</v>
      </c>
      <c r="W216" s="3" t="s">
        <v>145</v>
      </c>
      <c r="X216" s="3" t="s">
        <v>146</v>
      </c>
      <c r="Y216" s="3" t="s">
        <v>147</v>
      </c>
      <c r="Z216" s="3" t="s">
        <v>63</v>
      </c>
      <c r="AA216" s="3" t="s">
        <v>148</v>
      </c>
      <c r="AB216" s="3" t="s">
        <v>43</v>
      </c>
      <c r="AC216" s="3" t="s">
        <v>66</v>
      </c>
      <c r="AD216" s="3">
        <v>0</v>
      </c>
    </row>
    <row r="217" spans="1:30" x14ac:dyDescent="0.3">
      <c r="A217" s="3">
        <v>205</v>
      </c>
      <c r="B217" s="3" t="s">
        <v>161</v>
      </c>
      <c r="C217" s="3" t="s">
        <v>142</v>
      </c>
      <c r="D217" s="3" t="s">
        <v>31</v>
      </c>
      <c r="E217" s="3" t="s">
        <v>32</v>
      </c>
      <c r="F217" s="12">
        <v>44926</v>
      </c>
      <c r="G217" s="3">
        <v>2022</v>
      </c>
      <c r="H217" s="3" t="s">
        <v>44</v>
      </c>
      <c r="I217" s="3" t="s">
        <v>45</v>
      </c>
      <c r="J217" s="3">
        <v>2</v>
      </c>
      <c r="K217" s="3"/>
      <c r="L217" s="3">
        <v>2605</v>
      </c>
      <c r="M217" s="3">
        <v>1.3</v>
      </c>
      <c r="N217" s="3">
        <v>3.597572107981108</v>
      </c>
      <c r="O217" s="3" t="s">
        <v>143</v>
      </c>
      <c r="P217" s="3" t="s">
        <v>143</v>
      </c>
      <c r="Q217" s="3" t="str">
        <f t="shared" si="31"/>
        <v>205-2022-12-31</v>
      </c>
      <c r="R217" s="3">
        <v>0</v>
      </c>
      <c r="S217" s="3">
        <v>0</v>
      </c>
      <c r="T217" s="3" t="s">
        <v>31</v>
      </c>
      <c r="U217" s="3" t="s">
        <v>37</v>
      </c>
      <c r="V217" s="3" t="s">
        <v>142</v>
      </c>
      <c r="W217" s="3" t="s">
        <v>145</v>
      </c>
      <c r="X217" s="3" t="s">
        <v>146</v>
      </c>
      <c r="Y217" s="3" t="s">
        <v>147</v>
      </c>
      <c r="Z217" s="3" t="s">
        <v>63</v>
      </c>
      <c r="AA217" s="3" t="s">
        <v>148</v>
      </c>
      <c r="AB217" s="3" t="s">
        <v>78</v>
      </c>
      <c r="AC217" s="3" t="s">
        <v>66</v>
      </c>
      <c r="AD217" s="3">
        <v>0</v>
      </c>
    </row>
    <row r="218" spans="1:30" x14ac:dyDescent="0.3">
      <c r="A218" s="3">
        <v>205</v>
      </c>
      <c r="B218" s="3" t="s">
        <v>161</v>
      </c>
      <c r="C218" s="3" t="s">
        <v>142</v>
      </c>
      <c r="D218" s="3" t="s">
        <v>31</v>
      </c>
      <c r="E218" s="3" t="s">
        <v>32</v>
      </c>
      <c r="F218" s="12">
        <v>44926</v>
      </c>
      <c r="G218" s="3">
        <v>2022</v>
      </c>
      <c r="H218" s="3" t="s">
        <v>44</v>
      </c>
      <c r="I218" s="3" t="s">
        <v>45</v>
      </c>
      <c r="J218" s="3"/>
      <c r="K218" s="3"/>
      <c r="L218" s="3">
        <v>2605</v>
      </c>
      <c r="M218" s="3">
        <v>1.3</v>
      </c>
      <c r="N218" s="3">
        <v>4.2650764615555667</v>
      </c>
      <c r="O218" s="3" t="s">
        <v>143</v>
      </c>
      <c r="P218" s="3" t="s">
        <v>143</v>
      </c>
      <c r="Q218" s="3" t="str">
        <f t="shared" si="31"/>
        <v>205-2022-12-31</v>
      </c>
      <c r="R218" s="3">
        <v>0</v>
      </c>
      <c r="S218" s="3">
        <v>0</v>
      </c>
      <c r="T218" s="3" t="s">
        <v>443</v>
      </c>
      <c r="U218" s="3" t="s">
        <v>37</v>
      </c>
      <c r="V218" s="3" t="s">
        <v>142</v>
      </c>
      <c r="W218" s="3" t="s">
        <v>145</v>
      </c>
      <c r="X218" s="3" t="s">
        <v>146</v>
      </c>
      <c r="Y218" s="3" t="s">
        <v>147</v>
      </c>
      <c r="Z218" s="3" t="s">
        <v>63</v>
      </c>
      <c r="AA218" s="3" t="s">
        <v>148</v>
      </c>
      <c r="AB218" s="3" t="s">
        <v>78</v>
      </c>
      <c r="AC218" s="3" t="s">
        <v>66</v>
      </c>
      <c r="AD218" s="3">
        <v>0</v>
      </c>
    </row>
    <row r="219" spans="1:30" x14ac:dyDescent="0.3">
      <c r="A219" s="3">
        <v>205</v>
      </c>
      <c r="B219" s="3" t="s">
        <v>161</v>
      </c>
      <c r="C219" s="3" t="s">
        <v>142</v>
      </c>
      <c r="D219" s="3" t="s">
        <v>31</v>
      </c>
      <c r="E219" s="3" t="s">
        <v>32</v>
      </c>
      <c r="F219" s="12">
        <v>45107</v>
      </c>
      <c r="G219" s="3">
        <v>2023</v>
      </c>
      <c r="H219" s="3" t="s">
        <v>33</v>
      </c>
      <c r="I219" s="3" t="s">
        <v>47</v>
      </c>
      <c r="J219" s="3">
        <v>1</v>
      </c>
      <c r="K219" s="3">
        <v>2622.5539939999999</v>
      </c>
      <c r="L219" s="3">
        <v>4338.4199079999999</v>
      </c>
      <c r="M219" s="3">
        <v>1.3</v>
      </c>
      <c r="N219" s="3">
        <v>1.654272864515139</v>
      </c>
      <c r="O219" s="3" t="s">
        <v>143</v>
      </c>
      <c r="P219" s="3" t="s">
        <v>143</v>
      </c>
      <c r="Q219" s="3" t="str">
        <f t="shared" si="31"/>
        <v>205-2023-06-30</v>
      </c>
      <c r="R219" s="3">
        <v>0</v>
      </c>
      <c r="S219" s="3">
        <v>0</v>
      </c>
      <c r="T219" s="3" t="s">
        <v>31</v>
      </c>
      <c r="U219" s="3" t="s">
        <v>37</v>
      </c>
      <c r="V219" s="3" t="s">
        <v>142</v>
      </c>
      <c r="W219" s="3" t="s">
        <v>145</v>
      </c>
      <c r="X219" s="3" t="s">
        <v>146</v>
      </c>
      <c r="Y219" s="3" t="s">
        <v>147</v>
      </c>
      <c r="Z219" s="3" t="s">
        <v>63</v>
      </c>
      <c r="AA219" s="3" t="s">
        <v>148</v>
      </c>
      <c r="AB219" s="3" t="s">
        <v>78</v>
      </c>
      <c r="AC219" s="3" t="s">
        <v>66</v>
      </c>
      <c r="AD219" s="3">
        <v>0</v>
      </c>
    </row>
    <row r="220" spans="1:30" x14ac:dyDescent="0.3">
      <c r="A220" s="3">
        <v>205</v>
      </c>
      <c r="B220" s="3" t="s">
        <v>161</v>
      </c>
      <c r="C220" s="3" t="s">
        <v>142</v>
      </c>
      <c r="D220" s="3" t="s">
        <v>31</v>
      </c>
      <c r="E220" s="3" t="s">
        <v>32</v>
      </c>
      <c r="F220" s="12">
        <v>45291</v>
      </c>
      <c r="G220" s="3">
        <v>2023</v>
      </c>
      <c r="H220" s="3" t="s">
        <v>44</v>
      </c>
      <c r="I220" s="3" t="s">
        <v>49</v>
      </c>
      <c r="J220" s="3">
        <v>2</v>
      </c>
      <c r="K220" s="3">
        <v>2041.786670711695</v>
      </c>
      <c r="L220" s="3">
        <v>7345.4747770000004</v>
      </c>
      <c r="M220" s="3">
        <v>1.3</v>
      </c>
      <c r="N220" s="3">
        <v>3.597572107981108</v>
      </c>
      <c r="O220" s="3" t="s">
        <v>143</v>
      </c>
      <c r="P220" s="3" t="s">
        <v>143</v>
      </c>
      <c r="Q220" s="3" t="str">
        <f t="shared" si="31"/>
        <v>205-2023-12-31</v>
      </c>
      <c r="R220" s="3">
        <v>0</v>
      </c>
      <c r="S220" s="3">
        <v>0</v>
      </c>
      <c r="T220" s="3" t="s">
        <v>31</v>
      </c>
      <c r="U220" s="3" t="s">
        <v>37</v>
      </c>
      <c r="V220" s="3" t="s">
        <v>142</v>
      </c>
      <c r="W220" s="3" t="s">
        <v>145</v>
      </c>
      <c r="X220" s="3" t="s">
        <v>146</v>
      </c>
      <c r="Y220" s="3" t="s">
        <v>147</v>
      </c>
      <c r="Z220" s="3" t="s">
        <v>63</v>
      </c>
      <c r="AA220" s="3" t="s">
        <v>148</v>
      </c>
      <c r="AB220" s="3" t="s">
        <v>78</v>
      </c>
      <c r="AC220" s="3" t="s">
        <v>66</v>
      </c>
      <c r="AD220" s="3">
        <v>0</v>
      </c>
    </row>
    <row r="221" spans="1:30" x14ac:dyDescent="0.3">
      <c r="A221" s="3">
        <v>205</v>
      </c>
      <c r="B221" s="3" t="s">
        <v>161</v>
      </c>
      <c r="C221" s="3" t="s">
        <v>142</v>
      </c>
      <c r="D221" s="3" t="s">
        <v>31</v>
      </c>
      <c r="E221" s="3" t="s">
        <v>32</v>
      </c>
      <c r="F221" s="12">
        <v>45291</v>
      </c>
      <c r="G221" s="3">
        <v>2023</v>
      </c>
      <c r="H221" s="3" t="s">
        <v>44</v>
      </c>
      <c r="I221" s="3" t="s">
        <v>49</v>
      </c>
      <c r="J221" s="3"/>
      <c r="K221" s="3">
        <v>2041.7866710000001</v>
      </c>
      <c r="L221" s="3">
        <v>8708.3762700000007</v>
      </c>
      <c r="M221" s="3">
        <v>1.3</v>
      </c>
      <c r="N221" s="3">
        <v>4.2650764615555667</v>
      </c>
      <c r="O221" s="3" t="s">
        <v>143</v>
      </c>
      <c r="P221" s="3" t="s">
        <v>143</v>
      </c>
      <c r="Q221" s="3" t="str">
        <f t="shared" si="31"/>
        <v>205-2023-12-31</v>
      </c>
      <c r="R221" s="3">
        <v>0</v>
      </c>
      <c r="S221" s="3">
        <v>0</v>
      </c>
      <c r="T221" s="3" t="s">
        <v>443</v>
      </c>
      <c r="U221" s="3" t="s">
        <v>37</v>
      </c>
      <c r="V221" s="3" t="s">
        <v>142</v>
      </c>
      <c r="W221" s="3" t="s">
        <v>145</v>
      </c>
      <c r="X221" s="3" t="s">
        <v>146</v>
      </c>
      <c r="Y221" s="3" t="s">
        <v>147</v>
      </c>
      <c r="Z221" s="3" t="s">
        <v>63</v>
      </c>
      <c r="AA221" s="3" t="s">
        <v>148</v>
      </c>
      <c r="AB221" s="3" t="s">
        <v>78</v>
      </c>
      <c r="AC221" s="3" t="s">
        <v>66</v>
      </c>
      <c r="AD221" s="3">
        <v>0</v>
      </c>
    </row>
    <row r="222" spans="1:30" x14ac:dyDescent="0.3">
      <c r="A222" s="3">
        <v>205</v>
      </c>
      <c r="B222" s="3" t="s">
        <v>161</v>
      </c>
      <c r="C222" s="3" t="s">
        <v>142</v>
      </c>
      <c r="D222" s="3" t="s">
        <v>31</v>
      </c>
      <c r="E222" s="3" t="s">
        <v>32</v>
      </c>
      <c r="F222" s="12">
        <v>45473</v>
      </c>
      <c r="G222" s="3">
        <v>2024</v>
      </c>
      <c r="H222" s="3" t="s">
        <v>33</v>
      </c>
      <c r="I222" s="3" t="s">
        <v>51</v>
      </c>
      <c r="J222" s="3">
        <v>1</v>
      </c>
      <c r="K222" s="3">
        <v>2039.2370430000001</v>
      </c>
      <c r="L222" s="3">
        <v>4385.721681</v>
      </c>
      <c r="M222" s="3">
        <v>1.3</v>
      </c>
      <c r="N222" s="3">
        <v>2.1506679157553932</v>
      </c>
      <c r="O222" s="3" t="s">
        <v>143</v>
      </c>
      <c r="P222" s="3" t="s">
        <v>143</v>
      </c>
      <c r="Q222" s="3" t="str">
        <f t="shared" si="31"/>
        <v>205-2024-06-30</v>
      </c>
      <c r="R222" s="3">
        <v>0</v>
      </c>
      <c r="S222" s="3">
        <v>0</v>
      </c>
      <c r="T222" s="3" t="s">
        <v>31</v>
      </c>
      <c r="U222" s="3" t="s">
        <v>37</v>
      </c>
      <c r="V222" s="3" t="s">
        <v>142</v>
      </c>
      <c r="W222" s="3" t="s">
        <v>145</v>
      </c>
      <c r="X222" s="3" t="s">
        <v>146</v>
      </c>
      <c r="Y222" s="3" t="s">
        <v>147</v>
      </c>
      <c r="Z222" s="3" t="s">
        <v>63</v>
      </c>
      <c r="AA222" s="3" t="s">
        <v>148</v>
      </c>
      <c r="AB222" s="3" t="s">
        <v>78</v>
      </c>
      <c r="AC222" s="3" t="s">
        <v>66</v>
      </c>
      <c r="AD222" s="3">
        <v>0</v>
      </c>
    </row>
    <row r="223" spans="1:30" x14ac:dyDescent="0.3">
      <c r="A223" s="3">
        <v>205</v>
      </c>
      <c r="B223" s="3" t="s">
        <v>161</v>
      </c>
      <c r="C223" s="3" t="s">
        <v>142</v>
      </c>
      <c r="D223" s="3" t="s">
        <v>31</v>
      </c>
      <c r="E223" s="3" t="s">
        <v>32</v>
      </c>
      <c r="F223" s="12">
        <v>45657</v>
      </c>
      <c r="G223" s="3">
        <v>2024</v>
      </c>
      <c r="H223" s="3" t="s">
        <v>44</v>
      </c>
      <c r="I223" s="3" t="s">
        <v>53</v>
      </c>
      <c r="J223" s="3">
        <v>2</v>
      </c>
      <c r="K223" s="3">
        <v>2783.2196537144901</v>
      </c>
      <c r="L223" s="3">
        <v>5092.3929009999993</v>
      </c>
      <c r="M223" s="3">
        <v>1.3</v>
      </c>
      <c r="N223" s="3">
        <v>1.829676969334304</v>
      </c>
      <c r="O223" s="3" t="s">
        <v>143</v>
      </c>
      <c r="P223" s="3" t="s">
        <v>143</v>
      </c>
      <c r="Q223" s="3" t="str">
        <f t="shared" si="31"/>
        <v>205-2024-12-31</v>
      </c>
      <c r="R223" s="3">
        <v>0</v>
      </c>
      <c r="S223" s="3">
        <v>0</v>
      </c>
      <c r="T223" s="3" t="s">
        <v>31</v>
      </c>
      <c r="U223" s="3" t="s">
        <v>37</v>
      </c>
      <c r="V223" s="3" t="s">
        <v>142</v>
      </c>
      <c r="W223" s="3" t="s">
        <v>145</v>
      </c>
      <c r="X223" s="3" t="s">
        <v>146</v>
      </c>
      <c r="Y223" s="3" t="s">
        <v>147</v>
      </c>
      <c r="Z223" s="3" t="s">
        <v>63</v>
      </c>
      <c r="AA223" s="3" t="s">
        <v>148</v>
      </c>
      <c r="AB223" s="3" t="s">
        <v>78</v>
      </c>
      <c r="AC223" s="3" t="s">
        <v>66</v>
      </c>
      <c r="AD223" s="3">
        <v>0</v>
      </c>
    </row>
    <row r="224" spans="1:30" x14ac:dyDescent="0.3">
      <c r="A224" s="3">
        <v>205</v>
      </c>
      <c r="B224" s="3" t="s">
        <v>161</v>
      </c>
      <c r="C224" s="3" t="s">
        <v>142</v>
      </c>
      <c r="D224" s="3" t="s">
        <v>31</v>
      </c>
      <c r="E224" s="3" t="s">
        <v>32</v>
      </c>
      <c r="F224" s="12">
        <v>45657</v>
      </c>
      <c r="G224" s="3">
        <v>2024</v>
      </c>
      <c r="H224" s="3" t="s">
        <v>44</v>
      </c>
      <c r="I224" s="3" t="s">
        <v>53</v>
      </c>
      <c r="J224" s="3"/>
      <c r="K224" s="3">
        <v>2783.219654</v>
      </c>
      <c r="L224" s="3">
        <v>5141.1028649999998</v>
      </c>
      <c r="M224" s="3">
        <v>1.3</v>
      </c>
      <c r="N224" s="3">
        <v>1.847178269818297</v>
      </c>
      <c r="O224" s="3" t="s">
        <v>143</v>
      </c>
      <c r="P224" s="3" t="s">
        <v>143</v>
      </c>
      <c r="Q224" s="3" t="str">
        <f t="shared" si="31"/>
        <v>205-2024-12-31</v>
      </c>
      <c r="R224" s="3">
        <v>0</v>
      </c>
      <c r="S224" s="3">
        <v>0</v>
      </c>
      <c r="T224" s="3" t="s">
        <v>443</v>
      </c>
      <c r="U224" s="3" t="s">
        <v>37</v>
      </c>
      <c r="V224" s="3" t="s">
        <v>142</v>
      </c>
      <c r="W224" s="3" t="s">
        <v>145</v>
      </c>
      <c r="X224" s="3" t="s">
        <v>146</v>
      </c>
      <c r="Y224" s="3" t="s">
        <v>147</v>
      </c>
      <c r="Z224" s="3" t="s">
        <v>63</v>
      </c>
      <c r="AA224" s="3" t="s">
        <v>148</v>
      </c>
      <c r="AB224" s="3" t="s">
        <v>78</v>
      </c>
      <c r="AC224" s="3" t="s">
        <v>66</v>
      </c>
      <c r="AD224" s="3">
        <v>0</v>
      </c>
    </row>
    <row r="225" spans="1:30" x14ac:dyDescent="0.3">
      <c r="A225" s="3">
        <v>205</v>
      </c>
      <c r="B225" s="3" t="s">
        <v>161</v>
      </c>
      <c r="C225" s="3" t="s">
        <v>142</v>
      </c>
      <c r="D225" s="3" t="s">
        <v>31</v>
      </c>
      <c r="E225" s="3" t="s">
        <v>32</v>
      </c>
      <c r="F225" s="12">
        <v>45838</v>
      </c>
      <c r="G225" s="3">
        <v>2025</v>
      </c>
      <c r="H225" s="3" t="s">
        <v>33</v>
      </c>
      <c r="I225" s="3" t="s">
        <v>404</v>
      </c>
      <c r="J225" s="3">
        <v>1</v>
      </c>
      <c r="K225" s="3">
        <v>4817.8363419999996</v>
      </c>
      <c r="L225" s="3">
        <v>8976.1202028999996</v>
      </c>
      <c r="M225" s="3">
        <v>1.3</v>
      </c>
      <c r="N225" s="3">
        <v>1.8631019332578229</v>
      </c>
      <c r="O225" s="3" t="s">
        <v>143</v>
      </c>
      <c r="P225" s="3" t="s">
        <v>143</v>
      </c>
      <c r="Q225" s="3" t="str">
        <f t="shared" si="31"/>
        <v>205-2025-06-30</v>
      </c>
      <c r="R225" s="3">
        <v>0</v>
      </c>
      <c r="S225" s="3">
        <v>0</v>
      </c>
      <c r="T225" s="3" t="s">
        <v>31</v>
      </c>
      <c r="U225" s="3" t="s">
        <v>37</v>
      </c>
      <c r="V225" s="3" t="s">
        <v>142</v>
      </c>
      <c r="W225" s="3" t="s">
        <v>145</v>
      </c>
      <c r="X225" s="3" t="s">
        <v>146</v>
      </c>
      <c r="Y225" s="3" t="s">
        <v>147</v>
      </c>
      <c r="Z225" s="3" t="s">
        <v>63</v>
      </c>
      <c r="AA225" s="3" t="s">
        <v>148</v>
      </c>
      <c r="AB225" s="3" t="s">
        <v>78</v>
      </c>
      <c r="AC225" s="3" t="s">
        <v>66</v>
      </c>
      <c r="AD225" s="3">
        <v>0</v>
      </c>
    </row>
    <row r="226" spans="1:30" x14ac:dyDescent="0.3">
      <c r="A226" s="3">
        <v>205</v>
      </c>
      <c r="B226" s="3" t="s">
        <v>161</v>
      </c>
      <c r="C226" s="3" t="s">
        <v>142</v>
      </c>
      <c r="D226" s="3" t="s">
        <v>31</v>
      </c>
      <c r="E226" s="3" t="s">
        <v>32</v>
      </c>
      <c r="F226" s="12">
        <v>46022</v>
      </c>
      <c r="G226" s="3">
        <v>2025</v>
      </c>
      <c r="H226" s="3" t="s">
        <v>44</v>
      </c>
      <c r="I226" s="3" t="s">
        <v>465</v>
      </c>
      <c r="J226" s="3"/>
      <c r="K226" s="3">
        <v>4684</v>
      </c>
      <c r="L226" s="3">
        <v>4684</v>
      </c>
      <c r="M226" s="3">
        <v>1.3</v>
      </c>
      <c r="N226" s="3">
        <v>1.8631019332578229</v>
      </c>
      <c r="O226" s="3" t="s">
        <v>143</v>
      </c>
      <c r="P226" s="3" t="s">
        <v>143</v>
      </c>
      <c r="Q226" s="3" t="str">
        <f t="shared" si="31"/>
        <v>205-2025-12-31</v>
      </c>
      <c r="R226" s="3">
        <v>0</v>
      </c>
      <c r="S226" s="3">
        <v>0</v>
      </c>
      <c r="T226" s="3" t="s">
        <v>443</v>
      </c>
      <c r="U226" s="3" t="s">
        <v>37</v>
      </c>
      <c r="V226" s="3" t="s">
        <v>142</v>
      </c>
      <c r="W226" s="3" t="s">
        <v>145</v>
      </c>
      <c r="X226" s="3" t="s">
        <v>146</v>
      </c>
      <c r="Y226" s="3" t="s">
        <v>147</v>
      </c>
      <c r="Z226" s="3" t="s">
        <v>63</v>
      </c>
      <c r="AA226" s="3" t="s">
        <v>148</v>
      </c>
      <c r="AB226" s="3" t="s">
        <v>78</v>
      </c>
      <c r="AC226" s="3" t="s">
        <v>66</v>
      </c>
      <c r="AD226" s="3">
        <v>0</v>
      </c>
    </row>
    <row r="227" spans="1:30" x14ac:dyDescent="0.3">
      <c r="A227" s="3">
        <v>207</v>
      </c>
      <c r="B227" s="3" t="s">
        <v>170</v>
      </c>
      <c r="C227" s="3" t="s">
        <v>142</v>
      </c>
      <c r="D227" s="3" t="s">
        <v>31</v>
      </c>
      <c r="E227" s="3" t="s">
        <v>171</v>
      </c>
      <c r="F227" s="12">
        <v>45107</v>
      </c>
      <c r="G227" s="3">
        <v>2023</v>
      </c>
      <c r="H227" s="3" t="s">
        <v>33</v>
      </c>
      <c r="I227" s="3" t="s">
        <v>47</v>
      </c>
      <c r="J227" s="3">
        <v>1</v>
      </c>
      <c r="K227" s="3">
        <v>114640.77968199999</v>
      </c>
      <c r="L227" s="3">
        <v>116015.126638</v>
      </c>
      <c r="M227" s="3">
        <v>0.98815372619220287</v>
      </c>
      <c r="N227" s="3">
        <v>0.98815372619220287</v>
      </c>
      <c r="O227" s="3" t="s">
        <v>143</v>
      </c>
      <c r="P227" s="3" t="s">
        <v>143</v>
      </c>
      <c r="Q227" s="3" t="str">
        <f t="shared" si="31"/>
        <v>207-2023-06-30</v>
      </c>
      <c r="R227" s="3">
        <v>0</v>
      </c>
      <c r="S227" s="3">
        <v>0</v>
      </c>
      <c r="T227" s="3" t="s">
        <v>31</v>
      </c>
      <c r="U227" s="3" t="s">
        <v>37</v>
      </c>
      <c r="V227" s="3" t="s">
        <v>142</v>
      </c>
      <c r="W227" s="3" t="s">
        <v>145</v>
      </c>
      <c r="X227" s="3" t="s">
        <v>146</v>
      </c>
      <c r="Y227" s="3" t="s">
        <v>147</v>
      </c>
      <c r="Z227" s="3" t="s">
        <v>63</v>
      </c>
      <c r="AA227" s="3" t="s">
        <v>148</v>
      </c>
      <c r="AB227" s="3" t="s">
        <v>43</v>
      </c>
      <c r="AC227" s="3" t="s">
        <v>66</v>
      </c>
      <c r="AD227" s="3">
        <v>0</v>
      </c>
    </row>
    <row r="228" spans="1:30" x14ac:dyDescent="0.3">
      <c r="A228" s="3">
        <v>207</v>
      </c>
      <c r="B228" s="3" t="s">
        <v>170</v>
      </c>
      <c r="C228" s="3" t="s">
        <v>142</v>
      </c>
      <c r="D228" s="3" t="s">
        <v>31</v>
      </c>
      <c r="E228" s="3" t="s">
        <v>171</v>
      </c>
      <c r="F228" s="12">
        <v>45291</v>
      </c>
      <c r="G228" s="3">
        <v>2023</v>
      </c>
      <c r="H228" s="3" t="s">
        <v>44</v>
      </c>
      <c r="I228" s="3" t="s">
        <v>49</v>
      </c>
      <c r="J228" s="3">
        <v>2</v>
      </c>
      <c r="K228" s="3">
        <v>238770.96657245801</v>
      </c>
      <c r="L228" s="3">
        <v>247359.733075</v>
      </c>
      <c r="M228" s="3">
        <v>0.96527823507984689</v>
      </c>
      <c r="N228" s="3">
        <v>0.96527823507984689</v>
      </c>
      <c r="O228" s="3" t="s">
        <v>143</v>
      </c>
      <c r="P228" s="3" t="s">
        <v>143</v>
      </c>
      <c r="Q228" s="3" t="str">
        <f t="shared" si="31"/>
        <v>207-2023-12-31</v>
      </c>
      <c r="R228" s="3">
        <v>0</v>
      </c>
      <c r="S228" s="3">
        <v>0</v>
      </c>
      <c r="T228" s="3" t="s">
        <v>31</v>
      </c>
      <c r="U228" s="3" t="s">
        <v>37</v>
      </c>
      <c r="V228" s="3" t="s">
        <v>142</v>
      </c>
      <c r="W228" s="3" t="s">
        <v>145</v>
      </c>
      <c r="X228" s="3" t="s">
        <v>146</v>
      </c>
      <c r="Y228" s="3" t="s">
        <v>147</v>
      </c>
      <c r="Z228" s="3" t="s">
        <v>63</v>
      </c>
      <c r="AA228" s="3" t="s">
        <v>148</v>
      </c>
      <c r="AB228" s="3" t="s">
        <v>43</v>
      </c>
      <c r="AC228" s="3" t="s">
        <v>66</v>
      </c>
      <c r="AD228" s="3">
        <v>0</v>
      </c>
    </row>
    <row r="229" spans="1:30" x14ac:dyDescent="0.3">
      <c r="A229" s="3">
        <v>207</v>
      </c>
      <c r="B229" s="3" t="s">
        <v>170</v>
      </c>
      <c r="C229" s="3" t="s">
        <v>142</v>
      </c>
      <c r="D229" s="3" t="s">
        <v>31</v>
      </c>
      <c r="E229" s="3" t="s">
        <v>171</v>
      </c>
      <c r="F229" s="12">
        <v>45291</v>
      </c>
      <c r="G229" s="3">
        <v>2023</v>
      </c>
      <c r="H229" s="3" t="s">
        <v>44</v>
      </c>
      <c r="I229" s="3" t="s">
        <v>49</v>
      </c>
      <c r="J229" s="3"/>
      <c r="K229" s="3">
        <v>238770.96657245801</v>
      </c>
      <c r="L229" s="3">
        <v>247359.73307500011</v>
      </c>
      <c r="M229" s="3">
        <v>0.96527823507984656</v>
      </c>
      <c r="N229" s="3">
        <v>0.96527823507984656</v>
      </c>
      <c r="O229" s="3" t="s">
        <v>143</v>
      </c>
      <c r="P229" s="3" t="s">
        <v>143</v>
      </c>
      <c r="Q229" s="3" t="str">
        <f t="shared" si="31"/>
        <v>207-2023-12-31</v>
      </c>
      <c r="R229" s="3">
        <v>0</v>
      </c>
      <c r="S229" s="3">
        <v>0</v>
      </c>
      <c r="T229" s="3" t="s">
        <v>443</v>
      </c>
      <c r="U229" s="3" t="s">
        <v>37</v>
      </c>
      <c r="V229" s="3" t="s">
        <v>142</v>
      </c>
      <c r="W229" s="3" t="s">
        <v>145</v>
      </c>
      <c r="X229" s="3" t="s">
        <v>146</v>
      </c>
      <c r="Y229" s="3" t="s">
        <v>147</v>
      </c>
      <c r="Z229" s="3" t="s">
        <v>63</v>
      </c>
      <c r="AA229" s="3" t="s">
        <v>148</v>
      </c>
      <c r="AB229" s="3" t="s">
        <v>43</v>
      </c>
      <c r="AC229" s="3" t="s">
        <v>66</v>
      </c>
      <c r="AD229" s="3">
        <v>0</v>
      </c>
    </row>
    <row r="230" spans="1:30" x14ac:dyDescent="0.3">
      <c r="A230" s="3">
        <v>207</v>
      </c>
      <c r="B230" s="3" t="s">
        <v>170</v>
      </c>
      <c r="C230" s="3" t="s">
        <v>142</v>
      </c>
      <c r="D230" s="3" t="s">
        <v>31</v>
      </c>
      <c r="E230" s="3" t="s">
        <v>171</v>
      </c>
      <c r="F230" s="12">
        <v>45473</v>
      </c>
      <c r="G230" s="3">
        <v>2024</v>
      </c>
      <c r="H230" s="3" t="s">
        <v>33</v>
      </c>
      <c r="I230" s="3" t="s">
        <v>51</v>
      </c>
      <c r="J230" s="3">
        <v>1</v>
      </c>
      <c r="K230" s="3">
        <v>128735.29679399999</v>
      </c>
      <c r="L230" s="3">
        <v>131039.3223</v>
      </c>
      <c r="M230" s="3">
        <v>1.017897387611471</v>
      </c>
      <c r="N230" s="3">
        <v>1.017897387611471</v>
      </c>
      <c r="O230" s="3" t="s">
        <v>143</v>
      </c>
      <c r="P230" s="3" t="s">
        <v>143</v>
      </c>
      <c r="Q230" s="3" t="str">
        <f t="shared" si="31"/>
        <v>207-2024-06-30</v>
      </c>
      <c r="R230" s="3">
        <v>0</v>
      </c>
      <c r="S230" s="3">
        <v>0</v>
      </c>
      <c r="T230" s="3" t="s">
        <v>31</v>
      </c>
      <c r="U230" s="3" t="s">
        <v>37</v>
      </c>
      <c r="V230" s="3" t="s">
        <v>142</v>
      </c>
      <c r="W230" s="3" t="s">
        <v>145</v>
      </c>
      <c r="X230" s="3" t="s">
        <v>146</v>
      </c>
      <c r="Y230" s="3" t="s">
        <v>147</v>
      </c>
      <c r="Z230" s="3" t="s">
        <v>63</v>
      </c>
      <c r="AA230" s="3" t="s">
        <v>148</v>
      </c>
      <c r="AB230" s="3" t="s">
        <v>43</v>
      </c>
      <c r="AC230" s="3" t="s">
        <v>66</v>
      </c>
      <c r="AD230" s="3">
        <v>0</v>
      </c>
    </row>
    <row r="231" spans="1:30" x14ac:dyDescent="0.3">
      <c r="A231" s="3">
        <v>207</v>
      </c>
      <c r="B231" s="3" t="s">
        <v>170</v>
      </c>
      <c r="C231" s="3" t="s">
        <v>142</v>
      </c>
      <c r="D231" s="3" t="s">
        <v>31</v>
      </c>
      <c r="E231" s="3" t="s">
        <v>171</v>
      </c>
      <c r="F231" s="12">
        <v>45657</v>
      </c>
      <c r="G231" s="3">
        <v>2024</v>
      </c>
      <c r="H231" s="3" t="s">
        <v>44</v>
      </c>
      <c r="I231" s="3" t="s">
        <v>53</v>
      </c>
      <c r="J231" s="3">
        <v>2</v>
      </c>
      <c r="K231" s="3">
        <v>262628.34438982193</v>
      </c>
      <c r="L231" s="3">
        <v>268399.19981700002</v>
      </c>
      <c r="M231" s="3">
        <v>1.017897387611471</v>
      </c>
      <c r="N231" s="3">
        <v>1.017897387611471</v>
      </c>
      <c r="O231" s="3" t="s">
        <v>143</v>
      </c>
      <c r="P231" s="3" t="s">
        <v>143</v>
      </c>
      <c r="Q231" s="3" t="str">
        <f t="shared" si="31"/>
        <v>207-2024-12-31</v>
      </c>
      <c r="R231" s="3">
        <v>0</v>
      </c>
      <c r="S231" s="3">
        <v>0</v>
      </c>
      <c r="T231" s="3" t="s">
        <v>31</v>
      </c>
      <c r="U231" s="3" t="s">
        <v>37</v>
      </c>
      <c r="V231" s="3" t="s">
        <v>142</v>
      </c>
      <c r="W231" s="3" t="s">
        <v>145</v>
      </c>
      <c r="X231" s="3" t="s">
        <v>146</v>
      </c>
      <c r="Y231" s="3" t="s">
        <v>147</v>
      </c>
      <c r="Z231" s="3" t="s">
        <v>63</v>
      </c>
      <c r="AA231" s="3" t="s">
        <v>148</v>
      </c>
      <c r="AB231" s="3" t="s">
        <v>43</v>
      </c>
      <c r="AC231" s="3" t="s">
        <v>66</v>
      </c>
      <c r="AD231" s="3">
        <v>0</v>
      </c>
    </row>
    <row r="232" spans="1:30" x14ac:dyDescent="0.3">
      <c r="A232" s="3">
        <v>207</v>
      </c>
      <c r="B232" s="3" t="s">
        <v>170</v>
      </c>
      <c r="C232" s="3" t="s">
        <v>142</v>
      </c>
      <c r="D232" s="3" t="s">
        <v>31</v>
      </c>
      <c r="E232" s="3" t="s">
        <v>171</v>
      </c>
      <c r="F232" s="12">
        <v>45657</v>
      </c>
      <c r="G232" s="3">
        <v>2024</v>
      </c>
      <c r="H232" s="3" t="s">
        <v>44</v>
      </c>
      <c r="I232" s="3" t="s">
        <v>53</v>
      </c>
      <c r="J232" s="3"/>
      <c r="K232" s="3">
        <v>262628.34438999998</v>
      </c>
      <c r="L232" s="3">
        <v>268399.19981700002</v>
      </c>
      <c r="M232" s="3">
        <v>1.0219734676407599</v>
      </c>
      <c r="N232" s="3">
        <v>1.0219734676407599</v>
      </c>
      <c r="O232" s="3" t="s">
        <v>143</v>
      </c>
      <c r="P232" s="3" t="s">
        <v>143</v>
      </c>
      <c r="Q232" s="3" t="str">
        <f t="shared" si="31"/>
        <v>207-2024-12-31</v>
      </c>
      <c r="R232" s="3">
        <v>0</v>
      </c>
      <c r="S232" s="3">
        <v>0</v>
      </c>
      <c r="T232" s="3" t="s">
        <v>443</v>
      </c>
      <c r="U232" s="3" t="s">
        <v>37</v>
      </c>
      <c r="V232" s="3" t="s">
        <v>142</v>
      </c>
      <c r="W232" s="3" t="s">
        <v>145</v>
      </c>
      <c r="X232" s="3" t="s">
        <v>146</v>
      </c>
      <c r="Y232" s="3" t="s">
        <v>147</v>
      </c>
      <c r="Z232" s="3" t="s">
        <v>63</v>
      </c>
      <c r="AA232" s="3" t="s">
        <v>148</v>
      </c>
      <c r="AB232" s="3" t="s">
        <v>43</v>
      </c>
      <c r="AC232" s="3" t="s">
        <v>66</v>
      </c>
      <c r="AD232" s="3">
        <v>0</v>
      </c>
    </row>
    <row r="233" spans="1:30" x14ac:dyDescent="0.3">
      <c r="A233" s="3">
        <v>207</v>
      </c>
      <c r="B233" s="3" t="s">
        <v>170</v>
      </c>
      <c r="C233" s="3" t="s">
        <v>142</v>
      </c>
      <c r="D233" s="3" t="s">
        <v>31</v>
      </c>
      <c r="E233" s="3" t="s">
        <v>171</v>
      </c>
      <c r="F233" s="12">
        <v>45838</v>
      </c>
      <c r="G233" s="3">
        <v>2025</v>
      </c>
      <c r="H233" s="3" t="s">
        <v>33</v>
      </c>
      <c r="I233" s="3" t="s">
        <v>404</v>
      </c>
      <c r="J233" s="3">
        <v>1</v>
      </c>
      <c r="K233" s="3">
        <v>131244.07283600001</v>
      </c>
      <c r="L233" s="3">
        <v>145546.91852800001</v>
      </c>
      <c r="M233" s="3">
        <v>1.108978983834741</v>
      </c>
      <c r="N233" s="3">
        <v>1.108978983834741</v>
      </c>
      <c r="O233" s="3" t="s">
        <v>143</v>
      </c>
      <c r="P233" s="3" t="s">
        <v>143</v>
      </c>
      <c r="Q233" s="3" t="str">
        <f t="shared" si="31"/>
        <v>207-2025-06-30</v>
      </c>
      <c r="R233" s="3">
        <v>0</v>
      </c>
      <c r="S233" s="3">
        <v>0</v>
      </c>
      <c r="T233" s="3" t="s">
        <v>31</v>
      </c>
      <c r="U233" s="3" t="s">
        <v>37</v>
      </c>
      <c r="V233" s="3" t="s">
        <v>142</v>
      </c>
      <c r="W233" s="3" t="s">
        <v>145</v>
      </c>
      <c r="X233" s="3" t="s">
        <v>146</v>
      </c>
      <c r="Y233" s="3" t="s">
        <v>147</v>
      </c>
      <c r="Z233" s="3" t="s">
        <v>63</v>
      </c>
      <c r="AA233" s="3" t="s">
        <v>148</v>
      </c>
      <c r="AB233" s="3" t="s">
        <v>43</v>
      </c>
      <c r="AC233" s="3" t="s">
        <v>66</v>
      </c>
      <c r="AD233" s="3">
        <v>0</v>
      </c>
    </row>
    <row r="234" spans="1:30" x14ac:dyDescent="0.3">
      <c r="A234" s="3">
        <v>207</v>
      </c>
      <c r="B234" s="3" t="s">
        <v>170</v>
      </c>
      <c r="C234" s="3" t="s">
        <v>142</v>
      </c>
      <c r="D234" s="3" t="s">
        <v>31</v>
      </c>
      <c r="E234" s="3" t="s">
        <v>171</v>
      </c>
      <c r="F234" s="12">
        <v>46022</v>
      </c>
      <c r="G234" s="3">
        <v>2025</v>
      </c>
      <c r="H234" s="3" t="s">
        <v>44</v>
      </c>
      <c r="I234" s="3" t="s">
        <v>465</v>
      </c>
      <c r="J234" s="3"/>
      <c r="K234" s="3"/>
      <c r="L234" s="3">
        <v>277178.213544</v>
      </c>
      <c r="M234" s="3"/>
      <c r="N234" s="3"/>
      <c r="O234" s="3" t="s">
        <v>143</v>
      </c>
      <c r="P234" s="3" t="s">
        <v>143</v>
      </c>
      <c r="Q234" s="3" t="str">
        <f t="shared" si="31"/>
        <v>207-2025-12-31</v>
      </c>
      <c r="R234" s="3">
        <v>0</v>
      </c>
      <c r="S234" s="3">
        <v>0</v>
      </c>
      <c r="T234" s="3" t="s">
        <v>443</v>
      </c>
      <c r="U234" s="3" t="s">
        <v>37</v>
      </c>
      <c r="V234" s="3" t="s">
        <v>142</v>
      </c>
      <c r="W234" s="3" t="s">
        <v>145</v>
      </c>
      <c r="X234" s="3" t="s">
        <v>146</v>
      </c>
      <c r="Y234" s="3" t="s">
        <v>147</v>
      </c>
      <c r="Z234" s="3" t="s">
        <v>63</v>
      </c>
      <c r="AA234" s="3" t="s">
        <v>148</v>
      </c>
      <c r="AB234" s="3" t="s">
        <v>43</v>
      </c>
      <c r="AC234" s="3" t="s">
        <v>66</v>
      </c>
      <c r="AD234" s="3">
        <v>0</v>
      </c>
    </row>
    <row r="235" spans="1:30" x14ac:dyDescent="0.3">
      <c r="A235" s="3">
        <v>228</v>
      </c>
      <c r="B235" s="3" t="s">
        <v>176</v>
      </c>
      <c r="C235" s="3" t="s">
        <v>177</v>
      </c>
      <c r="D235" s="3" t="s">
        <v>66</v>
      </c>
      <c r="E235" s="3" t="s">
        <v>32</v>
      </c>
      <c r="F235" s="12">
        <v>44926</v>
      </c>
      <c r="G235" s="3">
        <v>2022</v>
      </c>
      <c r="H235" s="3" t="s">
        <v>44</v>
      </c>
      <c r="I235" s="3" t="s">
        <v>45</v>
      </c>
      <c r="J235" s="3">
        <v>2</v>
      </c>
      <c r="K235" s="3">
        <v>170.99</v>
      </c>
      <c r="L235" s="3">
        <v>235</v>
      </c>
      <c r="M235" s="3">
        <f>+L235/K235</f>
        <v>1.3743493771565587</v>
      </c>
      <c r="N235" s="3">
        <f>+L235/K235</f>
        <v>1.3743493771565587</v>
      </c>
      <c r="O235" s="3" t="s">
        <v>445</v>
      </c>
      <c r="P235" s="3" t="s">
        <v>445</v>
      </c>
      <c r="Q235" s="3" t="str">
        <f t="shared" si="31"/>
        <v>228-2022-12-31</v>
      </c>
      <c r="R235" s="3">
        <v>1</v>
      </c>
      <c r="S235" s="3">
        <v>0</v>
      </c>
      <c r="T235" s="3" t="s">
        <v>31</v>
      </c>
      <c r="U235" s="3" t="s">
        <v>37</v>
      </c>
      <c r="V235" s="3" t="s">
        <v>177</v>
      </c>
      <c r="W235" s="3" t="s">
        <v>145</v>
      </c>
      <c r="X235" s="3" t="s">
        <v>179</v>
      </c>
      <c r="Y235" s="3" t="s">
        <v>180</v>
      </c>
      <c r="Z235" s="3" t="s">
        <v>63</v>
      </c>
      <c r="AA235" s="3" t="s">
        <v>64</v>
      </c>
      <c r="AB235" s="3" t="s">
        <v>43</v>
      </c>
      <c r="AC235" s="3" t="s">
        <v>66</v>
      </c>
      <c r="AD235" s="3">
        <v>0</v>
      </c>
    </row>
    <row r="236" spans="1:30" x14ac:dyDescent="0.3">
      <c r="A236" s="3">
        <v>228</v>
      </c>
      <c r="B236" s="3" t="s">
        <v>176</v>
      </c>
      <c r="C236" s="3" t="s">
        <v>177</v>
      </c>
      <c r="D236" s="3" t="s">
        <v>66</v>
      </c>
      <c r="E236" s="3" t="s">
        <v>32</v>
      </c>
      <c r="F236" s="12">
        <v>44926</v>
      </c>
      <c r="G236" s="3">
        <v>2022</v>
      </c>
      <c r="H236" s="3" t="s">
        <v>44</v>
      </c>
      <c r="I236" s="3" t="s">
        <v>45</v>
      </c>
      <c r="J236" s="3"/>
      <c r="K236" s="3">
        <v>170.99</v>
      </c>
      <c r="L236" s="3">
        <v>235</v>
      </c>
      <c r="M236" s="3">
        <f t="shared" ref="M236:M240" si="34">+L236/K236</f>
        <v>1.3743493771565587</v>
      </c>
      <c r="N236" s="3">
        <f t="shared" ref="N236:N240" si="35">+L236/K236</f>
        <v>1.3743493771565587</v>
      </c>
      <c r="O236" s="3" t="s">
        <v>445</v>
      </c>
      <c r="P236" s="3" t="s">
        <v>445</v>
      </c>
      <c r="Q236" s="3" t="str">
        <f t="shared" si="31"/>
        <v>228-2022-12-31</v>
      </c>
      <c r="R236" s="3">
        <v>1</v>
      </c>
      <c r="S236" s="3">
        <v>0</v>
      </c>
      <c r="T236" s="3" t="s">
        <v>443</v>
      </c>
      <c r="U236" s="3" t="s">
        <v>37</v>
      </c>
      <c r="V236" s="3" t="s">
        <v>177</v>
      </c>
      <c r="W236" s="3" t="s">
        <v>145</v>
      </c>
      <c r="X236" s="3" t="s">
        <v>179</v>
      </c>
      <c r="Y236" s="3" t="s">
        <v>180</v>
      </c>
      <c r="Z236" s="3" t="s">
        <v>63</v>
      </c>
      <c r="AA236" s="3" t="s">
        <v>64</v>
      </c>
      <c r="AB236" s="3" t="s">
        <v>43</v>
      </c>
      <c r="AC236" s="3" t="s">
        <v>66</v>
      </c>
      <c r="AD236" s="3">
        <v>0</v>
      </c>
    </row>
    <row r="237" spans="1:30" x14ac:dyDescent="0.3">
      <c r="A237" s="3">
        <v>228</v>
      </c>
      <c r="B237" s="3" t="s">
        <v>176</v>
      </c>
      <c r="C237" s="3" t="s">
        <v>177</v>
      </c>
      <c r="D237" s="3" t="s">
        <v>66</v>
      </c>
      <c r="E237" s="3" t="s">
        <v>32</v>
      </c>
      <c r="F237" s="12">
        <v>45291</v>
      </c>
      <c r="G237" s="3">
        <v>2023</v>
      </c>
      <c r="H237" s="3" t="s">
        <v>44</v>
      </c>
      <c r="I237" s="3" t="s">
        <v>49</v>
      </c>
      <c r="J237" s="3">
        <v>2</v>
      </c>
      <c r="K237" s="3">
        <v>476.48</v>
      </c>
      <c r="L237" s="3">
        <v>477</v>
      </c>
      <c r="M237" s="3">
        <f t="shared" si="34"/>
        <v>1.0010913364674279</v>
      </c>
      <c r="N237" s="3">
        <f t="shared" si="35"/>
        <v>1.0010913364674279</v>
      </c>
      <c r="O237" s="3" t="s">
        <v>445</v>
      </c>
      <c r="P237" s="3" t="s">
        <v>445</v>
      </c>
      <c r="Q237" s="3" t="str">
        <f t="shared" si="31"/>
        <v>228-2023-12-31</v>
      </c>
      <c r="R237" s="3">
        <v>1</v>
      </c>
      <c r="S237" s="3">
        <v>0</v>
      </c>
      <c r="T237" s="3" t="s">
        <v>31</v>
      </c>
      <c r="U237" s="3" t="s">
        <v>37</v>
      </c>
      <c r="V237" s="3" t="s">
        <v>177</v>
      </c>
      <c r="W237" s="3" t="s">
        <v>145</v>
      </c>
      <c r="X237" s="3" t="s">
        <v>179</v>
      </c>
      <c r="Y237" s="3" t="s">
        <v>180</v>
      </c>
      <c r="Z237" s="3" t="s">
        <v>63</v>
      </c>
      <c r="AA237" s="3" t="s">
        <v>64</v>
      </c>
      <c r="AB237" s="3" t="s">
        <v>43</v>
      </c>
      <c r="AC237" s="3" t="s">
        <v>66</v>
      </c>
      <c r="AD237" s="3">
        <v>0</v>
      </c>
    </row>
    <row r="238" spans="1:30" x14ac:dyDescent="0.3">
      <c r="A238" s="3">
        <v>228</v>
      </c>
      <c r="B238" s="3" t="s">
        <v>176</v>
      </c>
      <c r="C238" s="3" t="s">
        <v>177</v>
      </c>
      <c r="D238" s="3" t="s">
        <v>66</v>
      </c>
      <c r="E238" s="3" t="s">
        <v>32</v>
      </c>
      <c r="F238" s="12">
        <v>45657</v>
      </c>
      <c r="G238" s="3">
        <v>2023</v>
      </c>
      <c r="H238" s="3" t="s">
        <v>44</v>
      </c>
      <c r="I238" s="3" t="s">
        <v>49</v>
      </c>
      <c r="J238" s="3"/>
      <c r="K238" s="3">
        <v>476.48</v>
      </c>
      <c r="L238" s="3">
        <v>477</v>
      </c>
      <c r="M238" s="3">
        <f t="shared" si="34"/>
        <v>1.0010913364674279</v>
      </c>
      <c r="N238" s="3">
        <f t="shared" si="35"/>
        <v>1.0010913364674279</v>
      </c>
      <c r="O238" s="3" t="s">
        <v>445</v>
      </c>
      <c r="P238" s="3" t="s">
        <v>445</v>
      </c>
      <c r="Q238" s="3" t="str">
        <f t="shared" si="31"/>
        <v>228-2024-12-31</v>
      </c>
      <c r="R238" s="3">
        <v>1</v>
      </c>
      <c r="S238" s="3">
        <v>0</v>
      </c>
      <c r="T238" s="3" t="s">
        <v>443</v>
      </c>
      <c r="U238" s="3" t="s">
        <v>37</v>
      </c>
      <c r="V238" s="3" t="s">
        <v>177</v>
      </c>
      <c r="W238" s="3" t="s">
        <v>145</v>
      </c>
      <c r="X238" s="3" t="s">
        <v>179</v>
      </c>
      <c r="Y238" s="3" t="s">
        <v>180</v>
      </c>
      <c r="Z238" s="3" t="s">
        <v>63</v>
      </c>
      <c r="AA238" s="3" t="s">
        <v>64</v>
      </c>
      <c r="AB238" s="3" t="s">
        <v>43</v>
      </c>
      <c r="AC238" s="3" t="s">
        <v>66</v>
      </c>
      <c r="AD238" s="3">
        <v>0</v>
      </c>
    </row>
    <row r="239" spans="1:30" x14ac:dyDescent="0.3">
      <c r="A239" s="3">
        <v>228</v>
      </c>
      <c r="B239" s="3" t="s">
        <v>176</v>
      </c>
      <c r="C239" s="3" t="s">
        <v>177</v>
      </c>
      <c r="D239" s="3" t="s">
        <v>66</v>
      </c>
      <c r="E239" s="3" t="s">
        <v>32</v>
      </c>
      <c r="F239" s="12">
        <v>45657</v>
      </c>
      <c r="G239" s="3">
        <v>2024</v>
      </c>
      <c r="H239" s="3" t="s">
        <v>44</v>
      </c>
      <c r="I239" s="3" t="s">
        <v>53</v>
      </c>
      <c r="J239" s="3">
        <v>2</v>
      </c>
      <c r="K239" s="3">
        <v>622.69000000000005</v>
      </c>
      <c r="L239" s="3">
        <v>622.68999999999994</v>
      </c>
      <c r="M239" s="3">
        <f t="shared" si="34"/>
        <v>0.99999999999999978</v>
      </c>
      <c r="N239" s="3">
        <f t="shared" si="35"/>
        <v>0.99999999999999978</v>
      </c>
      <c r="O239" s="3" t="s">
        <v>445</v>
      </c>
      <c r="P239" s="3" t="s">
        <v>445</v>
      </c>
      <c r="Q239" s="3" t="str">
        <f t="shared" si="31"/>
        <v>228-2024-12-31</v>
      </c>
      <c r="R239" s="3">
        <v>1</v>
      </c>
      <c r="S239" s="3">
        <v>1</v>
      </c>
      <c r="T239" s="3" t="s">
        <v>31</v>
      </c>
      <c r="U239" s="3" t="s">
        <v>37</v>
      </c>
      <c r="V239" s="3" t="s">
        <v>177</v>
      </c>
      <c r="W239" s="3" t="s">
        <v>145</v>
      </c>
      <c r="X239" s="3" t="s">
        <v>179</v>
      </c>
      <c r="Y239" s="3" t="s">
        <v>180</v>
      </c>
      <c r="Z239" s="3" t="s">
        <v>63</v>
      </c>
      <c r="AA239" s="3" t="s">
        <v>64</v>
      </c>
      <c r="AB239" s="3" t="s">
        <v>43</v>
      </c>
      <c r="AC239" s="3" t="s">
        <v>66</v>
      </c>
      <c r="AD239" s="3">
        <v>0</v>
      </c>
    </row>
    <row r="240" spans="1:30" x14ac:dyDescent="0.3">
      <c r="A240" s="3">
        <v>228</v>
      </c>
      <c r="B240" s="3" t="s">
        <v>176</v>
      </c>
      <c r="C240" s="3" t="s">
        <v>177</v>
      </c>
      <c r="D240" s="3" t="s">
        <v>66</v>
      </c>
      <c r="E240" s="3" t="s">
        <v>32</v>
      </c>
      <c r="F240" s="12">
        <v>45657</v>
      </c>
      <c r="G240" s="3">
        <v>2024</v>
      </c>
      <c r="H240" s="3" t="s">
        <v>44</v>
      </c>
      <c r="I240" s="3" t="s">
        <v>53</v>
      </c>
      <c r="J240" s="3"/>
      <c r="K240" s="3">
        <v>622.69000000000005</v>
      </c>
      <c r="L240" s="3">
        <v>622.68999999999994</v>
      </c>
      <c r="M240" s="3">
        <f t="shared" si="34"/>
        <v>0.99999999999999978</v>
      </c>
      <c r="N240" s="3">
        <f t="shared" si="35"/>
        <v>0.99999999999999978</v>
      </c>
      <c r="O240" s="3" t="s">
        <v>445</v>
      </c>
      <c r="P240" s="3" t="s">
        <v>445</v>
      </c>
      <c r="Q240" s="3" t="str">
        <f t="shared" si="31"/>
        <v>228-2024-12-31</v>
      </c>
      <c r="R240" s="3">
        <v>1</v>
      </c>
      <c r="S240" s="3">
        <v>1</v>
      </c>
      <c r="T240" s="3" t="s">
        <v>443</v>
      </c>
      <c r="U240" s="3" t="s">
        <v>37</v>
      </c>
      <c r="V240" s="3" t="s">
        <v>177</v>
      </c>
      <c r="W240" s="3" t="s">
        <v>145</v>
      </c>
      <c r="X240" s="3" t="s">
        <v>179</v>
      </c>
      <c r="Y240" s="3" t="s">
        <v>180</v>
      </c>
      <c r="Z240" s="3" t="s">
        <v>63</v>
      </c>
      <c r="AA240" s="3" t="s">
        <v>64</v>
      </c>
      <c r="AB240" s="3" t="s">
        <v>43</v>
      </c>
      <c r="AC240" s="3" t="s">
        <v>66</v>
      </c>
      <c r="AD240" s="3">
        <v>0</v>
      </c>
    </row>
    <row r="241" spans="1:30" x14ac:dyDescent="0.3">
      <c r="A241" s="3">
        <v>244</v>
      </c>
      <c r="B241" s="3" t="s">
        <v>182</v>
      </c>
      <c r="C241" s="3" t="s">
        <v>177</v>
      </c>
      <c r="D241" s="3" t="s">
        <v>66</v>
      </c>
      <c r="E241" s="3" t="s">
        <v>171</v>
      </c>
      <c r="F241" s="12">
        <v>44926</v>
      </c>
      <c r="G241" s="3">
        <v>2022</v>
      </c>
      <c r="H241" s="3" t="s">
        <v>44</v>
      </c>
      <c r="I241" s="3" t="s">
        <v>45</v>
      </c>
      <c r="J241" s="3">
        <v>2</v>
      </c>
      <c r="K241" s="3">
        <v>27</v>
      </c>
      <c r="L241" s="3">
        <v>27</v>
      </c>
      <c r="M241" s="3">
        <f>IF(K241/L241&gt;1.3,1.3,K241/L241)</f>
        <v>1</v>
      </c>
      <c r="N241" s="3">
        <f>+K241/L241</f>
        <v>1</v>
      </c>
      <c r="O241" s="3" t="s">
        <v>35</v>
      </c>
      <c r="P241" s="3" t="s">
        <v>35</v>
      </c>
      <c r="Q241" s="3" t="str">
        <f t="shared" si="31"/>
        <v>244-2022-12-31</v>
      </c>
      <c r="R241" s="3">
        <v>0</v>
      </c>
      <c r="S241" s="3">
        <v>0</v>
      </c>
      <c r="T241" s="3" t="s">
        <v>31</v>
      </c>
      <c r="U241" s="3" t="s">
        <v>37</v>
      </c>
      <c r="V241" s="3" t="s">
        <v>177</v>
      </c>
      <c r="W241" s="3" t="s">
        <v>145</v>
      </c>
      <c r="X241" s="3" t="s">
        <v>179</v>
      </c>
      <c r="Y241" s="3" t="s">
        <v>180</v>
      </c>
      <c r="Z241" s="3" t="s">
        <v>63</v>
      </c>
      <c r="AA241" s="3" t="s">
        <v>64</v>
      </c>
      <c r="AB241" s="3" t="s">
        <v>43</v>
      </c>
      <c r="AC241" s="3" t="s">
        <v>66</v>
      </c>
      <c r="AD241" s="3">
        <v>0</v>
      </c>
    </row>
    <row r="242" spans="1:30" x14ac:dyDescent="0.3">
      <c r="A242" s="3">
        <v>244</v>
      </c>
      <c r="B242" s="3" t="s">
        <v>182</v>
      </c>
      <c r="C242" s="3" t="s">
        <v>177</v>
      </c>
      <c r="D242" s="3" t="s">
        <v>66</v>
      </c>
      <c r="E242" s="3" t="s">
        <v>171</v>
      </c>
      <c r="F242" s="12">
        <v>44926</v>
      </c>
      <c r="G242" s="3">
        <v>2022</v>
      </c>
      <c r="H242" s="3" t="s">
        <v>44</v>
      </c>
      <c r="I242" s="3" t="s">
        <v>45</v>
      </c>
      <c r="J242" s="3"/>
      <c r="K242" s="3">
        <v>27</v>
      </c>
      <c r="L242" s="3">
        <v>27</v>
      </c>
      <c r="M242" s="3">
        <f t="shared" ref="M242:M247" si="36">IF(K242/L242&gt;1.3,1.3,K242/L242)</f>
        <v>1</v>
      </c>
      <c r="N242" s="3">
        <f t="shared" ref="N242:N247" si="37">+K242/L242</f>
        <v>1</v>
      </c>
      <c r="O242" s="3" t="s">
        <v>35</v>
      </c>
      <c r="P242" s="3" t="s">
        <v>35</v>
      </c>
      <c r="Q242" s="3" t="str">
        <f t="shared" si="31"/>
        <v>244-2022-12-31</v>
      </c>
      <c r="R242" s="3">
        <v>0</v>
      </c>
      <c r="S242" s="3">
        <v>0</v>
      </c>
      <c r="T242" s="3" t="s">
        <v>443</v>
      </c>
      <c r="U242" s="3" t="s">
        <v>37</v>
      </c>
      <c r="V242" s="3" t="s">
        <v>177</v>
      </c>
      <c r="W242" s="3" t="s">
        <v>145</v>
      </c>
      <c r="X242" s="3" t="s">
        <v>179</v>
      </c>
      <c r="Y242" s="3" t="s">
        <v>180</v>
      </c>
      <c r="Z242" s="3" t="s">
        <v>63</v>
      </c>
      <c r="AA242" s="3" t="s">
        <v>64</v>
      </c>
      <c r="AB242" s="3" t="s">
        <v>43</v>
      </c>
      <c r="AC242" s="3" t="s">
        <v>66</v>
      </c>
      <c r="AD242" s="3">
        <v>0</v>
      </c>
    </row>
    <row r="243" spans="1:30" x14ac:dyDescent="0.3">
      <c r="A243" s="3">
        <v>244</v>
      </c>
      <c r="B243" s="3" t="s">
        <v>182</v>
      </c>
      <c r="C243" s="3" t="s">
        <v>177</v>
      </c>
      <c r="D243" s="3" t="s">
        <v>66</v>
      </c>
      <c r="E243" s="3" t="s">
        <v>171</v>
      </c>
      <c r="F243" s="12">
        <v>45291</v>
      </c>
      <c r="G243" s="3">
        <v>2023</v>
      </c>
      <c r="H243" s="3" t="s">
        <v>44</v>
      </c>
      <c r="I243" s="3" t="s">
        <v>49</v>
      </c>
      <c r="J243" s="3">
        <v>2</v>
      </c>
      <c r="K243" s="3">
        <v>25</v>
      </c>
      <c r="L243" s="3">
        <v>24</v>
      </c>
      <c r="M243" s="3">
        <f t="shared" si="36"/>
        <v>1.0416666666666667</v>
      </c>
      <c r="N243" s="3">
        <f t="shared" si="37"/>
        <v>1.0416666666666667</v>
      </c>
      <c r="O243" s="3" t="s">
        <v>35</v>
      </c>
      <c r="P243" s="3" t="s">
        <v>35</v>
      </c>
      <c r="Q243" s="3" t="str">
        <f t="shared" si="31"/>
        <v>244-2023-12-31</v>
      </c>
      <c r="R243" s="3">
        <v>0</v>
      </c>
      <c r="S243" s="3">
        <v>0</v>
      </c>
      <c r="T243" s="3" t="s">
        <v>31</v>
      </c>
      <c r="U243" s="3" t="s">
        <v>37</v>
      </c>
      <c r="V243" s="3" t="s">
        <v>177</v>
      </c>
      <c r="W243" s="3" t="s">
        <v>145</v>
      </c>
      <c r="X243" s="3" t="s">
        <v>179</v>
      </c>
      <c r="Y243" s="3" t="s">
        <v>180</v>
      </c>
      <c r="Z243" s="3" t="s">
        <v>63</v>
      </c>
      <c r="AA243" s="3" t="s">
        <v>64</v>
      </c>
      <c r="AB243" s="3" t="s">
        <v>43</v>
      </c>
      <c r="AC243" s="3" t="s">
        <v>66</v>
      </c>
      <c r="AD243" s="3">
        <v>0</v>
      </c>
    </row>
    <row r="244" spans="1:30" x14ac:dyDescent="0.3">
      <c r="A244" s="3">
        <v>244</v>
      </c>
      <c r="B244" s="3" t="s">
        <v>182</v>
      </c>
      <c r="C244" s="3" t="s">
        <v>177</v>
      </c>
      <c r="D244" s="3" t="s">
        <v>66</v>
      </c>
      <c r="E244" s="3" t="s">
        <v>171</v>
      </c>
      <c r="F244" s="12">
        <v>45291</v>
      </c>
      <c r="G244" s="3">
        <v>2023</v>
      </c>
      <c r="H244" s="3" t="s">
        <v>44</v>
      </c>
      <c r="I244" s="3" t="s">
        <v>49</v>
      </c>
      <c r="J244" s="3"/>
      <c r="K244" s="3">
        <v>25</v>
      </c>
      <c r="L244" s="3">
        <v>24</v>
      </c>
      <c r="M244" s="3">
        <f t="shared" si="36"/>
        <v>1.0416666666666667</v>
      </c>
      <c r="N244" s="3">
        <f t="shared" si="37"/>
        <v>1.0416666666666667</v>
      </c>
      <c r="O244" s="3" t="s">
        <v>35</v>
      </c>
      <c r="P244" s="3" t="s">
        <v>35</v>
      </c>
      <c r="Q244" s="3" t="str">
        <f t="shared" si="31"/>
        <v>244-2023-12-31</v>
      </c>
      <c r="R244" s="3">
        <v>0</v>
      </c>
      <c r="S244" s="3">
        <v>0</v>
      </c>
      <c r="T244" s="3" t="s">
        <v>443</v>
      </c>
      <c r="U244" s="3" t="s">
        <v>37</v>
      </c>
      <c r="V244" s="3" t="s">
        <v>177</v>
      </c>
      <c r="W244" s="3" t="s">
        <v>145</v>
      </c>
      <c r="X244" s="3" t="s">
        <v>179</v>
      </c>
      <c r="Y244" s="3" t="s">
        <v>180</v>
      </c>
      <c r="Z244" s="3" t="s">
        <v>63</v>
      </c>
      <c r="AA244" s="3" t="s">
        <v>64</v>
      </c>
      <c r="AB244" s="3" t="s">
        <v>43</v>
      </c>
      <c r="AC244" s="3" t="s">
        <v>66</v>
      </c>
      <c r="AD244" s="3">
        <v>0</v>
      </c>
    </row>
    <row r="245" spans="1:30" x14ac:dyDescent="0.3">
      <c r="A245" s="3">
        <v>244</v>
      </c>
      <c r="B245" s="3" t="s">
        <v>182</v>
      </c>
      <c r="C245" s="3" t="s">
        <v>177</v>
      </c>
      <c r="D245" s="3" t="s">
        <v>66</v>
      </c>
      <c r="E245" s="3" t="s">
        <v>171</v>
      </c>
      <c r="F245" s="12">
        <v>45657</v>
      </c>
      <c r="G245" s="3">
        <v>2024</v>
      </c>
      <c r="H245" s="3" t="s">
        <v>44</v>
      </c>
      <c r="I245" s="3" t="s">
        <v>53</v>
      </c>
      <c r="J245" s="3">
        <v>2</v>
      </c>
      <c r="K245" s="3">
        <v>25</v>
      </c>
      <c r="L245" s="3">
        <v>25</v>
      </c>
      <c r="M245" s="3">
        <f t="shared" si="36"/>
        <v>1</v>
      </c>
      <c r="N245" s="3">
        <f t="shared" si="37"/>
        <v>1</v>
      </c>
      <c r="O245" s="3" t="s">
        <v>35</v>
      </c>
      <c r="P245" s="3" t="s">
        <v>35</v>
      </c>
      <c r="Q245" s="3" t="str">
        <f t="shared" si="31"/>
        <v>244-2024-12-31</v>
      </c>
      <c r="R245" s="3">
        <v>0</v>
      </c>
      <c r="S245" s="3">
        <v>0</v>
      </c>
      <c r="T245" s="3" t="s">
        <v>31</v>
      </c>
      <c r="U245" s="3" t="s">
        <v>37</v>
      </c>
      <c r="V245" s="3" t="s">
        <v>177</v>
      </c>
      <c r="W245" s="3" t="s">
        <v>145</v>
      </c>
      <c r="X245" s="3" t="s">
        <v>179</v>
      </c>
      <c r="Y245" s="3" t="s">
        <v>180</v>
      </c>
      <c r="Z245" s="3" t="s">
        <v>63</v>
      </c>
      <c r="AA245" s="3" t="s">
        <v>64</v>
      </c>
      <c r="AB245" s="3" t="s">
        <v>43</v>
      </c>
      <c r="AC245" s="3" t="s">
        <v>66</v>
      </c>
      <c r="AD245" s="3">
        <v>0</v>
      </c>
    </row>
    <row r="246" spans="1:30" x14ac:dyDescent="0.3">
      <c r="A246" s="3">
        <v>244</v>
      </c>
      <c r="B246" s="3" t="s">
        <v>182</v>
      </c>
      <c r="C246" s="3" t="s">
        <v>177</v>
      </c>
      <c r="D246" s="3" t="s">
        <v>66</v>
      </c>
      <c r="E246" s="3" t="s">
        <v>171</v>
      </c>
      <c r="F246" s="12">
        <v>45657</v>
      </c>
      <c r="G246" s="3">
        <v>2024</v>
      </c>
      <c r="H246" s="3" t="s">
        <v>44</v>
      </c>
      <c r="I246" s="3" t="s">
        <v>53</v>
      </c>
      <c r="J246" s="3"/>
      <c r="K246" s="3">
        <v>25</v>
      </c>
      <c r="L246" s="3">
        <v>25</v>
      </c>
      <c r="M246" s="3">
        <f t="shared" si="36"/>
        <v>1</v>
      </c>
      <c r="N246" s="3">
        <f t="shared" si="37"/>
        <v>1</v>
      </c>
      <c r="O246" s="3" t="s">
        <v>35</v>
      </c>
      <c r="P246" s="3" t="s">
        <v>35</v>
      </c>
      <c r="Q246" s="3" t="str">
        <f t="shared" si="31"/>
        <v>244-2024-12-31</v>
      </c>
      <c r="R246" s="3">
        <v>0</v>
      </c>
      <c r="S246" s="3">
        <v>0</v>
      </c>
      <c r="T246" s="3" t="s">
        <v>443</v>
      </c>
      <c r="U246" s="3" t="s">
        <v>37</v>
      </c>
      <c r="V246" s="3" t="s">
        <v>177</v>
      </c>
      <c r="W246" s="3" t="s">
        <v>145</v>
      </c>
      <c r="X246" s="3" t="s">
        <v>179</v>
      </c>
      <c r="Y246" s="3" t="s">
        <v>180</v>
      </c>
      <c r="Z246" s="3" t="s">
        <v>63</v>
      </c>
      <c r="AA246" s="3" t="s">
        <v>64</v>
      </c>
      <c r="AB246" s="3" t="s">
        <v>43</v>
      </c>
      <c r="AC246" s="3" t="s">
        <v>66</v>
      </c>
      <c r="AD246" s="3">
        <v>0</v>
      </c>
    </row>
    <row r="247" spans="1:30" x14ac:dyDescent="0.3">
      <c r="A247" s="3">
        <v>244</v>
      </c>
      <c r="B247" s="3" t="s">
        <v>182</v>
      </c>
      <c r="C247" s="3" t="s">
        <v>177</v>
      </c>
      <c r="D247" s="3" t="s">
        <v>66</v>
      </c>
      <c r="E247" s="3" t="s">
        <v>171</v>
      </c>
      <c r="F247" s="12">
        <v>46022</v>
      </c>
      <c r="G247" s="3">
        <v>2025</v>
      </c>
      <c r="H247" s="3" t="s">
        <v>44</v>
      </c>
      <c r="I247" s="3" t="s">
        <v>465</v>
      </c>
      <c r="J247" s="3">
        <v>2</v>
      </c>
      <c r="K247" s="3">
        <v>25</v>
      </c>
      <c r="L247" s="3">
        <v>13</v>
      </c>
      <c r="M247" s="3">
        <f t="shared" si="36"/>
        <v>1.3</v>
      </c>
      <c r="N247" s="3">
        <f t="shared" si="37"/>
        <v>1.9230769230769231</v>
      </c>
      <c r="O247" s="3" t="s">
        <v>35</v>
      </c>
      <c r="P247" s="3" t="s">
        <v>35</v>
      </c>
      <c r="Q247" s="3" t="str">
        <f t="shared" si="31"/>
        <v>244-2025-12-31</v>
      </c>
      <c r="R247" s="3">
        <v>0</v>
      </c>
      <c r="S247" s="3">
        <v>0</v>
      </c>
      <c r="T247" s="3" t="s">
        <v>31</v>
      </c>
      <c r="U247" s="3" t="s">
        <v>37</v>
      </c>
      <c r="V247" s="3" t="s">
        <v>177</v>
      </c>
      <c r="W247" s="3" t="s">
        <v>145</v>
      </c>
      <c r="X247" s="3" t="s">
        <v>179</v>
      </c>
      <c r="Y247" s="3" t="s">
        <v>180</v>
      </c>
      <c r="Z247" s="3" t="s">
        <v>63</v>
      </c>
      <c r="AA247" s="3" t="s">
        <v>64</v>
      </c>
      <c r="AB247" s="3" t="s">
        <v>43</v>
      </c>
      <c r="AC247" s="3" t="s">
        <v>66</v>
      </c>
      <c r="AD247" s="3">
        <v>0</v>
      </c>
    </row>
    <row r="248" spans="1:30" x14ac:dyDescent="0.3">
      <c r="A248" s="3">
        <v>245</v>
      </c>
      <c r="B248" s="3" t="s">
        <v>185</v>
      </c>
      <c r="C248" s="3" t="s">
        <v>186</v>
      </c>
      <c r="D248" s="3" t="s">
        <v>31</v>
      </c>
      <c r="E248" s="3" t="s">
        <v>32</v>
      </c>
      <c r="F248" s="12">
        <v>44742</v>
      </c>
      <c r="G248" s="3">
        <v>2022</v>
      </c>
      <c r="H248" s="3" t="s">
        <v>33</v>
      </c>
      <c r="I248" s="3" t="s">
        <v>34</v>
      </c>
      <c r="J248" s="3">
        <v>1</v>
      </c>
      <c r="K248" s="3">
        <v>88.5</v>
      </c>
      <c r="L248" s="3">
        <v>87</v>
      </c>
      <c r="M248" s="3">
        <f>+L248/K248</f>
        <v>0.98305084745762716</v>
      </c>
      <c r="N248" s="3">
        <f>+L248/K248</f>
        <v>0.98305084745762716</v>
      </c>
      <c r="O248" s="3" t="s">
        <v>58</v>
      </c>
      <c r="P248" s="3" t="s">
        <v>58</v>
      </c>
      <c r="Q248" s="3" t="str">
        <f t="shared" si="31"/>
        <v>245-2022-06-30</v>
      </c>
      <c r="R248" s="3">
        <v>0</v>
      </c>
      <c r="S248" s="3">
        <v>0</v>
      </c>
      <c r="T248" s="3" t="s">
        <v>31</v>
      </c>
      <c r="U248" s="3" t="s">
        <v>37</v>
      </c>
      <c r="V248" s="3" t="s">
        <v>186</v>
      </c>
      <c r="W248" s="3" t="s">
        <v>112</v>
      </c>
      <c r="X248" s="3" t="s">
        <v>113</v>
      </c>
      <c r="Y248" s="3" t="s">
        <v>123</v>
      </c>
      <c r="Z248" s="3" t="s">
        <v>41</v>
      </c>
      <c r="AA248" s="3" t="s">
        <v>42</v>
      </c>
      <c r="AB248" s="3" t="s">
        <v>65</v>
      </c>
      <c r="AC248" s="3" t="s">
        <v>31</v>
      </c>
      <c r="AD248" s="3">
        <v>0</v>
      </c>
    </row>
    <row r="249" spans="1:30" x14ac:dyDescent="0.3">
      <c r="A249" s="3">
        <v>245</v>
      </c>
      <c r="B249" s="3" t="s">
        <v>185</v>
      </c>
      <c r="C249" s="3" t="s">
        <v>186</v>
      </c>
      <c r="D249" s="3" t="s">
        <v>31</v>
      </c>
      <c r="E249" s="3" t="s">
        <v>32</v>
      </c>
      <c r="F249" s="12">
        <v>44926</v>
      </c>
      <c r="G249" s="3">
        <v>2022</v>
      </c>
      <c r="H249" s="3" t="s">
        <v>44</v>
      </c>
      <c r="I249" s="3" t="s">
        <v>45</v>
      </c>
      <c r="J249" s="3">
        <v>2</v>
      </c>
      <c r="K249" s="3">
        <v>88.5</v>
      </c>
      <c r="L249" s="3">
        <v>85.9</v>
      </c>
      <c r="M249" s="3">
        <f t="shared" ref="M249:M258" si="38">+L249/K249</f>
        <v>0.97062146892655377</v>
      </c>
      <c r="N249" s="3">
        <f t="shared" ref="N249:N258" si="39">+L249/K249</f>
        <v>0.97062146892655377</v>
      </c>
      <c r="O249" s="3" t="s">
        <v>58</v>
      </c>
      <c r="P249" s="3" t="s">
        <v>58</v>
      </c>
      <c r="Q249" s="3" t="str">
        <f t="shared" si="31"/>
        <v>245-2022-12-31</v>
      </c>
      <c r="R249" s="3">
        <v>0</v>
      </c>
      <c r="S249" s="3">
        <v>0</v>
      </c>
      <c r="T249" s="3" t="s">
        <v>31</v>
      </c>
      <c r="U249" s="3" t="s">
        <v>37</v>
      </c>
      <c r="V249" s="3" t="s">
        <v>186</v>
      </c>
      <c r="W249" s="3" t="s">
        <v>112</v>
      </c>
      <c r="X249" s="3" t="s">
        <v>113</v>
      </c>
      <c r="Y249" s="3" t="s">
        <v>123</v>
      </c>
      <c r="Z249" s="3" t="s">
        <v>41</v>
      </c>
      <c r="AA249" s="3" t="s">
        <v>42</v>
      </c>
      <c r="AB249" s="3" t="s">
        <v>65</v>
      </c>
      <c r="AC249" s="3" t="s">
        <v>31</v>
      </c>
      <c r="AD249" s="3">
        <v>0</v>
      </c>
    </row>
    <row r="250" spans="1:30" x14ac:dyDescent="0.3">
      <c r="A250" s="3">
        <v>245</v>
      </c>
      <c r="B250" s="3" t="s">
        <v>185</v>
      </c>
      <c r="C250" s="3" t="s">
        <v>186</v>
      </c>
      <c r="D250" s="3" t="s">
        <v>31</v>
      </c>
      <c r="E250" s="3" t="s">
        <v>32</v>
      </c>
      <c r="F250" s="12">
        <v>44926</v>
      </c>
      <c r="G250" s="3">
        <v>2022</v>
      </c>
      <c r="H250" s="3" t="s">
        <v>44</v>
      </c>
      <c r="I250" s="3" t="s">
        <v>45</v>
      </c>
      <c r="J250" s="3"/>
      <c r="K250" s="3">
        <v>88.5</v>
      </c>
      <c r="L250" s="3">
        <v>85.9</v>
      </c>
      <c r="M250" s="3">
        <f t="shared" si="38"/>
        <v>0.97062146892655377</v>
      </c>
      <c r="N250" s="3">
        <f t="shared" si="39"/>
        <v>0.97062146892655377</v>
      </c>
      <c r="O250" s="3" t="s">
        <v>58</v>
      </c>
      <c r="P250" s="3" t="s">
        <v>58</v>
      </c>
      <c r="Q250" s="3" t="str">
        <f t="shared" si="31"/>
        <v>245-2022-12-31</v>
      </c>
      <c r="R250" s="3">
        <v>1</v>
      </c>
      <c r="S250" s="3">
        <v>0</v>
      </c>
      <c r="T250" s="3" t="s">
        <v>443</v>
      </c>
      <c r="U250" s="3" t="s">
        <v>37</v>
      </c>
      <c r="V250" s="3" t="s">
        <v>186</v>
      </c>
      <c r="W250" s="3" t="s">
        <v>112</v>
      </c>
      <c r="X250" s="3" t="s">
        <v>113</v>
      </c>
      <c r="Y250" s="3" t="s">
        <v>123</v>
      </c>
      <c r="Z250" s="3" t="s">
        <v>41</v>
      </c>
      <c r="AA250" s="3" t="s">
        <v>42</v>
      </c>
      <c r="AB250" s="3" t="s">
        <v>65</v>
      </c>
      <c r="AC250" s="3" t="s">
        <v>31</v>
      </c>
      <c r="AD250" s="3">
        <v>0</v>
      </c>
    </row>
    <row r="251" spans="1:30" x14ac:dyDescent="0.3">
      <c r="A251" s="3">
        <v>245</v>
      </c>
      <c r="B251" s="3" t="s">
        <v>185</v>
      </c>
      <c r="C251" s="3" t="s">
        <v>186</v>
      </c>
      <c r="D251" s="3" t="s">
        <v>31</v>
      </c>
      <c r="E251" s="3" t="s">
        <v>32</v>
      </c>
      <c r="F251" s="12">
        <v>45107</v>
      </c>
      <c r="G251" s="3">
        <v>2023</v>
      </c>
      <c r="H251" s="3" t="s">
        <v>33</v>
      </c>
      <c r="I251" s="3" t="s">
        <v>47</v>
      </c>
      <c r="J251" s="3">
        <v>1</v>
      </c>
      <c r="K251" s="3">
        <v>87</v>
      </c>
      <c r="L251" s="3">
        <v>85.12</v>
      </c>
      <c r="M251" s="3">
        <f t="shared" si="38"/>
        <v>0.97839080459770122</v>
      </c>
      <c r="N251" s="3">
        <f t="shared" si="39"/>
        <v>0.97839080459770122</v>
      </c>
      <c r="O251" s="3" t="s">
        <v>58</v>
      </c>
      <c r="P251" s="3" t="s">
        <v>58</v>
      </c>
      <c r="Q251" s="3" t="str">
        <f t="shared" si="31"/>
        <v>245-2023-06-30</v>
      </c>
      <c r="R251" s="3">
        <v>0</v>
      </c>
      <c r="S251" s="3">
        <v>0</v>
      </c>
      <c r="T251" s="3" t="s">
        <v>31</v>
      </c>
      <c r="U251" s="3" t="s">
        <v>37</v>
      </c>
      <c r="V251" s="3" t="s">
        <v>186</v>
      </c>
      <c r="W251" s="3" t="s">
        <v>112</v>
      </c>
      <c r="X251" s="3" t="s">
        <v>113</v>
      </c>
      <c r="Y251" s="3" t="s">
        <v>123</v>
      </c>
      <c r="Z251" s="3" t="s">
        <v>41</v>
      </c>
      <c r="AA251" s="3" t="s">
        <v>42</v>
      </c>
      <c r="AB251" s="3" t="s">
        <v>65</v>
      </c>
      <c r="AC251" s="3" t="s">
        <v>31</v>
      </c>
      <c r="AD251" s="3">
        <v>0</v>
      </c>
    </row>
    <row r="252" spans="1:30" x14ac:dyDescent="0.3">
      <c r="A252" s="3">
        <v>245</v>
      </c>
      <c r="B252" s="3" t="s">
        <v>185</v>
      </c>
      <c r="C252" s="3" t="s">
        <v>186</v>
      </c>
      <c r="D252" s="3" t="s">
        <v>31</v>
      </c>
      <c r="E252" s="3" t="s">
        <v>32</v>
      </c>
      <c r="F252" s="12">
        <v>45291</v>
      </c>
      <c r="G252" s="3">
        <v>2023</v>
      </c>
      <c r="H252" s="3" t="s">
        <v>44</v>
      </c>
      <c r="I252" s="3" t="s">
        <v>49</v>
      </c>
      <c r="J252" s="3">
        <v>2</v>
      </c>
      <c r="K252" s="3">
        <v>87</v>
      </c>
      <c r="L252" s="3">
        <v>85.38</v>
      </c>
      <c r="M252" s="3">
        <f t="shared" si="38"/>
        <v>0.9813793103448275</v>
      </c>
      <c r="N252" s="3">
        <f t="shared" si="39"/>
        <v>0.9813793103448275</v>
      </c>
      <c r="O252" s="3" t="s">
        <v>58</v>
      </c>
      <c r="P252" s="3" t="s">
        <v>58</v>
      </c>
      <c r="Q252" s="3" t="str">
        <f t="shared" si="31"/>
        <v>245-2023-12-31</v>
      </c>
      <c r="R252" s="3">
        <v>0</v>
      </c>
      <c r="S252" s="3">
        <v>0</v>
      </c>
      <c r="T252" s="3" t="s">
        <v>31</v>
      </c>
      <c r="U252" s="3" t="s">
        <v>37</v>
      </c>
      <c r="V252" s="3" t="s">
        <v>186</v>
      </c>
      <c r="W252" s="3" t="s">
        <v>112</v>
      </c>
      <c r="X252" s="3" t="s">
        <v>113</v>
      </c>
      <c r="Y252" s="3" t="s">
        <v>123</v>
      </c>
      <c r="Z252" s="3" t="s">
        <v>41</v>
      </c>
      <c r="AA252" s="3" t="s">
        <v>42</v>
      </c>
      <c r="AB252" s="3" t="s">
        <v>65</v>
      </c>
      <c r="AC252" s="3" t="s">
        <v>31</v>
      </c>
      <c r="AD252" s="3">
        <v>0</v>
      </c>
    </row>
    <row r="253" spans="1:30" x14ac:dyDescent="0.3">
      <c r="A253" s="3">
        <v>245</v>
      </c>
      <c r="B253" s="3" t="s">
        <v>185</v>
      </c>
      <c r="C253" s="3" t="s">
        <v>186</v>
      </c>
      <c r="D253" s="3" t="s">
        <v>31</v>
      </c>
      <c r="E253" s="3" t="s">
        <v>32</v>
      </c>
      <c r="F253" s="12">
        <v>45291</v>
      </c>
      <c r="G253" s="3">
        <v>2023</v>
      </c>
      <c r="H253" s="3" t="s">
        <v>44</v>
      </c>
      <c r="I253" s="3" t="s">
        <v>49</v>
      </c>
      <c r="J253" s="3"/>
      <c r="K253" s="3">
        <v>87</v>
      </c>
      <c r="L253" s="3">
        <v>85.38</v>
      </c>
      <c r="M253" s="3">
        <f t="shared" si="38"/>
        <v>0.9813793103448275</v>
      </c>
      <c r="N253" s="3">
        <f t="shared" si="39"/>
        <v>0.9813793103448275</v>
      </c>
      <c r="O253" s="3" t="s">
        <v>58</v>
      </c>
      <c r="P253" s="3" t="s">
        <v>58</v>
      </c>
      <c r="Q253" s="3" t="str">
        <f t="shared" si="31"/>
        <v>245-2023-12-31</v>
      </c>
      <c r="R253" s="3">
        <v>0</v>
      </c>
      <c r="S253" s="3">
        <v>1</v>
      </c>
      <c r="T253" s="3" t="s">
        <v>443</v>
      </c>
      <c r="U253" s="3" t="s">
        <v>37</v>
      </c>
      <c r="V253" s="3" t="s">
        <v>186</v>
      </c>
      <c r="W253" s="3" t="s">
        <v>112</v>
      </c>
      <c r="X253" s="3" t="s">
        <v>113</v>
      </c>
      <c r="Y253" s="3" t="s">
        <v>123</v>
      </c>
      <c r="Z253" s="3" t="s">
        <v>41</v>
      </c>
      <c r="AA253" s="3" t="s">
        <v>42</v>
      </c>
      <c r="AB253" s="3" t="s">
        <v>65</v>
      </c>
      <c r="AC253" s="3" t="s">
        <v>31</v>
      </c>
      <c r="AD253" s="3">
        <v>0</v>
      </c>
    </row>
    <row r="254" spans="1:30" x14ac:dyDescent="0.3">
      <c r="A254" s="3">
        <v>245</v>
      </c>
      <c r="B254" s="3" t="s">
        <v>185</v>
      </c>
      <c r="C254" s="3" t="s">
        <v>186</v>
      </c>
      <c r="D254" s="3" t="s">
        <v>31</v>
      </c>
      <c r="E254" s="3" t="s">
        <v>32</v>
      </c>
      <c r="F254" s="12">
        <v>45473</v>
      </c>
      <c r="G254" s="3">
        <v>2024</v>
      </c>
      <c r="H254" s="3" t="s">
        <v>33</v>
      </c>
      <c r="I254" s="3" t="s">
        <v>51</v>
      </c>
      <c r="J254" s="3">
        <v>1</v>
      </c>
      <c r="K254" s="3">
        <v>85</v>
      </c>
      <c r="L254" s="3">
        <v>85.13</v>
      </c>
      <c r="M254" s="3">
        <f t="shared" si="38"/>
        <v>1.0015294117647058</v>
      </c>
      <c r="N254" s="3">
        <f t="shared" si="39"/>
        <v>1.0015294117647058</v>
      </c>
      <c r="O254" s="3" t="s">
        <v>58</v>
      </c>
      <c r="P254" s="3" t="s">
        <v>58</v>
      </c>
      <c r="Q254" s="3" t="str">
        <f t="shared" si="31"/>
        <v>245-2024-06-30</v>
      </c>
      <c r="R254" s="3">
        <v>0</v>
      </c>
      <c r="S254" s="3">
        <v>0</v>
      </c>
      <c r="T254" s="3" t="s">
        <v>31</v>
      </c>
      <c r="U254" s="3" t="s">
        <v>37</v>
      </c>
      <c r="V254" s="3" t="s">
        <v>186</v>
      </c>
      <c r="W254" s="3" t="s">
        <v>112</v>
      </c>
      <c r="X254" s="3" t="s">
        <v>113</v>
      </c>
      <c r="Y254" s="3" t="s">
        <v>123</v>
      </c>
      <c r="Z254" s="3" t="s">
        <v>41</v>
      </c>
      <c r="AA254" s="3" t="s">
        <v>42</v>
      </c>
      <c r="AB254" s="3" t="s">
        <v>65</v>
      </c>
      <c r="AC254" s="3" t="s">
        <v>31</v>
      </c>
      <c r="AD254" s="3">
        <v>0</v>
      </c>
    </row>
    <row r="255" spans="1:30" x14ac:dyDescent="0.3">
      <c r="A255" s="3">
        <v>245</v>
      </c>
      <c r="B255" s="3" t="s">
        <v>185</v>
      </c>
      <c r="C255" s="3" t="s">
        <v>186</v>
      </c>
      <c r="D255" s="3" t="s">
        <v>31</v>
      </c>
      <c r="E255" s="3" t="s">
        <v>32</v>
      </c>
      <c r="F255" s="12">
        <v>45657</v>
      </c>
      <c r="G255" s="3">
        <v>2024</v>
      </c>
      <c r="H255" s="3" t="s">
        <v>44</v>
      </c>
      <c r="I255" s="3" t="s">
        <v>53</v>
      </c>
      <c r="J255" s="3">
        <v>2</v>
      </c>
      <c r="K255" s="3">
        <v>85</v>
      </c>
      <c r="L255" s="3">
        <v>85.19</v>
      </c>
      <c r="M255" s="3">
        <f t="shared" si="38"/>
        <v>1.0022352941176471</v>
      </c>
      <c r="N255" s="3">
        <f t="shared" si="39"/>
        <v>1.0022352941176471</v>
      </c>
      <c r="O255" s="3" t="s">
        <v>58</v>
      </c>
      <c r="P255" s="3" t="s">
        <v>58</v>
      </c>
      <c r="Q255" s="3" t="str">
        <f t="shared" si="31"/>
        <v>245-2024-12-31</v>
      </c>
      <c r="R255" s="3">
        <v>0</v>
      </c>
      <c r="S255" s="3">
        <v>0</v>
      </c>
      <c r="T255" s="3" t="s">
        <v>31</v>
      </c>
      <c r="U255" s="3" t="s">
        <v>37</v>
      </c>
      <c r="V255" s="3" t="s">
        <v>186</v>
      </c>
      <c r="W255" s="3" t="s">
        <v>112</v>
      </c>
      <c r="X255" s="3" t="s">
        <v>113</v>
      </c>
      <c r="Y255" s="3" t="s">
        <v>123</v>
      </c>
      <c r="Z255" s="3" t="s">
        <v>41</v>
      </c>
      <c r="AA255" s="3" t="s">
        <v>42</v>
      </c>
      <c r="AB255" s="3" t="s">
        <v>65</v>
      </c>
      <c r="AC255" s="3" t="s">
        <v>31</v>
      </c>
      <c r="AD255" s="3">
        <v>0</v>
      </c>
    </row>
    <row r="256" spans="1:30" x14ac:dyDescent="0.3">
      <c r="A256" s="3">
        <v>245</v>
      </c>
      <c r="B256" s="3" t="s">
        <v>185</v>
      </c>
      <c r="C256" s="3" t="s">
        <v>186</v>
      </c>
      <c r="D256" s="3" t="s">
        <v>31</v>
      </c>
      <c r="E256" s="3" t="s">
        <v>32</v>
      </c>
      <c r="F256" s="12">
        <v>45657</v>
      </c>
      <c r="G256" s="3">
        <v>2024</v>
      </c>
      <c r="H256" s="3" t="s">
        <v>44</v>
      </c>
      <c r="I256" s="3" t="s">
        <v>53</v>
      </c>
      <c r="J256" s="3"/>
      <c r="K256" s="3">
        <v>85</v>
      </c>
      <c r="L256" s="3">
        <v>85.19</v>
      </c>
      <c r="M256" s="3">
        <f t="shared" si="38"/>
        <v>1.0022352941176471</v>
      </c>
      <c r="N256" s="3">
        <f t="shared" si="39"/>
        <v>1.0022352941176471</v>
      </c>
      <c r="O256" s="3" t="s">
        <v>58</v>
      </c>
      <c r="P256" s="3" t="s">
        <v>58</v>
      </c>
      <c r="Q256" s="3" t="str">
        <f t="shared" si="31"/>
        <v>245-2024-12-31</v>
      </c>
      <c r="R256" s="3">
        <v>0</v>
      </c>
      <c r="S256" s="3">
        <v>1</v>
      </c>
      <c r="T256" s="3" t="s">
        <v>443</v>
      </c>
      <c r="U256" s="3" t="s">
        <v>37</v>
      </c>
      <c r="V256" s="3" t="s">
        <v>186</v>
      </c>
      <c r="W256" s="3" t="s">
        <v>112</v>
      </c>
      <c r="X256" s="3" t="s">
        <v>113</v>
      </c>
      <c r="Y256" s="3" t="s">
        <v>123</v>
      </c>
      <c r="Z256" s="3" t="s">
        <v>41</v>
      </c>
      <c r="AA256" s="3" t="s">
        <v>42</v>
      </c>
      <c r="AB256" s="3" t="s">
        <v>65</v>
      </c>
      <c r="AC256" s="3" t="s">
        <v>31</v>
      </c>
      <c r="AD256" s="3">
        <v>0</v>
      </c>
    </row>
    <row r="257" spans="1:30" x14ac:dyDescent="0.3">
      <c r="A257" s="3">
        <v>245</v>
      </c>
      <c r="B257" s="3" t="s">
        <v>185</v>
      </c>
      <c r="C257" s="3" t="s">
        <v>186</v>
      </c>
      <c r="D257" s="3" t="s">
        <v>31</v>
      </c>
      <c r="E257" s="3" t="s">
        <v>32</v>
      </c>
      <c r="F257" s="12">
        <v>45838</v>
      </c>
      <c r="G257" s="3">
        <v>2025</v>
      </c>
      <c r="H257" s="3" t="s">
        <v>33</v>
      </c>
      <c r="I257" s="3" t="s">
        <v>404</v>
      </c>
      <c r="J257" s="3">
        <v>1</v>
      </c>
      <c r="K257" s="3">
        <v>85.7</v>
      </c>
      <c r="L257" s="3">
        <v>86.5</v>
      </c>
      <c r="M257" s="3">
        <f t="shared" si="38"/>
        <v>1.0093348891481912</v>
      </c>
      <c r="N257" s="3">
        <f t="shared" si="39"/>
        <v>1.0093348891481912</v>
      </c>
      <c r="O257" s="3" t="s">
        <v>58</v>
      </c>
      <c r="P257" s="3" t="s">
        <v>58</v>
      </c>
      <c r="Q257" s="3" t="str">
        <f t="shared" si="31"/>
        <v>245-2025-06-30</v>
      </c>
      <c r="R257" s="3">
        <v>1</v>
      </c>
      <c r="S257" s="3">
        <v>1</v>
      </c>
      <c r="T257" s="3" t="s">
        <v>31</v>
      </c>
      <c r="U257" s="3" t="s">
        <v>37</v>
      </c>
      <c r="V257" s="3" t="s">
        <v>186</v>
      </c>
      <c r="W257" s="3" t="s">
        <v>112</v>
      </c>
      <c r="X257" s="3" t="s">
        <v>113</v>
      </c>
      <c r="Y257" s="3" t="s">
        <v>123</v>
      </c>
      <c r="Z257" s="3" t="s">
        <v>41</v>
      </c>
      <c r="AA257" s="3" t="s">
        <v>42</v>
      </c>
      <c r="AB257" s="3" t="s">
        <v>65</v>
      </c>
      <c r="AC257" s="3" t="s">
        <v>31</v>
      </c>
      <c r="AD257" s="3">
        <v>0</v>
      </c>
    </row>
    <row r="258" spans="1:30" x14ac:dyDescent="0.3">
      <c r="A258" s="3">
        <v>245</v>
      </c>
      <c r="B258" s="3" t="s">
        <v>185</v>
      </c>
      <c r="C258" s="3" t="s">
        <v>186</v>
      </c>
      <c r="D258" s="3" t="s">
        <v>31</v>
      </c>
      <c r="E258" s="3" t="s">
        <v>32</v>
      </c>
      <c r="F258" s="12">
        <v>46022</v>
      </c>
      <c r="G258" s="3">
        <v>2025</v>
      </c>
      <c r="H258" s="3" t="s">
        <v>44</v>
      </c>
      <c r="I258" s="3" t="s">
        <v>465</v>
      </c>
      <c r="J258" s="3">
        <v>2</v>
      </c>
      <c r="K258" s="3">
        <v>86.1</v>
      </c>
      <c r="L258" s="3">
        <v>86.2</v>
      </c>
      <c r="M258" s="3">
        <f t="shared" si="38"/>
        <v>1.0011614401858304</v>
      </c>
      <c r="N258" s="3">
        <f t="shared" si="39"/>
        <v>1.0011614401858304</v>
      </c>
      <c r="O258" s="3" t="s">
        <v>58</v>
      </c>
      <c r="P258" s="3" t="s">
        <v>58</v>
      </c>
      <c r="Q258" s="3" t="str">
        <f t="shared" si="31"/>
        <v>245-2025-12-31</v>
      </c>
      <c r="R258" s="3">
        <v>1</v>
      </c>
      <c r="S258" s="3">
        <v>1</v>
      </c>
      <c r="T258" s="3" t="s">
        <v>31</v>
      </c>
      <c r="U258" s="3" t="s">
        <v>37</v>
      </c>
      <c r="V258" s="3" t="s">
        <v>186</v>
      </c>
      <c r="W258" s="3" t="s">
        <v>112</v>
      </c>
      <c r="X258" s="3" t="s">
        <v>113</v>
      </c>
      <c r="Y258" s="3" t="s">
        <v>123</v>
      </c>
      <c r="Z258" s="3" t="s">
        <v>41</v>
      </c>
      <c r="AA258" s="3" t="s">
        <v>42</v>
      </c>
      <c r="AB258" s="3" t="s">
        <v>65</v>
      </c>
      <c r="AC258" s="3" t="s">
        <v>31</v>
      </c>
      <c r="AD258" s="3">
        <v>0</v>
      </c>
    </row>
    <row r="259" spans="1:30" x14ac:dyDescent="0.3">
      <c r="A259" s="3">
        <v>274</v>
      </c>
      <c r="B259" s="3" t="s">
        <v>480</v>
      </c>
      <c r="C259" s="3" t="s">
        <v>194</v>
      </c>
      <c r="D259" s="3" t="s">
        <v>31</v>
      </c>
      <c r="E259" s="3" t="s">
        <v>32</v>
      </c>
      <c r="F259" s="12">
        <v>43281</v>
      </c>
      <c r="G259" s="3">
        <f t="shared" ref="G259:G270" si="40">YEAR(F259)</f>
        <v>2018</v>
      </c>
      <c r="H259" s="3" t="str">
        <f t="shared" ref="H259:H270" si="41">PROPER(TEXT(F259,"mmmm"))</f>
        <v>Junio</v>
      </c>
      <c r="I259" s="3" t="str">
        <f t="shared" ref="I259:I270" si="42">IF(H259="Junio",G259&amp;"-1",G259&amp;"-2")</f>
        <v>2018-1</v>
      </c>
      <c r="J259" s="3">
        <v>1</v>
      </c>
      <c r="K259" s="3"/>
      <c r="L259" s="11">
        <v>37269</v>
      </c>
      <c r="M259" s="3"/>
      <c r="N259" s="3"/>
      <c r="O259" s="3" t="s">
        <v>35</v>
      </c>
      <c r="P259" s="3" t="s">
        <v>35</v>
      </c>
      <c r="Q259" s="3" t="str">
        <f t="shared" ref="Q259:Q322" si="43">A259&amp;"-"&amp;YEAR(F259)&amp;"-"&amp;IF(LEN(MONTH(F259))=1,"0"&amp;MONTH(F259),MONTH(F259))&amp;"-"&amp;IF(LEN(DAY(F259))=1,"0"&amp;DAY(F259),DAY(F259))</f>
        <v>274-2018-06-30</v>
      </c>
      <c r="R259" s="3">
        <v>0</v>
      </c>
      <c r="S259" s="3">
        <v>0</v>
      </c>
      <c r="T259" s="3" t="s">
        <v>31</v>
      </c>
      <c r="U259" s="3" t="s">
        <v>37</v>
      </c>
      <c r="V259" s="3" t="s">
        <v>194</v>
      </c>
      <c r="W259" s="3" t="s">
        <v>38</v>
      </c>
      <c r="X259" s="3" t="s">
        <v>39</v>
      </c>
      <c r="Y259" s="3" t="s">
        <v>40</v>
      </c>
      <c r="Z259" s="3" t="s">
        <v>41</v>
      </c>
      <c r="AA259" s="3" t="s">
        <v>42</v>
      </c>
      <c r="AB259" s="3" t="s">
        <v>78</v>
      </c>
      <c r="AC259" s="3" t="s">
        <v>31</v>
      </c>
      <c r="AD259" s="3">
        <v>0</v>
      </c>
    </row>
    <row r="260" spans="1:30" x14ac:dyDescent="0.3">
      <c r="A260" s="3">
        <v>274</v>
      </c>
      <c r="B260" s="3" t="s">
        <v>480</v>
      </c>
      <c r="C260" s="3" t="s">
        <v>194</v>
      </c>
      <c r="D260" s="3" t="s">
        <v>31</v>
      </c>
      <c r="E260" s="3" t="s">
        <v>32</v>
      </c>
      <c r="F260" s="12">
        <v>43465</v>
      </c>
      <c r="G260" s="3">
        <f t="shared" si="40"/>
        <v>2018</v>
      </c>
      <c r="H260" s="3" t="str">
        <f t="shared" si="41"/>
        <v>Diciembre</v>
      </c>
      <c r="I260" s="3" t="str">
        <f t="shared" si="42"/>
        <v>2018-2</v>
      </c>
      <c r="J260" s="3">
        <v>2</v>
      </c>
      <c r="K260" s="3"/>
      <c r="L260" s="11">
        <v>39789</v>
      </c>
      <c r="M260" s="3"/>
      <c r="N260" s="3"/>
      <c r="O260" s="3" t="s">
        <v>35</v>
      </c>
      <c r="P260" s="3" t="s">
        <v>35</v>
      </c>
      <c r="Q260" s="3" t="str">
        <f t="shared" si="43"/>
        <v>274-2018-12-31</v>
      </c>
      <c r="R260" s="3">
        <v>0</v>
      </c>
      <c r="S260" s="3">
        <v>0</v>
      </c>
      <c r="T260" s="3" t="s">
        <v>31</v>
      </c>
      <c r="U260" s="3" t="s">
        <v>37</v>
      </c>
      <c r="V260" s="3" t="s">
        <v>194</v>
      </c>
      <c r="W260" s="3" t="s">
        <v>38</v>
      </c>
      <c r="X260" s="3" t="s">
        <v>39</v>
      </c>
      <c r="Y260" s="3" t="s">
        <v>40</v>
      </c>
      <c r="Z260" s="3" t="s">
        <v>41</v>
      </c>
      <c r="AA260" s="3" t="s">
        <v>42</v>
      </c>
      <c r="AB260" s="3" t="s">
        <v>78</v>
      </c>
      <c r="AC260" s="3" t="s">
        <v>31</v>
      </c>
      <c r="AD260" s="3">
        <v>0</v>
      </c>
    </row>
    <row r="261" spans="1:30" x14ac:dyDescent="0.3">
      <c r="A261" s="3">
        <v>274</v>
      </c>
      <c r="B261" s="3" t="s">
        <v>480</v>
      </c>
      <c r="C261" s="3" t="s">
        <v>194</v>
      </c>
      <c r="D261" s="3" t="s">
        <v>31</v>
      </c>
      <c r="E261" s="3" t="s">
        <v>32</v>
      </c>
      <c r="F261" s="12">
        <v>43465</v>
      </c>
      <c r="G261" s="3">
        <f t="shared" si="40"/>
        <v>2018</v>
      </c>
      <c r="H261" s="3" t="str">
        <f t="shared" si="41"/>
        <v>Diciembre</v>
      </c>
      <c r="I261" s="3" t="str">
        <f t="shared" si="42"/>
        <v>2018-2</v>
      </c>
      <c r="J261" s="3"/>
      <c r="K261" s="3"/>
      <c r="L261" s="11">
        <v>39789</v>
      </c>
      <c r="M261" s="3"/>
      <c r="N261" s="3"/>
      <c r="O261" s="3" t="s">
        <v>35</v>
      </c>
      <c r="P261" s="3" t="s">
        <v>35</v>
      </c>
      <c r="Q261" s="3" t="str">
        <f t="shared" si="43"/>
        <v>274-2018-12-31</v>
      </c>
      <c r="R261" s="3">
        <v>0</v>
      </c>
      <c r="S261" s="3">
        <v>0</v>
      </c>
      <c r="T261" s="3" t="s">
        <v>443</v>
      </c>
      <c r="U261" s="3" t="s">
        <v>37</v>
      </c>
      <c r="V261" s="3" t="s">
        <v>194</v>
      </c>
      <c r="W261" s="3" t="s">
        <v>38</v>
      </c>
      <c r="X261" s="3" t="s">
        <v>39</v>
      </c>
      <c r="Y261" s="3" t="s">
        <v>40</v>
      </c>
      <c r="Z261" s="3" t="s">
        <v>41</v>
      </c>
      <c r="AA261" s="3" t="s">
        <v>42</v>
      </c>
      <c r="AB261" s="3" t="s">
        <v>78</v>
      </c>
      <c r="AC261" s="3" t="s">
        <v>31</v>
      </c>
      <c r="AD261" s="3">
        <v>0</v>
      </c>
    </row>
    <row r="262" spans="1:30" x14ac:dyDescent="0.3">
      <c r="A262" s="3">
        <v>274</v>
      </c>
      <c r="B262" s="3" t="s">
        <v>480</v>
      </c>
      <c r="C262" s="3" t="s">
        <v>194</v>
      </c>
      <c r="D262" s="3" t="s">
        <v>31</v>
      </c>
      <c r="E262" s="3" t="s">
        <v>32</v>
      </c>
      <c r="F262" s="12">
        <v>43646</v>
      </c>
      <c r="G262" s="3">
        <f t="shared" si="40"/>
        <v>2019</v>
      </c>
      <c r="H262" s="3" t="str">
        <f t="shared" si="41"/>
        <v>Junio</v>
      </c>
      <c r="I262" s="3" t="str">
        <f t="shared" si="42"/>
        <v>2019-1</v>
      </c>
      <c r="J262" s="3">
        <v>1</v>
      </c>
      <c r="K262" s="3"/>
      <c r="L262" s="11">
        <v>41502</v>
      </c>
      <c r="M262" s="3"/>
      <c r="N262" s="3"/>
      <c r="O262" s="3" t="s">
        <v>35</v>
      </c>
      <c r="P262" s="3" t="s">
        <v>35</v>
      </c>
      <c r="Q262" s="3" t="str">
        <f t="shared" si="43"/>
        <v>274-2019-06-30</v>
      </c>
      <c r="R262" s="3">
        <v>0</v>
      </c>
      <c r="S262" s="3">
        <v>0</v>
      </c>
      <c r="T262" s="3" t="s">
        <v>31</v>
      </c>
      <c r="U262" s="3" t="s">
        <v>37</v>
      </c>
      <c r="V262" s="3" t="s">
        <v>194</v>
      </c>
      <c r="W262" s="3" t="s">
        <v>38</v>
      </c>
      <c r="X262" s="3" t="s">
        <v>39</v>
      </c>
      <c r="Y262" s="3" t="s">
        <v>40</v>
      </c>
      <c r="Z262" s="3" t="s">
        <v>41</v>
      </c>
      <c r="AA262" s="3" t="s">
        <v>42</v>
      </c>
      <c r="AB262" s="3" t="s">
        <v>78</v>
      </c>
      <c r="AC262" s="3" t="s">
        <v>31</v>
      </c>
      <c r="AD262" s="3">
        <v>0</v>
      </c>
    </row>
    <row r="263" spans="1:30" x14ac:dyDescent="0.3">
      <c r="A263" s="3">
        <v>274</v>
      </c>
      <c r="B263" s="3" t="s">
        <v>480</v>
      </c>
      <c r="C263" s="3" t="s">
        <v>194</v>
      </c>
      <c r="D263" s="3" t="s">
        <v>31</v>
      </c>
      <c r="E263" s="3" t="s">
        <v>32</v>
      </c>
      <c r="F263" s="12">
        <v>43830</v>
      </c>
      <c r="G263" s="3">
        <f t="shared" si="40"/>
        <v>2019</v>
      </c>
      <c r="H263" s="3" t="str">
        <f t="shared" si="41"/>
        <v>Diciembre</v>
      </c>
      <c r="I263" s="3" t="str">
        <f t="shared" si="42"/>
        <v>2019-2</v>
      </c>
      <c r="J263" s="3">
        <v>2</v>
      </c>
      <c r="K263" s="3"/>
      <c r="L263" s="11">
        <v>43581</v>
      </c>
      <c r="M263" s="3"/>
      <c r="N263" s="3"/>
      <c r="O263" s="3" t="s">
        <v>35</v>
      </c>
      <c r="P263" s="3" t="s">
        <v>35</v>
      </c>
      <c r="Q263" s="3" t="str">
        <f t="shared" si="43"/>
        <v>274-2019-12-31</v>
      </c>
      <c r="R263" s="3">
        <v>0</v>
      </c>
      <c r="S263" s="3">
        <v>0</v>
      </c>
      <c r="T263" s="3" t="s">
        <v>31</v>
      </c>
      <c r="U263" s="3" t="s">
        <v>37</v>
      </c>
      <c r="V263" s="3" t="s">
        <v>194</v>
      </c>
      <c r="W263" s="3" t="s">
        <v>38</v>
      </c>
      <c r="X263" s="3" t="s">
        <v>39</v>
      </c>
      <c r="Y263" s="3" t="s">
        <v>40</v>
      </c>
      <c r="Z263" s="3" t="s">
        <v>41</v>
      </c>
      <c r="AA263" s="3" t="s">
        <v>42</v>
      </c>
      <c r="AB263" s="3" t="s">
        <v>78</v>
      </c>
      <c r="AC263" s="3" t="s">
        <v>31</v>
      </c>
      <c r="AD263" s="3">
        <v>0</v>
      </c>
    </row>
    <row r="264" spans="1:30" x14ac:dyDescent="0.3">
      <c r="A264" s="3">
        <v>274</v>
      </c>
      <c r="B264" s="3" t="s">
        <v>480</v>
      </c>
      <c r="C264" s="3" t="s">
        <v>194</v>
      </c>
      <c r="D264" s="3" t="s">
        <v>31</v>
      </c>
      <c r="E264" s="3" t="s">
        <v>32</v>
      </c>
      <c r="F264" s="12">
        <v>43830</v>
      </c>
      <c r="G264" s="3">
        <f t="shared" si="40"/>
        <v>2019</v>
      </c>
      <c r="H264" s="3" t="str">
        <f t="shared" si="41"/>
        <v>Diciembre</v>
      </c>
      <c r="I264" s="3" t="str">
        <f t="shared" si="42"/>
        <v>2019-2</v>
      </c>
      <c r="J264" s="3"/>
      <c r="K264" s="3"/>
      <c r="L264" s="11">
        <v>43581</v>
      </c>
      <c r="M264" s="3"/>
      <c r="N264" s="3"/>
      <c r="O264" s="3" t="s">
        <v>35</v>
      </c>
      <c r="P264" s="3" t="s">
        <v>35</v>
      </c>
      <c r="Q264" s="3" t="str">
        <f t="shared" si="43"/>
        <v>274-2019-12-31</v>
      </c>
      <c r="R264" s="3">
        <v>0</v>
      </c>
      <c r="S264" s="3">
        <v>0</v>
      </c>
      <c r="T264" s="3" t="s">
        <v>443</v>
      </c>
      <c r="U264" s="3" t="s">
        <v>37</v>
      </c>
      <c r="V264" s="3" t="s">
        <v>194</v>
      </c>
      <c r="W264" s="3" t="s">
        <v>38</v>
      </c>
      <c r="X264" s="3" t="s">
        <v>39</v>
      </c>
      <c r="Y264" s="3" t="s">
        <v>40</v>
      </c>
      <c r="Z264" s="3" t="s">
        <v>41</v>
      </c>
      <c r="AA264" s="3" t="s">
        <v>42</v>
      </c>
      <c r="AB264" s="3" t="s">
        <v>78</v>
      </c>
      <c r="AC264" s="3" t="s">
        <v>31</v>
      </c>
      <c r="AD264" s="3">
        <v>0</v>
      </c>
    </row>
    <row r="265" spans="1:30" x14ac:dyDescent="0.3">
      <c r="A265" s="3">
        <v>274</v>
      </c>
      <c r="B265" s="3" t="s">
        <v>480</v>
      </c>
      <c r="C265" s="3" t="s">
        <v>194</v>
      </c>
      <c r="D265" s="3" t="s">
        <v>31</v>
      </c>
      <c r="E265" s="3" t="s">
        <v>32</v>
      </c>
      <c r="F265" s="12">
        <v>44012</v>
      </c>
      <c r="G265" s="3">
        <f t="shared" si="40"/>
        <v>2020</v>
      </c>
      <c r="H265" s="3" t="str">
        <f t="shared" si="41"/>
        <v>Junio</v>
      </c>
      <c r="I265" s="3" t="str">
        <f t="shared" si="42"/>
        <v>2020-1</v>
      </c>
      <c r="J265" s="3">
        <v>1</v>
      </c>
      <c r="K265" s="3"/>
      <c r="L265" s="11">
        <v>43711</v>
      </c>
      <c r="M265" s="3"/>
      <c r="N265" s="3"/>
      <c r="O265" s="3" t="s">
        <v>35</v>
      </c>
      <c r="P265" s="3" t="s">
        <v>35</v>
      </c>
      <c r="Q265" s="3" t="str">
        <f t="shared" si="43"/>
        <v>274-2020-06-30</v>
      </c>
      <c r="R265" s="3">
        <v>0</v>
      </c>
      <c r="S265" s="3">
        <v>0</v>
      </c>
      <c r="T265" s="3" t="s">
        <v>31</v>
      </c>
      <c r="U265" s="3" t="s">
        <v>37</v>
      </c>
      <c r="V265" s="3" t="s">
        <v>194</v>
      </c>
      <c r="W265" s="3" t="s">
        <v>38</v>
      </c>
      <c r="X265" s="3" t="s">
        <v>39</v>
      </c>
      <c r="Y265" s="3" t="s">
        <v>40</v>
      </c>
      <c r="Z265" s="3" t="s">
        <v>41</v>
      </c>
      <c r="AA265" s="3" t="s">
        <v>42</v>
      </c>
      <c r="AB265" s="3" t="s">
        <v>78</v>
      </c>
      <c r="AC265" s="3" t="s">
        <v>31</v>
      </c>
      <c r="AD265" s="3">
        <v>0</v>
      </c>
    </row>
    <row r="266" spans="1:30" x14ac:dyDescent="0.3">
      <c r="A266" s="3">
        <v>274</v>
      </c>
      <c r="B266" s="3" t="s">
        <v>480</v>
      </c>
      <c r="C266" s="3" t="s">
        <v>194</v>
      </c>
      <c r="D266" s="3" t="s">
        <v>31</v>
      </c>
      <c r="E266" s="3" t="s">
        <v>32</v>
      </c>
      <c r="F266" s="12">
        <v>44196</v>
      </c>
      <c r="G266" s="3">
        <f t="shared" si="40"/>
        <v>2020</v>
      </c>
      <c r="H266" s="3" t="str">
        <f t="shared" si="41"/>
        <v>Diciembre</v>
      </c>
      <c r="I266" s="3" t="str">
        <f t="shared" si="42"/>
        <v>2020-2</v>
      </c>
      <c r="J266" s="3">
        <v>2</v>
      </c>
      <c r="K266" s="3"/>
      <c r="L266" s="11">
        <v>41013</v>
      </c>
      <c r="M266" s="3"/>
      <c r="N266" s="3"/>
      <c r="O266" s="3" t="s">
        <v>35</v>
      </c>
      <c r="P266" s="3" t="s">
        <v>35</v>
      </c>
      <c r="Q266" s="3" t="str">
        <f t="shared" si="43"/>
        <v>274-2020-12-31</v>
      </c>
      <c r="R266" s="3">
        <v>0</v>
      </c>
      <c r="S266" s="3">
        <v>0</v>
      </c>
      <c r="T266" s="3" t="s">
        <v>31</v>
      </c>
      <c r="U266" s="3" t="s">
        <v>37</v>
      </c>
      <c r="V266" s="3" t="s">
        <v>194</v>
      </c>
      <c r="W266" s="3" t="s">
        <v>38</v>
      </c>
      <c r="X266" s="3" t="s">
        <v>39</v>
      </c>
      <c r="Y266" s="3" t="s">
        <v>40</v>
      </c>
      <c r="Z266" s="3" t="s">
        <v>41</v>
      </c>
      <c r="AA266" s="3" t="s">
        <v>42</v>
      </c>
      <c r="AB266" s="3" t="s">
        <v>78</v>
      </c>
      <c r="AC266" s="3" t="s">
        <v>31</v>
      </c>
      <c r="AD266" s="3">
        <v>0</v>
      </c>
    </row>
    <row r="267" spans="1:30" x14ac:dyDescent="0.3">
      <c r="A267" s="3">
        <v>274</v>
      </c>
      <c r="B267" s="3" t="s">
        <v>480</v>
      </c>
      <c r="C267" s="3" t="s">
        <v>194</v>
      </c>
      <c r="D267" s="3" t="s">
        <v>31</v>
      </c>
      <c r="E267" s="3" t="s">
        <v>32</v>
      </c>
      <c r="F267" s="12">
        <v>44196</v>
      </c>
      <c r="G267" s="3">
        <f t="shared" si="40"/>
        <v>2020</v>
      </c>
      <c r="H267" s="3" t="str">
        <f t="shared" si="41"/>
        <v>Diciembre</v>
      </c>
      <c r="I267" s="3" t="str">
        <f t="shared" si="42"/>
        <v>2020-2</v>
      </c>
      <c r="J267" s="3"/>
      <c r="K267" s="3"/>
      <c r="L267" s="11">
        <v>41013</v>
      </c>
      <c r="M267" s="3"/>
      <c r="N267" s="3"/>
      <c r="O267" s="3" t="s">
        <v>35</v>
      </c>
      <c r="P267" s="3" t="s">
        <v>35</v>
      </c>
      <c r="Q267" s="3" t="str">
        <f t="shared" si="43"/>
        <v>274-2020-12-31</v>
      </c>
      <c r="R267" s="3">
        <v>0</v>
      </c>
      <c r="S267" s="3">
        <v>0</v>
      </c>
      <c r="T267" s="3" t="s">
        <v>443</v>
      </c>
      <c r="U267" s="3" t="s">
        <v>37</v>
      </c>
      <c r="V267" s="3" t="s">
        <v>194</v>
      </c>
      <c r="W267" s="3" t="s">
        <v>38</v>
      </c>
      <c r="X267" s="3" t="s">
        <v>39</v>
      </c>
      <c r="Y267" s="3" t="s">
        <v>40</v>
      </c>
      <c r="Z267" s="3" t="s">
        <v>41</v>
      </c>
      <c r="AA267" s="3" t="s">
        <v>42</v>
      </c>
      <c r="AB267" s="3" t="s">
        <v>78</v>
      </c>
      <c r="AC267" s="3" t="s">
        <v>31</v>
      </c>
      <c r="AD267" s="3">
        <v>0</v>
      </c>
    </row>
    <row r="268" spans="1:30" x14ac:dyDescent="0.3">
      <c r="A268" s="3">
        <v>274</v>
      </c>
      <c r="B268" s="3" t="s">
        <v>480</v>
      </c>
      <c r="C268" s="3" t="s">
        <v>194</v>
      </c>
      <c r="D268" s="3" t="s">
        <v>31</v>
      </c>
      <c r="E268" s="3" t="s">
        <v>32</v>
      </c>
      <c r="F268" s="12">
        <v>44377</v>
      </c>
      <c r="G268" s="3">
        <f t="shared" si="40"/>
        <v>2021</v>
      </c>
      <c r="H268" s="3" t="str">
        <f t="shared" si="41"/>
        <v>Junio</v>
      </c>
      <c r="I268" s="3" t="str">
        <f t="shared" si="42"/>
        <v>2021-1</v>
      </c>
      <c r="J268" s="3">
        <v>1</v>
      </c>
      <c r="K268" s="3"/>
      <c r="L268" s="11">
        <v>41394</v>
      </c>
      <c r="M268" s="3"/>
      <c r="N268" s="3"/>
      <c r="O268" s="3" t="s">
        <v>35</v>
      </c>
      <c r="P268" s="3" t="s">
        <v>35</v>
      </c>
      <c r="Q268" s="3" t="str">
        <f t="shared" si="43"/>
        <v>274-2021-06-30</v>
      </c>
      <c r="R268" s="3">
        <v>0</v>
      </c>
      <c r="S268" s="3">
        <v>0</v>
      </c>
      <c r="T268" s="3" t="s">
        <v>31</v>
      </c>
      <c r="U268" s="3" t="s">
        <v>37</v>
      </c>
      <c r="V268" s="3" t="s">
        <v>194</v>
      </c>
      <c r="W268" s="3" t="s">
        <v>38</v>
      </c>
      <c r="X268" s="3" t="s">
        <v>39</v>
      </c>
      <c r="Y268" s="3" t="s">
        <v>40</v>
      </c>
      <c r="Z268" s="3" t="s">
        <v>41</v>
      </c>
      <c r="AA268" s="3" t="s">
        <v>42</v>
      </c>
      <c r="AB268" s="3" t="s">
        <v>78</v>
      </c>
      <c r="AC268" s="3" t="s">
        <v>31</v>
      </c>
      <c r="AD268" s="3">
        <v>0</v>
      </c>
    </row>
    <row r="269" spans="1:30" x14ac:dyDescent="0.3">
      <c r="A269" s="3">
        <v>274</v>
      </c>
      <c r="B269" s="3" t="s">
        <v>480</v>
      </c>
      <c r="C269" s="3" t="s">
        <v>194</v>
      </c>
      <c r="D269" s="3" t="s">
        <v>31</v>
      </c>
      <c r="E269" s="3" t="s">
        <v>32</v>
      </c>
      <c r="F269" s="12">
        <v>44561</v>
      </c>
      <c r="G269" s="3">
        <f t="shared" si="40"/>
        <v>2021</v>
      </c>
      <c r="H269" s="3" t="str">
        <f t="shared" si="41"/>
        <v>Diciembre</v>
      </c>
      <c r="I269" s="3" t="str">
        <f t="shared" si="42"/>
        <v>2021-2</v>
      </c>
      <c r="J269" s="3">
        <v>2</v>
      </c>
      <c r="K269" s="3"/>
      <c r="L269" s="11">
        <v>40937</v>
      </c>
      <c r="M269" s="3"/>
      <c r="N269" s="3"/>
      <c r="O269" s="3" t="s">
        <v>35</v>
      </c>
      <c r="P269" s="3" t="s">
        <v>35</v>
      </c>
      <c r="Q269" s="3" t="str">
        <f t="shared" si="43"/>
        <v>274-2021-12-31</v>
      </c>
      <c r="R269" s="3">
        <v>0</v>
      </c>
      <c r="S269" s="3">
        <v>0</v>
      </c>
      <c r="T269" s="3" t="s">
        <v>31</v>
      </c>
      <c r="U269" s="3" t="s">
        <v>37</v>
      </c>
      <c r="V269" s="3" t="s">
        <v>194</v>
      </c>
      <c r="W269" s="3" t="s">
        <v>38</v>
      </c>
      <c r="X269" s="3" t="s">
        <v>39</v>
      </c>
      <c r="Y269" s="3" t="s">
        <v>40</v>
      </c>
      <c r="Z269" s="3" t="s">
        <v>41</v>
      </c>
      <c r="AA269" s="3" t="s">
        <v>42</v>
      </c>
      <c r="AB269" s="3" t="s">
        <v>78</v>
      </c>
      <c r="AC269" s="3" t="s">
        <v>31</v>
      </c>
      <c r="AD269" s="3">
        <v>0</v>
      </c>
    </row>
    <row r="270" spans="1:30" x14ac:dyDescent="0.3">
      <c r="A270" s="3">
        <v>274</v>
      </c>
      <c r="B270" s="3" t="s">
        <v>480</v>
      </c>
      <c r="C270" s="3" t="s">
        <v>194</v>
      </c>
      <c r="D270" s="3" t="s">
        <v>31</v>
      </c>
      <c r="E270" s="3" t="s">
        <v>32</v>
      </c>
      <c r="F270" s="12">
        <v>44561</v>
      </c>
      <c r="G270" s="3">
        <f t="shared" si="40"/>
        <v>2021</v>
      </c>
      <c r="H270" s="3" t="str">
        <f t="shared" si="41"/>
        <v>Diciembre</v>
      </c>
      <c r="I270" s="3" t="str">
        <f t="shared" si="42"/>
        <v>2021-2</v>
      </c>
      <c r="J270" s="3"/>
      <c r="K270" s="3"/>
      <c r="L270" s="11">
        <v>40937</v>
      </c>
      <c r="M270" s="3"/>
      <c r="N270" s="3"/>
      <c r="O270" s="3" t="s">
        <v>35</v>
      </c>
      <c r="P270" s="3" t="s">
        <v>35</v>
      </c>
      <c r="Q270" s="3" t="str">
        <f t="shared" si="43"/>
        <v>274-2021-12-31</v>
      </c>
      <c r="R270" s="3">
        <v>0</v>
      </c>
      <c r="S270" s="3">
        <v>0</v>
      </c>
      <c r="T270" s="3" t="s">
        <v>443</v>
      </c>
      <c r="U270" s="3" t="s">
        <v>37</v>
      </c>
      <c r="V270" s="3" t="s">
        <v>194</v>
      </c>
      <c r="W270" s="3" t="s">
        <v>38</v>
      </c>
      <c r="X270" s="3" t="s">
        <v>39</v>
      </c>
      <c r="Y270" s="3" t="s">
        <v>40</v>
      </c>
      <c r="Z270" s="3" t="s">
        <v>41</v>
      </c>
      <c r="AA270" s="3" t="s">
        <v>42</v>
      </c>
      <c r="AB270" s="3" t="s">
        <v>78</v>
      </c>
      <c r="AC270" s="3" t="s">
        <v>31</v>
      </c>
      <c r="AD270" s="3">
        <v>0</v>
      </c>
    </row>
    <row r="271" spans="1:30" x14ac:dyDescent="0.3">
      <c r="A271" s="3">
        <v>274</v>
      </c>
      <c r="B271" s="3" t="s">
        <v>480</v>
      </c>
      <c r="C271" s="3" t="s">
        <v>194</v>
      </c>
      <c r="D271" s="3" t="s">
        <v>31</v>
      </c>
      <c r="E271" s="3" t="s">
        <v>32</v>
      </c>
      <c r="F271" s="12">
        <v>44742</v>
      </c>
      <c r="G271" s="3">
        <v>2022</v>
      </c>
      <c r="H271" s="3" t="s">
        <v>33</v>
      </c>
      <c r="I271" s="3" t="s">
        <v>34</v>
      </c>
      <c r="J271" s="3">
        <v>1</v>
      </c>
      <c r="K271" s="3">
        <v>39623</v>
      </c>
      <c r="L271" s="3">
        <v>40000</v>
      </c>
      <c r="M271" s="3">
        <f>+L271/K271</f>
        <v>1.0095146758195996</v>
      </c>
      <c r="N271" s="3">
        <f>+L271/K271</f>
        <v>1.0095146758195996</v>
      </c>
      <c r="O271" s="3" t="s">
        <v>35</v>
      </c>
      <c r="P271" s="3" t="s">
        <v>35</v>
      </c>
      <c r="Q271" s="3" t="str">
        <f t="shared" si="43"/>
        <v>274-2022-06-30</v>
      </c>
      <c r="R271" s="3">
        <v>0</v>
      </c>
      <c r="S271" s="3">
        <v>0</v>
      </c>
      <c r="T271" s="3" t="s">
        <v>31</v>
      </c>
      <c r="U271" s="3" t="s">
        <v>37</v>
      </c>
      <c r="V271" s="3" t="s">
        <v>194</v>
      </c>
      <c r="W271" s="3" t="s">
        <v>38</v>
      </c>
      <c r="X271" s="3" t="s">
        <v>39</v>
      </c>
      <c r="Y271" s="3" t="s">
        <v>40</v>
      </c>
      <c r="Z271" s="3" t="s">
        <v>41</v>
      </c>
      <c r="AA271" s="3" t="s">
        <v>42</v>
      </c>
      <c r="AB271" s="3" t="s">
        <v>78</v>
      </c>
      <c r="AC271" s="3" t="s">
        <v>31</v>
      </c>
      <c r="AD271" s="3">
        <v>0</v>
      </c>
    </row>
    <row r="272" spans="1:30" x14ac:dyDescent="0.3">
      <c r="A272" s="3">
        <v>274</v>
      </c>
      <c r="B272" s="3" t="s">
        <v>480</v>
      </c>
      <c r="C272" s="3" t="s">
        <v>194</v>
      </c>
      <c r="D272" s="3" t="s">
        <v>31</v>
      </c>
      <c r="E272" s="3" t="s">
        <v>32</v>
      </c>
      <c r="F272" s="12">
        <v>44926</v>
      </c>
      <c r="G272" s="3">
        <v>2022</v>
      </c>
      <c r="H272" s="3" t="s">
        <v>44</v>
      </c>
      <c r="I272" s="3" t="s">
        <v>45</v>
      </c>
      <c r="J272" s="3">
        <v>2</v>
      </c>
      <c r="K272" s="3">
        <v>39817</v>
      </c>
      <c r="L272" s="3">
        <v>40663</v>
      </c>
      <c r="M272" s="3">
        <f t="shared" ref="M272:M282" si="44">+L272/K272</f>
        <v>1.0212472059673003</v>
      </c>
      <c r="N272" s="3">
        <f t="shared" ref="N272:N282" si="45">+L272/K272</f>
        <v>1.0212472059673003</v>
      </c>
      <c r="O272" s="3" t="s">
        <v>35</v>
      </c>
      <c r="P272" s="3" t="s">
        <v>35</v>
      </c>
      <c r="Q272" s="3" t="str">
        <f t="shared" si="43"/>
        <v>274-2022-12-31</v>
      </c>
      <c r="R272" s="3">
        <v>0</v>
      </c>
      <c r="S272" s="3">
        <v>0</v>
      </c>
      <c r="T272" s="3" t="s">
        <v>31</v>
      </c>
      <c r="U272" s="3" t="s">
        <v>37</v>
      </c>
      <c r="V272" s="3" t="s">
        <v>194</v>
      </c>
      <c r="W272" s="3" t="s">
        <v>38</v>
      </c>
      <c r="X272" s="3" t="s">
        <v>39</v>
      </c>
      <c r="Y272" s="3" t="s">
        <v>40</v>
      </c>
      <c r="Z272" s="3" t="s">
        <v>41</v>
      </c>
      <c r="AA272" s="3" t="s">
        <v>42</v>
      </c>
      <c r="AB272" s="3" t="s">
        <v>78</v>
      </c>
      <c r="AC272" s="3" t="s">
        <v>31</v>
      </c>
      <c r="AD272" s="3">
        <v>0</v>
      </c>
    </row>
    <row r="273" spans="1:30" x14ac:dyDescent="0.3">
      <c r="A273" s="3">
        <v>274</v>
      </c>
      <c r="B273" s="3" t="s">
        <v>480</v>
      </c>
      <c r="C273" s="3" t="s">
        <v>194</v>
      </c>
      <c r="D273" s="3" t="s">
        <v>31</v>
      </c>
      <c r="E273" s="3" t="s">
        <v>32</v>
      </c>
      <c r="F273" s="12">
        <v>44926</v>
      </c>
      <c r="G273" s="3">
        <v>2022</v>
      </c>
      <c r="H273" s="3" t="s">
        <v>44</v>
      </c>
      <c r="I273" s="3" t="s">
        <v>45</v>
      </c>
      <c r="J273" s="3"/>
      <c r="K273" s="3">
        <v>39817</v>
      </c>
      <c r="L273" s="3">
        <v>40663</v>
      </c>
      <c r="M273" s="3">
        <f t="shared" si="44"/>
        <v>1.0212472059673003</v>
      </c>
      <c r="N273" s="3">
        <f t="shared" si="45"/>
        <v>1.0212472059673003</v>
      </c>
      <c r="O273" s="3" t="s">
        <v>35</v>
      </c>
      <c r="P273" s="3" t="s">
        <v>35</v>
      </c>
      <c r="Q273" s="3" t="str">
        <f t="shared" si="43"/>
        <v>274-2022-12-31</v>
      </c>
      <c r="R273" s="3">
        <v>0</v>
      </c>
      <c r="S273" s="3">
        <v>0</v>
      </c>
      <c r="T273" s="3" t="s">
        <v>443</v>
      </c>
      <c r="U273" s="3" t="s">
        <v>37</v>
      </c>
      <c r="V273" s="3" t="s">
        <v>194</v>
      </c>
      <c r="W273" s="3" t="s">
        <v>38</v>
      </c>
      <c r="X273" s="3" t="s">
        <v>39</v>
      </c>
      <c r="Y273" s="3" t="s">
        <v>40</v>
      </c>
      <c r="Z273" s="3" t="s">
        <v>41</v>
      </c>
      <c r="AA273" s="3" t="s">
        <v>42</v>
      </c>
      <c r="AB273" s="3" t="s">
        <v>78</v>
      </c>
      <c r="AC273" s="3" t="s">
        <v>31</v>
      </c>
      <c r="AD273" s="3">
        <v>0</v>
      </c>
    </row>
    <row r="274" spans="1:30" x14ac:dyDescent="0.3">
      <c r="A274" s="3">
        <v>274</v>
      </c>
      <c r="B274" s="3" t="s">
        <v>480</v>
      </c>
      <c r="C274" s="3" t="s">
        <v>194</v>
      </c>
      <c r="D274" s="3" t="s">
        <v>31</v>
      </c>
      <c r="E274" s="3" t="s">
        <v>32</v>
      </c>
      <c r="F274" s="12">
        <v>45107</v>
      </c>
      <c r="G274" s="3">
        <v>2023</v>
      </c>
      <c r="H274" s="3" t="s">
        <v>33</v>
      </c>
      <c r="I274" s="3" t="s">
        <v>47</v>
      </c>
      <c r="J274" s="3">
        <v>1</v>
      </c>
      <c r="K274" s="3">
        <v>40047</v>
      </c>
      <c r="L274" s="3">
        <v>39091</v>
      </c>
      <c r="M274" s="3">
        <f t="shared" si="44"/>
        <v>0.97612804954178845</v>
      </c>
      <c r="N274" s="3">
        <f t="shared" si="45"/>
        <v>0.97612804954178845</v>
      </c>
      <c r="O274" s="3" t="s">
        <v>35</v>
      </c>
      <c r="P274" s="3" t="s">
        <v>35</v>
      </c>
      <c r="Q274" s="3" t="str">
        <f t="shared" si="43"/>
        <v>274-2023-06-30</v>
      </c>
      <c r="R274" s="3">
        <v>0</v>
      </c>
      <c r="S274" s="3">
        <v>0</v>
      </c>
      <c r="T274" s="3" t="s">
        <v>31</v>
      </c>
      <c r="U274" s="3" t="s">
        <v>37</v>
      </c>
      <c r="V274" s="3" t="s">
        <v>194</v>
      </c>
      <c r="W274" s="3" t="s">
        <v>38</v>
      </c>
      <c r="X274" s="3" t="s">
        <v>39</v>
      </c>
      <c r="Y274" s="3" t="s">
        <v>40</v>
      </c>
      <c r="Z274" s="3" t="s">
        <v>41</v>
      </c>
      <c r="AA274" s="3" t="s">
        <v>42</v>
      </c>
      <c r="AB274" s="3" t="s">
        <v>78</v>
      </c>
      <c r="AC274" s="3" t="s">
        <v>31</v>
      </c>
      <c r="AD274" s="3">
        <v>0</v>
      </c>
    </row>
    <row r="275" spans="1:30" x14ac:dyDescent="0.3">
      <c r="A275" s="3">
        <v>274</v>
      </c>
      <c r="B275" s="3" t="s">
        <v>480</v>
      </c>
      <c r="C275" s="3" t="s">
        <v>194</v>
      </c>
      <c r="D275" s="3" t="s">
        <v>31</v>
      </c>
      <c r="E275" s="3" t="s">
        <v>32</v>
      </c>
      <c r="F275" s="12">
        <v>45291</v>
      </c>
      <c r="G275" s="3">
        <v>2023</v>
      </c>
      <c r="H275" s="3" t="s">
        <v>44</v>
      </c>
      <c r="I275" s="3" t="s">
        <v>49</v>
      </c>
      <c r="J275" s="3">
        <v>2</v>
      </c>
      <c r="K275" s="3">
        <v>41811</v>
      </c>
      <c r="L275" s="3">
        <v>40771</v>
      </c>
      <c r="M275" s="3">
        <f t="shared" si="44"/>
        <v>0.97512616297146681</v>
      </c>
      <c r="N275" s="3">
        <f t="shared" si="45"/>
        <v>0.97512616297146681</v>
      </c>
      <c r="O275" s="3" t="s">
        <v>35</v>
      </c>
      <c r="P275" s="3" t="s">
        <v>35</v>
      </c>
      <c r="Q275" s="3" t="str">
        <f t="shared" si="43"/>
        <v>274-2023-12-31</v>
      </c>
      <c r="R275" s="3">
        <v>0</v>
      </c>
      <c r="S275" s="3">
        <v>0</v>
      </c>
      <c r="T275" s="3" t="s">
        <v>31</v>
      </c>
      <c r="U275" s="3" t="s">
        <v>37</v>
      </c>
      <c r="V275" s="3" t="s">
        <v>194</v>
      </c>
      <c r="W275" s="3" t="s">
        <v>38</v>
      </c>
      <c r="X275" s="3" t="s">
        <v>39</v>
      </c>
      <c r="Y275" s="3" t="s">
        <v>40</v>
      </c>
      <c r="Z275" s="3" t="s">
        <v>41</v>
      </c>
      <c r="AA275" s="3" t="s">
        <v>42</v>
      </c>
      <c r="AB275" s="3" t="s">
        <v>78</v>
      </c>
      <c r="AC275" s="3" t="s">
        <v>31</v>
      </c>
      <c r="AD275" s="3">
        <v>0</v>
      </c>
    </row>
    <row r="276" spans="1:30" x14ac:dyDescent="0.3">
      <c r="A276" s="3">
        <v>274</v>
      </c>
      <c r="B276" s="3" t="s">
        <v>480</v>
      </c>
      <c r="C276" s="3" t="s">
        <v>194</v>
      </c>
      <c r="D276" s="3" t="s">
        <v>31</v>
      </c>
      <c r="E276" s="3" t="s">
        <v>32</v>
      </c>
      <c r="F276" s="12">
        <v>45291</v>
      </c>
      <c r="G276" s="3">
        <v>2023</v>
      </c>
      <c r="H276" s="3" t="s">
        <v>44</v>
      </c>
      <c r="I276" s="3" t="s">
        <v>49</v>
      </c>
      <c r="J276" s="3"/>
      <c r="K276" s="3">
        <v>41811</v>
      </c>
      <c r="L276" s="3">
        <v>40770</v>
      </c>
      <c r="M276" s="3">
        <f t="shared" si="44"/>
        <v>0.97510224582047789</v>
      </c>
      <c r="N276" s="3">
        <f t="shared" si="45"/>
        <v>0.97510224582047789</v>
      </c>
      <c r="O276" s="3" t="s">
        <v>35</v>
      </c>
      <c r="P276" s="3" t="s">
        <v>35</v>
      </c>
      <c r="Q276" s="3" t="str">
        <f t="shared" si="43"/>
        <v>274-2023-12-31</v>
      </c>
      <c r="R276" s="3">
        <v>0</v>
      </c>
      <c r="S276" s="3">
        <v>0</v>
      </c>
      <c r="T276" s="3" t="s">
        <v>443</v>
      </c>
      <c r="U276" s="3" t="s">
        <v>37</v>
      </c>
      <c r="V276" s="3" t="s">
        <v>194</v>
      </c>
      <c r="W276" s="3" t="s">
        <v>38</v>
      </c>
      <c r="X276" s="3" t="s">
        <v>39</v>
      </c>
      <c r="Y276" s="3" t="s">
        <v>40</v>
      </c>
      <c r="Z276" s="3" t="s">
        <v>41</v>
      </c>
      <c r="AA276" s="3" t="s">
        <v>42</v>
      </c>
      <c r="AB276" s="3" t="s">
        <v>78</v>
      </c>
      <c r="AC276" s="3" t="s">
        <v>31</v>
      </c>
      <c r="AD276" s="3">
        <v>0</v>
      </c>
    </row>
    <row r="277" spans="1:30" x14ac:dyDescent="0.3">
      <c r="A277" s="3">
        <v>274</v>
      </c>
      <c r="B277" s="3" t="s">
        <v>480</v>
      </c>
      <c r="C277" s="3" t="s">
        <v>194</v>
      </c>
      <c r="D277" s="3" t="s">
        <v>31</v>
      </c>
      <c r="E277" s="3" t="s">
        <v>32</v>
      </c>
      <c r="F277" s="12">
        <v>45473</v>
      </c>
      <c r="G277" s="3">
        <v>2024</v>
      </c>
      <c r="H277" s="3" t="s">
        <v>33</v>
      </c>
      <c r="I277" s="3" t="s">
        <v>51</v>
      </c>
      <c r="J277" s="3">
        <v>1</v>
      </c>
      <c r="K277" s="3">
        <v>38813</v>
      </c>
      <c r="L277" s="3">
        <v>39598</v>
      </c>
      <c r="M277" s="3">
        <f t="shared" si="44"/>
        <v>1.0202251822842863</v>
      </c>
      <c r="N277" s="3">
        <f t="shared" si="45"/>
        <v>1.0202251822842863</v>
      </c>
      <c r="O277" s="3" t="s">
        <v>35</v>
      </c>
      <c r="P277" s="3" t="s">
        <v>35</v>
      </c>
      <c r="Q277" s="3" t="str">
        <f t="shared" si="43"/>
        <v>274-2024-06-30</v>
      </c>
      <c r="R277" s="3">
        <v>0</v>
      </c>
      <c r="S277" s="3">
        <v>0</v>
      </c>
      <c r="T277" s="3" t="s">
        <v>31</v>
      </c>
      <c r="U277" s="3" t="s">
        <v>37</v>
      </c>
      <c r="V277" s="3" t="s">
        <v>194</v>
      </c>
      <c r="W277" s="3" t="s">
        <v>38</v>
      </c>
      <c r="X277" s="3" t="s">
        <v>39</v>
      </c>
      <c r="Y277" s="3" t="s">
        <v>40</v>
      </c>
      <c r="Z277" s="3" t="s">
        <v>41</v>
      </c>
      <c r="AA277" s="3" t="s">
        <v>42</v>
      </c>
      <c r="AB277" s="3" t="s">
        <v>78</v>
      </c>
      <c r="AC277" s="3" t="s">
        <v>31</v>
      </c>
      <c r="AD277" s="3">
        <v>0</v>
      </c>
    </row>
    <row r="278" spans="1:30" x14ac:dyDescent="0.3">
      <c r="A278" s="3">
        <v>274</v>
      </c>
      <c r="B278" s="3" t="s">
        <v>480</v>
      </c>
      <c r="C278" s="3" t="s">
        <v>194</v>
      </c>
      <c r="D278" s="3" t="s">
        <v>31</v>
      </c>
      <c r="E278" s="3" t="s">
        <v>32</v>
      </c>
      <c r="F278" s="12">
        <v>45657</v>
      </c>
      <c r="G278" s="3">
        <v>2024</v>
      </c>
      <c r="H278" s="3" t="s">
        <v>44</v>
      </c>
      <c r="I278" s="3" t="s">
        <v>53</v>
      </c>
      <c r="J278" s="3">
        <v>2</v>
      </c>
      <c r="K278" s="3">
        <v>40441</v>
      </c>
      <c r="L278" s="3">
        <v>41436</v>
      </c>
      <c r="M278" s="3">
        <f t="shared" si="44"/>
        <v>1.0246037437254272</v>
      </c>
      <c r="N278" s="3">
        <f t="shared" si="45"/>
        <v>1.0246037437254272</v>
      </c>
      <c r="O278" s="3" t="s">
        <v>35</v>
      </c>
      <c r="P278" s="3" t="s">
        <v>35</v>
      </c>
      <c r="Q278" s="3" t="str">
        <f t="shared" si="43"/>
        <v>274-2024-12-31</v>
      </c>
      <c r="R278" s="3">
        <v>0</v>
      </c>
      <c r="S278" s="3">
        <v>0</v>
      </c>
      <c r="T278" s="3" t="s">
        <v>31</v>
      </c>
      <c r="U278" s="3" t="s">
        <v>37</v>
      </c>
      <c r="V278" s="3" t="s">
        <v>194</v>
      </c>
      <c r="W278" s="3" t="s">
        <v>38</v>
      </c>
      <c r="X278" s="3" t="s">
        <v>39</v>
      </c>
      <c r="Y278" s="3" t="s">
        <v>40</v>
      </c>
      <c r="Z278" s="3" t="s">
        <v>41</v>
      </c>
      <c r="AA278" s="3" t="s">
        <v>42</v>
      </c>
      <c r="AB278" s="3" t="s">
        <v>78</v>
      </c>
      <c r="AC278" s="3" t="s">
        <v>31</v>
      </c>
      <c r="AD278" s="3">
        <v>0</v>
      </c>
    </row>
    <row r="279" spans="1:30" x14ac:dyDescent="0.3">
      <c r="A279" s="3">
        <v>274</v>
      </c>
      <c r="B279" s="3" t="s">
        <v>480</v>
      </c>
      <c r="C279" s="3" t="s">
        <v>194</v>
      </c>
      <c r="D279" s="3" t="s">
        <v>31</v>
      </c>
      <c r="E279" s="3" t="s">
        <v>32</v>
      </c>
      <c r="F279" s="12">
        <v>45657</v>
      </c>
      <c r="G279" s="3">
        <v>2024</v>
      </c>
      <c r="H279" s="3" t="s">
        <v>44</v>
      </c>
      <c r="I279" s="3" t="s">
        <v>53</v>
      </c>
      <c r="J279" s="3"/>
      <c r="K279" s="3">
        <v>40441.334115206948</v>
      </c>
      <c r="L279" s="3">
        <v>41436</v>
      </c>
      <c r="M279" s="3">
        <f t="shared" si="44"/>
        <v>1.0245952787304076</v>
      </c>
      <c r="N279" s="3">
        <f t="shared" si="45"/>
        <v>1.0245952787304076</v>
      </c>
      <c r="O279" s="3" t="s">
        <v>35</v>
      </c>
      <c r="P279" s="3" t="s">
        <v>35</v>
      </c>
      <c r="Q279" s="3" t="str">
        <f t="shared" si="43"/>
        <v>274-2024-12-31</v>
      </c>
      <c r="R279" s="3">
        <v>0</v>
      </c>
      <c r="S279" s="3">
        <v>0</v>
      </c>
      <c r="T279" s="3" t="s">
        <v>443</v>
      </c>
      <c r="U279" s="3" t="s">
        <v>37</v>
      </c>
      <c r="V279" s="3" t="s">
        <v>194</v>
      </c>
      <c r="W279" s="3" t="s">
        <v>38</v>
      </c>
      <c r="X279" s="3" t="s">
        <v>39</v>
      </c>
      <c r="Y279" s="3" t="s">
        <v>40</v>
      </c>
      <c r="Z279" s="3" t="s">
        <v>41</v>
      </c>
      <c r="AA279" s="3" t="s">
        <v>42</v>
      </c>
      <c r="AB279" s="3" t="s">
        <v>78</v>
      </c>
      <c r="AC279" s="3" t="s">
        <v>31</v>
      </c>
      <c r="AD279" s="3">
        <v>0</v>
      </c>
    </row>
    <row r="280" spans="1:30" x14ac:dyDescent="0.3">
      <c r="A280" s="3">
        <v>274</v>
      </c>
      <c r="B280" s="3" t="s">
        <v>480</v>
      </c>
      <c r="C280" s="3" t="s">
        <v>194</v>
      </c>
      <c r="D280" s="3" t="s">
        <v>31</v>
      </c>
      <c r="E280" s="3" t="s">
        <v>32</v>
      </c>
      <c r="F280" s="12">
        <v>45838</v>
      </c>
      <c r="G280" s="3">
        <v>2025</v>
      </c>
      <c r="H280" s="3" t="s">
        <v>33</v>
      </c>
      <c r="I280" s="3" t="s">
        <v>404</v>
      </c>
      <c r="J280" s="3">
        <v>1</v>
      </c>
      <c r="K280" s="3">
        <v>40026</v>
      </c>
      <c r="L280" s="3">
        <v>42364</v>
      </c>
      <c r="M280" s="3">
        <f t="shared" si="44"/>
        <v>1.0584120321790835</v>
      </c>
      <c r="N280" s="3">
        <f t="shared" si="45"/>
        <v>1.0584120321790835</v>
      </c>
      <c r="O280" s="3" t="s">
        <v>35</v>
      </c>
      <c r="P280" s="3" t="s">
        <v>35</v>
      </c>
      <c r="Q280" s="3" t="str">
        <f t="shared" si="43"/>
        <v>274-2025-06-30</v>
      </c>
      <c r="R280" s="3">
        <v>0</v>
      </c>
      <c r="S280" s="3">
        <v>0</v>
      </c>
      <c r="T280" s="3" t="s">
        <v>31</v>
      </c>
      <c r="U280" s="3" t="s">
        <v>37</v>
      </c>
      <c r="V280" s="3" t="s">
        <v>194</v>
      </c>
      <c r="W280" s="3" t="s">
        <v>38</v>
      </c>
      <c r="X280" s="3" t="s">
        <v>39</v>
      </c>
      <c r="Y280" s="3" t="s">
        <v>40</v>
      </c>
      <c r="Z280" s="3" t="s">
        <v>41</v>
      </c>
      <c r="AA280" s="3" t="s">
        <v>42</v>
      </c>
      <c r="AB280" s="3" t="s">
        <v>78</v>
      </c>
      <c r="AC280" s="3" t="s">
        <v>31</v>
      </c>
      <c r="AD280" s="3">
        <v>0</v>
      </c>
    </row>
    <row r="281" spans="1:30" x14ac:dyDescent="0.3">
      <c r="A281" s="3">
        <v>274</v>
      </c>
      <c r="B281" s="3" t="s">
        <v>480</v>
      </c>
      <c r="C281" s="3" t="s">
        <v>194</v>
      </c>
      <c r="D281" s="3" t="s">
        <v>31</v>
      </c>
      <c r="E281" s="3" t="s">
        <v>32</v>
      </c>
      <c r="F281" s="12">
        <v>46022</v>
      </c>
      <c r="G281" s="3">
        <v>2025</v>
      </c>
      <c r="H281" s="3" t="str">
        <f>PROPER(TEXT(F281,"mmmm"))</f>
        <v>Diciembre</v>
      </c>
      <c r="I281" s="3" t="s">
        <v>465</v>
      </c>
      <c r="J281" s="3">
        <v>2</v>
      </c>
      <c r="K281" s="3">
        <v>44737</v>
      </c>
      <c r="L281" s="11">
        <v>45646</v>
      </c>
      <c r="M281" s="3">
        <f t="shared" si="44"/>
        <v>1.02031875181617</v>
      </c>
      <c r="N281" s="3">
        <f t="shared" si="45"/>
        <v>1.02031875181617</v>
      </c>
      <c r="O281" s="3" t="s">
        <v>35</v>
      </c>
      <c r="P281" s="3" t="s">
        <v>35</v>
      </c>
      <c r="Q281" s="3" t="str">
        <f t="shared" si="43"/>
        <v>274-2025-12-31</v>
      </c>
      <c r="R281" s="3">
        <v>0</v>
      </c>
      <c r="S281" s="3">
        <v>0</v>
      </c>
      <c r="T281" s="3" t="s">
        <v>31</v>
      </c>
      <c r="U281" s="3" t="s">
        <v>37</v>
      </c>
      <c r="V281" s="3" t="s">
        <v>194</v>
      </c>
      <c r="W281" s="3" t="s">
        <v>38</v>
      </c>
      <c r="X281" s="3" t="s">
        <v>39</v>
      </c>
      <c r="Y281" s="3" t="s">
        <v>40</v>
      </c>
      <c r="Z281" s="3" t="s">
        <v>41</v>
      </c>
      <c r="AA281" s="3" t="s">
        <v>42</v>
      </c>
      <c r="AB281" s="3" t="s">
        <v>78</v>
      </c>
      <c r="AC281" s="3" t="s">
        <v>31</v>
      </c>
      <c r="AD281" s="3">
        <v>0</v>
      </c>
    </row>
    <row r="282" spans="1:30" x14ac:dyDescent="0.3">
      <c r="A282" s="3">
        <v>274</v>
      </c>
      <c r="B282" s="3" t="s">
        <v>480</v>
      </c>
      <c r="C282" s="3" t="s">
        <v>194</v>
      </c>
      <c r="D282" s="3" t="s">
        <v>31</v>
      </c>
      <c r="E282" s="3" t="s">
        <v>32</v>
      </c>
      <c r="F282" s="12">
        <v>46022</v>
      </c>
      <c r="G282" s="3">
        <f>YEAR(F282)</f>
        <v>2025</v>
      </c>
      <c r="H282" s="3" t="str">
        <f>PROPER(TEXT(F282,"mmmm"))</f>
        <v>Diciembre</v>
      </c>
      <c r="I282" s="3" t="str">
        <f>IF(H282="Junio",G282&amp;"-1",G282&amp;"-2")</f>
        <v>2025-2</v>
      </c>
      <c r="J282" s="3"/>
      <c r="K282" s="3">
        <v>44737</v>
      </c>
      <c r="L282" s="11">
        <v>45646</v>
      </c>
      <c r="M282" s="3">
        <f t="shared" si="44"/>
        <v>1.02031875181617</v>
      </c>
      <c r="N282" s="3">
        <f t="shared" si="45"/>
        <v>1.02031875181617</v>
      </c>
      <c r="O282" s="3" t="s">
        <v>35</v>
      </c>
      <c r="P282" s="3" t="s">
        <v>35</v>
      </c>
      <c r="Q282" s="3" t="str">
        <f t="shared" si="43"/>
        <v>274-2025-12-31</v>
      </c>
      <c r="R282" s="3">
        <v>0</v>
      </c>
      <c r="S282" s="3">
        <v>0</v>
      </c>
      <c r="T282" s="3" t="s">
        <v>443</v>
      </c>
      <c r="U282" s="3" t="s">
        <v>37</v>
      </c>
      <c r="V282" s="3" t="s">
        <v>194</v>
      </c>
      <c r="W282" s="3" t="s">
        <v>38</v>
      </c>
      <c r="X282" s="3" t="s">
        <v>39</v>
      </c>
      <c r="Y282" s="3" t="s">
        <v>40</v>
      </c>
      <c r="Z282" s="3" t="s">
        <v>41</v>
      </c>
      <c r="AA282" s="3" t="s">
        <v>42</v>
      </c>
      <c r="AB282" s="3" t="s">
        <v>78</v>
      </c>
      <c r="AC282" s="3" t="s">
        <v>31</v>
      </c>
      <c r="AD282" s="3">
        <v>0</v>
      </c>
    </row>
    <row r="283" spans="1:30" x14ac:dyDescent="0.3">
      <c r="A283" s="3">
        <v>276</v>
      </c>
      <c r="B283" s="3" t="s">
        <v>201</v>
      </c>
      <c r="C283" s="3" t="s">
        <v>202</v>
      </c>
      <c r="D283" s="3" t="s">
        <v>31</v>
      </c>
      <c r="E283" s="3" t="s">
        <v>171</v>
      </c>
      <c r="F283" s="12">
        <v>44742</v>
      </c>
      <c r="G283" s="3">
        <v>2022</v>
      </c>
      <c r="H283" s="3" t="s">
        <v>33</v>
      </c>
      <c r="I283" s="3" t="s">
        <v>34</v>
      </c>
      <c r="J283" s="3">
        <v>1</v>
      </c>
      <c r="K283" s="3">
        <v>93</v>
      </c>
      <c r="L283" s="3">
        <v>106</v>
      </c>
      <c r="M283" s="3">
        <f>+K283/L283</f>
        <v>0.87735849056603776</v>
      </c>
      <c r="N283" s="3">
        <f>+K283/L283</f>
        <v>0.87735849056603776</v>
      </c>
      <c r="O283" s="3" t="s">
        <v>35</v>
      </c>
      <c r="P283" s="3" t="s">
        <v>245</v>
      </c>
      <c r="Q283" s="3" t="str">
        <f t="shared" si="43"/>
        <v>276-2022-06-30</v>
      </c>
      <c r="R283" s="3">
        <v>0</v>
      </c>
      <c r="S283" s="3">
        <v>0</v>
      </c>
      <c r="T283" s="3" t="s">
        <v>31</v>
      </c>
      <c r="U283" s="3" t="s">
        <v>37</v>
      </c>
      <c r="V283" s="3" t="s">
        <v>202</v>
      </c>
      <c r="W283" s="3" t="s">
        <v>73</v>
      </c>
      <c r="X283" s="3" t="s">
        <v>74</v>
      </c>
      <c r="Y283" s="3" t="s">
        <v>585</v>
      </c>
      <c r="Z283" s="3" t="s">
        <v>86</v>
      </c>
      <c r="AA283" s="3" t="s">
        <v>204</v>
      </c>
      <c r="AB283" s="3" t="s">
        <v>65</v>
      </c>
      <c r="AC283" s="3" t="s">
        <v>31</v>
      </c>
      <c r="AD283" s="3">
        <v>0</v>
      </c>
    </row>
    <row r="284" spans="1:30" x14ac:dyDescent="0.3">
      <c r="A284" s="3">
        <v>276</v>
      </c>
      <c r="B284" s="3" t="s">
        <v>201</v>
      </c>
      <c r="C284" s="3" t="s">
        <v>202</v>
      </c>
      <c r="D284" s="3" t="s">
        <v>31</v>
      </c>
      <c r="E284" s="3" t="s">
        <v>171</v>
      </c>
      <c r="F284" s="12">
        <v>44926</v>
      </c>
      <c r="G284" s="3">
        <v>2022</v>
      </c>
      <c r="H284" s="3" t="s">
        <v>44</v>
      </c>
      <c r="I284" s="3" t="s">
        <v>45</v>
      </c>
      <c r="J284" s="3">
        <v>2</v>
      </c>
      <c r="K284" s="3">
        <v>88</v>
      </c>
      <c r="L284" s="3">
        <v>88</v>
      </c>
      <c r="M284" s="3">
        <f t="shared" ref="M284:M293" si="46">+K284/L284</f>
        <v>1</v>
      </c>
      <c r="N284" s="3">
        <f t="shared" ref="N284:N293" si="47">+K284/L284</f>
        <v>1</v>
      </c>
      <c r="O284" s="3" t="s">
        <v>35</v>
      </c>
      <c r="P284" s="3" t="s">
        <v>245</v>
      </c>
      <c r="Q284" s="3" t="str">
        <f t="shared" si="43"/>
        <v>276-2022-12-31</v>
      </c>
      <c r="R284" s="3">
        <v>0</v>
      </c>
      <c r="S284" s="3">
        <v>0</v>
      </c>
      <c r="T284" s="3" t="s">
        <v>31</v>
      </c>
      <c r="U284" s="3" t="s">
        <v>37</v>
      </c>
      <c r="V284" s="3" t="s">
        <v>202</v>
      </c>
      <c r="W284" s="3" t="s">
        <v>73</v>
      </c>
      <c r="X284" s="3" t="s">
        <v>74</v>
      </c>
      <c r="Y284" s="3" t="s">
        <v>585</v>
      </c>
      <c r="Z284" s="3" t="s">
        <v>86</v>
      </c>
      <c r="AA284" s="3" t="s">
        <v>204</v>
      </c>
      <c r="AB284" s="3" t="s">
        <v>65</v>
      </c>
      <c r="AC284" s="3" t="s">
        <v>31</v>
      </c>
      <c r="AD284" s="3">
        <v>0</v>
      </c>
    </row>
    <row r="285" spans="1:30" x14ac:dyDescent="0.3">
      <c r="A285" s="3">
        <v>276</v>
      </c>
      <c r="B285" s="3" t="s">
        <v>201</v>
      </c>
      <c r="C285" s="3" t="s">
        <v>202</v>
      </c>
      <c r="D285" s="3" t="s">
        <v>31</v>
      </c>
      <c r="E285" s="3" t="s">
        <v>171</v>
      </c>
      <c r="F285" s="12">
        <v>44926</v>
      </c>
      <c r="G285" s="3">
        <v>2022</v>
      </c>
      <c r="H285" s="3" t="s">
        <v>44</v>
      </c>
      <c r="I285" s="3" t="s">
        <v>45</v>
      </c>
      <c r="J285" s="3"/>
      <c r="K285" s="3">
        <v>88</v>
      </c>
      <c r="L285" s="3">
        <v>88</v>
      </c>
      <c r="M285" s="3">
        <f t="shared" si="46"/>
        <v>1</v>
      </c>
      <c r="N285" s="3">
        <f t="shared" si="47"/>
        <v>1</v>
      </c>
      <c r="O285" s="3" t="s">
        <v>35</v>
      </c>
      <c r="P285" s="3" t="s">
        <v>35</v>
      </c>
      <c r="Q285" s="3" t="str">
        <f t="shared" si="43"/>
        <v>276-2022-12-31</v>
      </c>
      <c r="R285" s="3">
        <v>0</v>
      </c>
      <c r="S285" s="3">
        <v>0</v>
      </c>
      <c r="T285" s="3" t="s">
        <v>443</v>
      </c>
      <c r="U285" s="3" t="s">
        <v>37</v>
      </c>
      <c r="V285" s="3" t="s">
        <v>202</v>
      </c>
      <c r="W285" s="3" t="s">
        <v>73</v>
      </c>
      <c r="X285" s="3" t="s">
        <v>74</v>
      </c>
      <c r="Y285" s="3" t="s">
        <v>585</v>
      </c>
      <c r="Z285" s="3" t="s">
        <v>86</v>
      </c>
      <c r="AA285" s="3" t="s">
        <v>204</v>
      </c>
      <c r="AB285" s="3" t="s">
        <v>65</v>
      </c>
      <c r="AC285" s="3" t="s">
        <v>31</v>
      </c>
      <c r="AD285" s="3">
        <v>0</v>
      </c>
    </row>
    <row r="286" spans="1:30" x14ac:dyDescent="0.3">
      <c r="A286" s="3">
        <v>276</v>
      </c>
      <c r="B286" s="3" t="s">
        <v>201</v>
      </c>
      <c r="C286" s="3" t="s">
        <v>202</v>
      </c>
      <c r="D286" s="3" t="s">
        <v>31</v>
      </c>
      <c r="E286" s="3" t="s">
        <v>171</v>
      </c>
      <c r="F286" s="12">
        <v>45107</v>
      </c>
      <c r="G286" s="3">
        <v>2023</v>
      </c>
      <c r="H286" s="3" t="s">
        <v>33</v>
      </c>
      <c r="I286" s="3" t="s">
        <v>47</v>
      </c>
      <c r="J286" s="3">
        <v>1</v>
      </c>
      <c r="K286" s="3">
        <v>85</v>
      </c>
      <c r="L286" s="3">
        <v>89.99</v>
      </c>
      <c r="M286" s="3">
        <f t="shared" si="46"/>
        <v>0.94454939437715302</v>
      </c>
      <c r="N286" s="3">
        <f t="shared" si="47"/>
        <v>0.94454939437715302</v>
      </c>
      <c r="O286" s="3" t="s">
        <v>35</v>
      </c>
      <c r="P286" s="3" t="s">
        <v>245</v>
      </c>
      <c r="Q286" s="3" t="str">
        <f t="shared" si="43"/>
        <v>276-2023-06-30</v>
      </c>
      <c r="R286" s="3">
        <v>0</v>
      </c>
      <c r="S286" s="3">
        <v>0</v>
      </c>
      <c r="T286" s="3" t="s">
        <v>31</v>
      </c>
      <c r="U286" s="3" t="s">
        <v>37</v>
      </c>
      <c r="V286" s="3" t="s">
        <v>202</v>
      </c>
      <c r="W286" s="3" t="s">
        <v>73</v>
      </c>
      <c r="X286" s="3" t="s">
        <v>74</v>
      </c>
      <c r="Y286" s="3" t="s">
        <v>585</v>
      </c>
      <c r="Z286" s="3" t="s">
        <v>86</v>
      </c>
      <c r="AA286" s="3" t="s">
        <v>204</v>
      </c>
      <c r="AB286" s="3" t="s">
        <v>65</v>
      </c>
      <c r="AC286" s="3" t="s">
        <v>31</v>
      </c>
      <c r="AD286" s="3">
        <v>0</v>
      </c>
    </row>
    <row r="287" spans="1:30" x14ac:dyDescent="0.3">
      <c r="A287" s="3">
        <v>276</v>
      </c>
      <c r="B287" s="3" t="s">
        <v>201</v>
      </c>
      <c r="C287" s="3" t="s">
        <v>202</v>
      </c>
      <c r="D287" s="3" t="s">
        <v>31</v>
      </c>
      <c r="E287" s="3" t="s">
        <v>171</v>
      </c>
      <c r="F287" s="12">
        <v>45291</v>
      </c>
      <c r="G287" s="3">
        <v>2023</v>
      </c>
      <c r="H287" s="3" t="s">
        <v>44</v>
      </c>
      <c r="I287" s="3" t="s">
        <v>49</v>
      </c>
      <c r="J287" s="3">
        <v>2</v>
      </c>
      <c r="K287" s="3">
        <v>85</v>
      </c>
      <c r="L287" s="3">
        <v>84.5</v>
      </c>
      <c r="M287" s="3">
        <f t="shared" si="46"/>
        <v>1.0059171597633136</v>
      </c>
      <c r="N287" s="3">
        <f t="shared" si="47"/>
        <v>1.0059171597633136</v>
      </c>
      <c r="O287" s="3" t="s">
        <v>35</v>
      </c>
      <c r="P287" s="3" t="s">
        <v>245</v>
      </c>
      <c r="Q287" s="3" t="str">
        <f t="shared" si="43"/>
        <v>276-2023-12-31</v>
      </c>
      <c r="R287" s="3">
        <v>0</v>
      </c>
      <c r="S287" s="3">
        <v>0</v>
      </c>
      <c r="T287" s="3" t="s">
        <v>31</v>
      </c>
      <c r="U287" s="3" t="s">
        <v>37</v>
      </c>
      <c r="V287" s="3" t="s">
        <v>202</v>
      </c>
      <c r="W287" s="3" t="s">
        <v>73</v>
      </c>
      <c r="X287" s="3" t="s">
        <v>74</v>
      </c>
      <c r="Y287" s="3" t="s">
        <v>585</v>
      </c>
      <c r="Z287" s="3" t="s">
        <v>86</v>
      </c>
      <c r="AA287" s="3" t="s">
        <v>204</v>
      </c>
      <c r="AB287" s="3" t="s">
        <v>65</v>
      </c>
      <c r="AC287" s="3" t="s">
        <v>31</v>
      </c>
      <c r="AD287" s="3">
        <v>0</v>
      </c>
    </row>
    <row r="288" spans="1:30" x14ac:dyDescent="0.3">
      <c r="A288" s="3">
        <v>276</v>
      </c>
      <c r="B288" s="3" t="s">
        <v>201</v>
      </c>
      <c r="C288" s="3" t="s">
        <v>202</v>
      </c>
      <c r="D288" s="3" t="s">
        <v>31</v>
      </c>
      <c r="E288" s="3" t="s">
        <v>171</v>
      </c>
      <c r="F288" s="12">
        <v>45291</v>
      </c>
      <c r="G288" s="3">
        <v>2023</v>
      </c>
      <c r="H288" s="3" t="s">
        <v>44</v>
      </c>
      <c r="I288" s="3" t="s">
        <v>49</v>
      </c>
      <c r="J288" s="3"/>
      <c r="K288" s="3">
        <v>85</v>
      </c>
      <c r="L288" s="3">
        <v>84.5</v>
      </c>
      <c r="M288" s="3">
        <f t="shared" si="46"/>
        <v>1.0059171597633136</v>
      </c>
      <c r="N288" s="3">
        <f t="shared" si="47"/>
        <v>1.0059171597633136</v>
      </c>
      <c r="O288" s="3" t="s">
        <v>35</v>
      </c>
      <c r="P288" s="3" t="s">
        <v>245</v>
      </c>
      <c r="Q288" s="3" t="str">
        <f t="shared" si="43"/>
        <v>276-2023-12-31</v>
      </c>
      <c r="R288" s="3">
        <v>0</v>
      </c>
      <c r="S288" s="3">
        <v>1</v>
      </c>
      <c r="T288" s="3" t="s">
        <v>443</v>
      </c>
      <c r="U288" s="3" t="s">
        <v>37</v>
      </c>
      <c r="V288" s="3" t="s">
        <v>202</v>
      </c>
      <c r="W288" s="3" t="s">
        <v>73</v>
      </c>
      <c r="X288" s="3" t="s">
        <v>74</v>
      </c>
      <c r="Y288" s="3" t="s">
        <v>585</v>
      </c>
      <c r="Z288" s="3" t="s">
        <v>86</v>
      </c>
      <c r="AA288" s="3" t="s">
        <v>204</v>
      </c>
      <c r="AB288" s="3" t="s">
        <v>65</v>
      </c>
      <c r="AC288" s="3" t="s">
        <v>31</v>
      </c>
      <c r="AD288" s="3">
        <v>0</v>
      </c>
    </row>
    <row r="289" spans="1:30" x14ac:dyDescent="0.3">
      <c r="A289" s="3">
        <v>276</v>
      </c>
      <c r="B289" s="3" t="s">
        <v>201</v>
      </c>
      <c r="C289" s="3" t="s">
        <v>202</v>
      </c>
      <c r="D289" s="3" t="s">
        <v>31</v>
      </c>
      <c r="E289" s="3" t="s">
        <v>171</v>
      </c>
      <c r="F289" s="12">
        <v>45473</v>
      </c>
      <c r="G289" s="3">
        <v>2024</v>
      </c>
      <c r="H289" s="3" t="s">
        <v>33</v>
      </c>
      <c r="I289" s="3" t="s">
        <v>51</v>
      </c>
      <c r="J289" s="3">
        <v>1</v>
      </c>
      <c r="K289" s="3">
        <v>75</v>
      </c>
      <c r="L289" s="3">
        <v>83.65</v>
      </c>
      <c r="M289" s="3">
        <f t="shared" si="46"/>
        <v>0.89659294680215174</v>
      </c>
      <c r="N289" s="3">
        <f t="shared" si="47"/>
        <v>0.89659294680215174</v>
      </c>
      <c r="O289" s="3" t="s">
        <v>35</v>
      </c>
      <c r="P289" s="3" t="s">
        <v>245</v>
      </c>
      <c r="Q289" s="3" t="str">
        <f t="shared" si="43"/>
        <v>276-2024-06-30</v>
      </c>
      <c r="R289" s="3">
        <v>1</v>
      </c>
      <c r="S289" s="3">
        <v>1</v>
      </c>
      <c r="T289" s="3" t="s">
        <v>31</v>
      </c>
      <c r="U289" s="3" t="s">
        <v>37</v>
      </c>
      <c r="V289" s="3" t="s">
        <v>202</v>
      </c>
      <c r="W289" s="3" t="s">
        <v>73</v>
      </c>
      <c r="X289" s="3" t="s">
        <v>74</v>
      </c>
      <c r="Y289" s="3" t="s">
        <v>585</v>
      </c>
      <c r="Z289" s="3" t="s">
        <v>86</v>
      </c>
      <c r="AA289" s="3" t="s">
        <v>204</v>
      </c>
      <c r="AB289" s="3" t="s">
        <v>65</v>
      </c>
      <c r="AC289" s="3" t="s">
        <v>31</v>
      </c>
      <c r="AD289" s="3">
        <v>0</v>
      </c>
    </row>
    <row r="290" spans="1:30" x14ac:dyDescent="0.3">
      <c r="A290" s="3">
        <v>276</v>
      </c>
      <c r="B290" s="3" t="s">
        <v>201</v>
      </c>
      <c r="C290" s="3" t="s">
        <v>202</v>
      </c>
      <c r="D290" s="3" t="s">
        <v>31</v>
      </c>
      <c r="E290" s="3" t="s">
        <v>171</v>
      </c>
      <c r="F290" s="12">
        <v>45657</v>
      </c>
      <c r="G290" s="3">
        <v>2024</v>
      </c>
      <c r="H290" s="3" t="s">
        <v>44</v>
      </c>
      <c r="I290" s="3" t="s">
        <v>53</v>
      </c>
      <c r="J290" s="3">
        <v>2</v>
      </c>
      <c r="K290" s="3">
        <v>75</v>
      </c>
      <c r="L290" s="3">
        <v>82.68</v>
      </c>
      <c r="M290" s="3">
        <f t="shared" si="46"/>
        <v>0.90711175616835982</v>
      </c>
      <c r="N290" s="3">
        <f t="shared" si="47"/>
        <v>0.90711175616835982</v>
      </c>
      <c r="O290" s="3" t="s">
        <v>35</v>
      </c>
      <c r="P290" s="3" t="s">
        <v>245</v>
      </c>
      <c r="Q290" s="3" t="str">
        <f t="shared" si="43"/>
        <v>276-2024-12-31</v>
      </c>
      <c r="R290" s="3">
        <v>0</v>
      </c>
      <c r="S290" s="3">
        <v>0</v>
      </c>
      <c r="T290" s="3" t="s">
        <v>31</v>
      </c>
      <c r="U290" s="3" t="s">
        <v>37</v>
      </c>
      <c r="V290" s="3" t="s">
        <v>202</v>
      </c>
      <c r="W290" s="3" t="s">
        <v>73</v>
      </c>
      <c r="X290" s="3" t="s">
        <v>74</v>
      </c>
      <c r="Y290" s="3" t="s">
        <v>585</v>
      </c>
      <c r="Z290" s="3" t="s">
        <v>86</v>
      </c>
      <c r="AA290" s="3" t="s">
        <v>204</v>
      </c>
      <c r="AB290" s="3" t="s">
        <v>65</v>
      </c>
      <c r="AC290" s="3" t="s">
        <v>31</v>
      </c>
      <c r="AD290" s="3">
        <v>0</v>
      </c>
    </row>
    <row r="291" spans="1:30" x14ac:dyDescent="0.3">
      <c r="A291" s="3">
        <v>276</v>
      </c>
      <c r="B291" s="3" t="s">
        <v>201</v>
      </c>
      <c r="C291" s="3" t="s">
        <v>202</v>
      </c>
      <c r="D291" s="3" t="s">
        <v>31</v>
      </c>
      <c r="E291" s="3" t="s">
        <v>171</v>
      </c>
      <c r="F291" s="12">
        <v>45657</v>
      </c>
      <c r="G291" s="3">
        <v>2024</v>
      </c>
      <c r="H291" s="3" t="s">
        <v>44</v>
      </c>
      <c r="I291" s="3" t="s">
        <v>53</v>
      </c>
      <c r="J291" s="3"/>
      <c r="K291" s="3">
        <v>75</v>
      </c>
      <c r="L291" s="3">
        <v>82.68</v>
      </c>
      <c r="M291" s="3">
        <f t="shared" si="46"/>
        <v>0.90711175616835982</v>
      </c>
      <c r="N291" s="3">
        <f t="shared" si="47"/>
        <v>0.90711175616835982</v>
      </c>
      <c r="O291" s="3" t="s">
        <v>35</v>
      </c>
      <c r="P291" s="3" t="s">
        <v>245</v>
      </c>
      <c r="Q291" s="3" t="str">
        <f t="shared" si="43"/>
        <v>276-2024-12-31</v>
      </c>
      <c r="R291" s="3">
        <v>0</v>
      </c>
      <c r="S291" s="3">
        <v>1</v>
      </c>
      <c r="T291" s="3" t="s">
        <v>443</v>
      </c>
      <c r="U291" s="3" t="s">
        <v>37</v>
      </c>
      <c r="V291" s="3" t="s">
        <v>202</v>
      </c>
      <c r="W291" s="3" t="s">
        <v>73</v>
      </c>
      <c r="X291" s="3" t="s">
        <v>74</v>
      </c>
      <c r="Y291" s="3" t="s">
        <v>585</v>
      </c>
      <c r="Z291" s="3" t="s">
        <v>86</v>
      </c>
      <c r="AA291" s="3" t="s">
        <v>204</v>
      </c>
      <c r="AB291" s="3" t="s">
        <v>65</v>
      </c>
      <c r="AC291" s="3" t="s">
        <v>31</v>
      </c>
      <c r="AD291" s="3">
        <v>0</v>
      </c>
    </row>
    <row r="292" spans="1:30" x14ac:dyDescent="0.3">
      <c r="A292" s="3">
        <v>276</v>
      </c>
      <c r="B292" s="3" t="s">
        <v>201</v>
      </c>
      <c r="C292" s="3" t="s">
        <v>202</v>
      </c>
      <c r="D292" s="3" t="s">
        <v>31</v>
      </c>
      <c r="E292" s="3" t="s">
        <v>171</v>
      </c>
      <c r="F292" s="12">
        <v>45838</v>
      </c>
      <c r="G292" s="3">
        <v>2025</v>
      </c>
      <c r="H292" s="3" t="s">
        <v>33</v>
      </c>
      <c r="I292" s="3" t="s">
        <v>404</v>
      </c>
      <c r="J292" s="3">
        <v>1</v>
      </c>
      <c r="K292" s="3">
        <v>81</v>
      </c>
      <c r="L292" s="3">
        <v>84.18</v>
      </c>
      <c r="M292" s="3">
        <f t="shared" si="46"/>
        <v>0.96222380612972191</v>
      </c>
      <c r="N292" s="3">
        <f t="shared" si="47"/>
        <v>0.96222380612972191</v>
      </c>
      <c r="O292" s="3" t="s">
        <v>35</v>
      </c>
      <c r="P292" s="3" t="s">
        <v>245</v>
      </c>
      <c r="Q292" s="3" t="str">
        <f t="shared" si="43"/>
        <v>276-2025-06-30</v>
      </c>
      <c r="R292" s="3">
        <v>0</v>
      </c>
      <c r="S292" s="3">
        <v>1</v>
      </c>
      <c r="T292" s="3" t="s">
        <v>31</v>
      </c>
      <c r="U292" s="3" t="s">
        <v>37</v>
      </c>
      <c r="V292" s="3" t="s">
        <v>202</v>
      </c>
      <c r="W292" s="3" t="s">
        <v>73</v>
      </c>
      <c r="X292" s="3" t="s">
        <v>74</v>
      </c>
      <c r="Y292" s="3" t="s">
        <v>585</v>
      </c>
      <c r="Z292" s="3" t="s">
        <v>86</v>
      </c>
      <c r="AA292" s="3" t="s">
        <v>204</v>
      </c>
      <c r="AB292" s="3" t="s">
        <v>65</v>
      </c>
      <c r="AC292" s="3" t="s">
        <v>31</v>
      </c>
      <c r="AD292" s="3">
        <v>0</v>
      </c>
    </row>
    <row r="293" spans="1:30" x14ac:dyDescent="0.3">
      <c r="A293" s="3">
        <v>276</v>
      </c>
      <c r="B293" s="3" t="s">
        <v>201</v>
      </c>
      <c r="C293" s="3" t="s">
        <v>202</v>
      </c>
      <c r="D293" s="3" t="s">
        <v>31</v>
      </c>
      <c r="E293" s="3" t="s">
        <v>171</v>
      </c>
      <c r="F293" s="12">
        <v>46022</v>
      </c>
      <c r="G293" s="3">
        <v>2025</v>
      </c>
      <c r="H293" s="3" t="s">
        <v>44</v>
      </c>
      <c r="I293" s="3" t="s">
        <v>465</v>
      </c>
      <c r="J293" s="3">
        <v>2</v>
      </c>
      <c r="K293" s="3">
        <v>81</v>
      </c>
      <c r="L293" s="3">
        <v>82.81</v>
      </c>
      <c r="M293" s="3">
        <f t="shared" si="46"/>
        <v>0.97814273638449456</v>
      </c>
      <c r="N293" s="3">
        <f t="shared" si="47"/>
        <v>0.97814273638449456</v>
      </c>
      <c r="O293" s="3" t="s">
        <v>35</v>
      </c>
      <c r="P293" s="3" t="s">
        <v>245</v>
      </c>
      <c r="Q293" s="3" t="str">
        <f t="shared" si="43"/>
        <v>276-2025-12-31</v>
      </c>
      <c r="R293" s="3">
        <v>0</v>
      </c>
      <c r="S293" s="3">
        <v>1</v>
      </c>
      <c r="T293" s="3" t="s">
        <v>31</v>
      </c>
      <c r="U293" s="3" t="s">
        <v>37</v>
      </c>
      <c r="V293" s="3" t="s">
        <v>202</v>
      </c>
      <c r="W293" s="3" t="s">
        <v>73</v>
      </c>
      <c r="X293" s="3" t="s">
        <v>74</v>
      </c>
      <c r="Y293" s="3" t="s">
        <v>585</v>
      </c>
      <c r="Z293" s="3" t="s">
        <v>86</v>
      </c>
      <c r="AA293" s="3" t="s">
        <v>204</v>
      </c>
      <c r="AB293" s="3" t="s">
        <v>65</v>
      </c>
      <c r="AC293" s="3" t="s">
        <v>31</v>
      </c>
      <c r="AD293" s="3">
        <v>0</v>
      </c>
    </row>
    <row r="294" spans="1:30" x14ac:dyDescent="0.3">
      <c r="A294" s="3">
        <v>277</v>
      </c>
      <c r="B294" s="3" t="s">
        <v>210</v>
      </c>
      <c r="C294" s="3" t="s">
        <v>202</v>
      </c>
      <c r="D294" s="3" t="s">
        <v>31</v>
      </c>
      <c r="E294" s="3" t="s">
        <v>171</v>
      </c>
      <c r="F294" s="12">
        <v>45107</v>
      </c>
      <c r="G294" s="3">
        <v>2023</v>
      </c>
      <c r="H294" s="3" t="s">
        <v>33</v>
      </c>
      <c r="I294" s="3" t="s">
        <v>47</v>
      </c>
      <c r="J294" s="3">
        <v>1</v>
      </c>
      <c r="K294" s="3">
        <v>85</v>
      </c>
      <c r="L294" s="3">
        <v>76.48</v>
      </c>
      <c r="M294" s="3">
        <f>+K294/L294</f>
        <v>1.1114016736401673</v>
      </c>
      <c r="N294" s="3">
        <f>+K294/L294</f>
        <v>1.1114016736401673</v>
      </c>
      <c r="O294" s="3" t="s">
        <v>35</v>
      </c>
      <c r="P294" s="3" t="s">
        <v>245</v>
      </c>
      <c r="Q294" s="3" t="str">
        <f t="shared" si="43"/>
        <v>277-2023-06-30</v>
      </c>
      <c r="R294" s="3">
        <v>1</v>
      </c>
      <c r="S294" s="3">
        <v>1</v>
      </c>
      <c r="T294" s="3" t="s">
        <v>31</v>
      </c>
      <c r="U294" s="3" t="s">
        <v>37</v>
      </c>
      <c r="V294" s="3" t="s">
        <v>202</v>
      </c>
      <c r="W294" s="3" t="s">
        <v>73</v>
      </c>
      <c r="X294" s="3" t="s">
        <v>74</v>
      </c>
      <c r="Y294" s="3" t="s">
        <v>585</v>
      </c>
      <c r="Z294" s="3" t="s">
        <v>86</v>
      </c>
      <c r="AA294" s="3" t="s">
        <v>204</v>
      </c>
      <c r="AB294" s="3" t="s">
        <v>65</v>
      </c>
      <c r="AC294" s="3" t="s">
        <v>31</v>
      </c>
      <c r="AD294" s="3">
        <v>0</v>
      </c>
    </row>
    <row r="295" spans="1:30" x14ac:dyDescent="0.3">
      <c r="A295" s="3">
        <v>277</v>
      </c>
      <c r="B295" s="3" t="s">
        <v>210</v>
      </c>
      <c r="C295" s="3" t="s">
        <v>202</v>
      </c>
      <c r="D295" s="3" t="s">
        <v>31</v>
      </c>
      <c r="E295" s="3" t="s">
        <v>171</v>
      </c>
      <c r="F295" s="12">
        <v>45291</v>
      </c>
      <c r="G295" s="3">
        <v>2023</v>
      </c>
      <c r="H295" s="3" t="s">
        <v>44</v>
      </c>
      <c r="I295" s="3" t="s">
        <v>49</v>
      </c>
      <c r="J295" s="3">
        <v>2</v>
      </c>
      <c r="K295" s="3">
        <v>85</v>
      </c>
      <c r="L295" s="3">
        <v>73.290000000000006</v>
      </c>
      <c r="M295" s="3">
        <f t="shared" ref="M295:M301" si="48">+K295/L295</f>
        <v>1.1597762314094691</v>
      </c>
      <c r="N295" s="3">
        <f t="shared" ref="N295:N301" si="49">+K295/L295</f>
        <v>1.1597762314094691</v>
      </c>
      <c r="O295" s="3" t="s">
        <v>35</v>
      </c>
      <c r="P295" s="3" t="s">
        <v>245</v>
      </c>
      <c r="Q295" s="3" t="str">
        <f t="shared" si="43"/>
        <v>277-2023-12-31</v>
      </c>
      <c r="R295" s="3">
        <v>1</v>
      </c>
      <c r="S295" s="3">
        <v>1</v>
      </c>
      <c r="T295" s="3" t="s">
        <v>31</v>
      </c>
      <c r="U295" s="3" t="s">
        <v>37</v>
      </c>
      <c r="V295" s="3" t="s">
        <v>202</v>
      </c>
      <c r="W295" s="3" t="s">
        <v>73</v>
      </c>
      <c r="X295" s="3" t="s">
        <v>74</v>
      </c>
      <c r="Y295" s="3" t="s">
        <v>585</v>
      </c>
      <c r="Z295" s="3" t="s">
        <v>86</v>
      </c>
      <c r="AA295" s="3" t="s">
        <v>204</v>
      </c>
      <c r="AB295" s="3" t="s">
        <v>65</v>
      </c>
      <c r="AC295" s="3" t="s">
        <v>31</v>
      </c>
      <c r="AD295" s="3">
        <v>0</v>
      </c>
    </row>
    <row r="296" spans="1:30" x14ac:dyDescent="0.3">
      <c r="A296" s="3">
        <v>277</v>
      </c>
      <c r="B296" s="3" t="s">
        <v>210</v>
      </c>
      <c r="C296" s="3" t="s">
        <v>202</v>
      </c>
      <c r="D296" s="3" t="s">
        <v>31</v>
      </c>
      <c r="E296" s="3" t="s">
        <v>171</v>
      </c>
      <c r="F296" s="12">
        <v>45291</v>
      </c>
      <c r="G296" s="3">
        <v>2023</v>
      </c>
      <c r="H296" s="3" t="s">
        <v>44</v>
      </c>
      <c r="I296" s="3" t="s">
        <v>49</v>
      </c>
      <c r="J296" s="3"/>
      <c r="K296" s="3">
        <v>85</v>
      </c>
      <c r="L296" s="3">
        <v>73.290000000000006</v>
      </c>
      <c r="M296" s="3">
        <f t="shared" si="48"/>
        <v>1.1597762314094691</v>
      </c>
      <c r="N296" s="3">
        <f t="shared" si="49"/>
        <v>1.1597762314094691</v>
      </c>
      <c r="O296" s="3" t="s">
        <v>35</v>
      </c>
      <c r="P296" s="3" t="s">
        <v>245</v>
      </c>
      <c r="Q296" s="3" t="str">
        <f t="shared" si="43"/>
        <v>277-2023-12-31</v>
      </c>
      <c r="R296" s="3">
        <v>1</v>
      </c>
      <c r="S296" s="3">
        <v>1</v>
      </c>
      <c r="T296" s="3" t="s">
        <v>443</v>
      </c>
      <c r="U296" s="3" t="s">
        <v>37</v>
      </c>
      <c r="V296" s="3" t="s">
        <v>202</v>
      </c>
      <c r="W296" s="3" t="s">
        <v>73</v>
      </c>
      <c r="X296" s="3" t="s">
        <v>74</v>
      </c>
      <c r="Y296" s="3" t="s">
        <v>585</v>
      </c>
      <c r="Z296" s="3" t="s">
        <v>86</v>
      </c>
      <c r="AA296" s="3" t="s">
        <v>204</v>
      </c>
      <c r="AB296" s="3" t="s">
        <v>65</v>
      </c>
      <c r="AC296" s="3" t="s">
        <v>31</v>
      </c>
      <c r="AD296" s="3">
        <v>0</v>
      </c>
    </row>
    <row r="297" spans="1:30" x14ac:dyDescent="0.3">
      <c r="A297" s="3">
        <v>277</v>
      </c>
      <c r="B297" s="3" t="s">
        <v>210</v>
      </c>
      <c r="C297" s="3" t="s">
        <v>202</v>
      </c>
      <c r="D297" s="3" t="s">
        <v>31</v>
      </c>
      <c r="E297" s="3" t="s">
        <v>171</v>
      </c>
      <c r="F297" s="12">
        <v>45473</v>
      </c>
      <c r="G297" s="3">
        <v>2024</v>
      </c>
      <c r="H297" s="3" t="s">
        <v>33</v>
      </c>
      <c r="I297" s="3" t="s">
        <v>51</v>
      </c>
      <c r="J297" s="3">
        <v>1</v>
      </c>
      <c r="K297" s="3">
        <v>73</v>
      </c>
      <c r="L297" s="3">
        <v>71.180000000000007</v>
      </c>
      <c r="M297" s="3">
        <f t="shared" si="48"/>
        <v>1.0255689800505758</v>
      </c>
      <c r="N297" s="3">
        <f t="shared" si="49"/>
        <v>1.0255689800505758</v>
      </c>
      <c r="O297" s="3" t="s">
        <v>35</v>
      </c>
      <c r="P297" s="3" t="s">
        <v>245</v>
      </c>
      <c r="Q297" s="3" t="str">
        <f t="shared" si="43"/>
        <v>277-2024-06-30</v>
      </c>
      <c r="R297" s="3">
        <v>1</v>
      </c>
      <c r="S297" s="3">
        <v>1</v>
      </c>
      <c r="T297" s="3" t="s">
        <v>31</v>
      </c>
      <c r="U297" s="3" t="s">
        <v>37</v>
      </c>
      <c r="V297" s="3" t="s">
        <v>202</v>
      </c>
      <c r="W297" s="3" t="s">
        <v>73</v>
      </c>
      <c r="X297" s="3" t="s">
        <v>74</v>
      </c>
      <c r="Y297" s="3" t="s">
        <v>585</v>
      </c>
      <c r="Z297" s="3" t="s">
        <v>86</v>
      </c>
      <c r="AA297" s="3" t="s">
        <v>204</v>
      </c>
      <c r="AB297" s="3" t="s">
        <v>65</v>
      </c>
      <c r="AC297" s="3" t="s">
        <v>31</v>
      </c>
      <c r="AD297" s="3">
        <v>0</v>
      </c>
    </row>
    <row r="298" spans="1:30" x14ac:dyDescent="0.3">
      <c r="A298" s="3">
        <v>277</v>
      </c>
      <c r="B298" s="3" t="s">
        <v>210</v>
      </c>
      <c r="C298" s="3" t="s">
        <v>202</v>
      </c>
      <c r="D298" s="3" t="s">
        <v>31</v>
      </c>
      <c r="E298" s="3" t="s">
        <v>171</v>
      </c>
      <c r="F298" s="12">
        <v>45657</v>
      </c>
      <c r="G298" s="3">
        <v>2024</v>
      </c>
      <c r="H298" s="3" t="s">
        <v>44</v>
      </c>
      <c r="I298" s="3" t="s">
        <v>53</v>
      </c>
      <c r="J298" s="3">
        <v>2</v>
      </c>
      <c r="K298" s="3">
        <v>73</v>
      </c>
      <c r="L298" s="3">
        <v>71.239999999999995</v>
      </c>
      <c r="M298" s="3">
        <f t="shared" si="48"/>
        <v>1.0247052217855139</v>
      </c>
      <c r="N298" s="3">
        <f t="shared" si="49"/>
        <v>1.0247052217855139</v>
      </c>
      <c r="O298" s="3" t="s">
        <v>35</v>
      </c>
      <c r="P298" s="3" t="s">
        <v>245</v>
      </c>
      <c r="Q298" s="3" t="str">
        <f t="shared" si="43"/>
        <v>277-2024-12-31</v>
      </c>
      <c r="R298" s="3">
        <v>0</v>
      </c>
      <c r="S298" s="3">
        <v>0</v>
      </c>
      <c r="T298" s="3" t="s">
        <v>31</v>
      </c>
      <c r="U298" s="3" t="s">
        <v>37</v>
      </c>
      <c r="V298" s="3" t="s">
        <v>202</v>
      </c>
      <c r="W298" s="3" t="s">
        <v>73</v>
      </c>
      <c r="X298" s="3" t="s">
        <v>74</v>
      </c>
      <c r="Y298" s="3" t="s">
        <v>585</v>
      </c>
      <c r="Z298" s="3" t="s">
        <v>86</v>
      </c>
      <c r="AA298" s="3" t="s">
        <v>204</v>
      </c>
      <c r="AB298" s="3" t="s">
        <v>65</v>
      </c>
      <c r="AC298" s="3" t="s">
        <v>31</v>
      </c>
      <c r="AD298" s="3">
        <v>0</v>
      </c>
    </row>
    <row r="299" spans="1:30" x14ac:dyDescent="0.3">
      <c r="A299" s="3">
        <v>277</v>
      </c>
      <c r="B299" s="3" t="s">
        <v>210</v>
      </c>
      <c r="C299" s="3" t="s">
        <v>202</v>
      </c>
      <c r="D299" s="3" t="s">
        <v>31</v>
      </c>
      <c r="E299" s="3" t="s">
        <v>171</v>
      </c>
      <c r="F299" s="12">
        <v>45657</v>
      </c>
      <c r="G299" s="3">
        <v>2024</v>
      </c>
      <c r="H299" s="3" t="s">
        <v>44</v>
      </c>
      <c r="I299" s="3" t="s">
        <v>53</v>
      </c>
      <c r="J299" s="3"/>
      <c r="K299" s="3">
        <v>73</v>
      </c>
      <c r="L299" s="3">
        <v>71.239999999999995</v>
      </c>
      <c r="M299" s="3">
        <f t="shared" si="48"/>
        <v>1.0247052217855139</v>
      </c>
      <c r="N299" s="3">
        <f t="shared" si="49"/>
        <v>1.0247052217855139</v>
      </c>
      <c r="O299" s="3" t="s">
        <v>35</v>
      </c>
      <c r="P299" s="3" t="s">
        <v>245</v>
      </c>
      <c r="Q299" s="3" t="str">
        <f t="shared" si="43"/>
        <v>277-2024-12-31</v>
      </c>
      <c r="R299" s="3">
        <v>1</v>
      </c>
      <c r="S299" s="3">
        <v>1</v>
      </c>
      <c r="T299" s="3" t="s">
        <v>443</v>
      </c>
      <c r="U299" s="3" t="s">
        <v>37</v>
      </c>
      <c r="V299" s="3" t="s">
        <v>202</v>
      </c>
      <c r="W299" s="3" t="s">
        <v>73</v>
      </c>
      <c r="X299" s="3" t="s">
        <v>74</v>
      </c>
      <c r="Y299" s="3" t="s">
        <v>585</v>
      </c>
      <c r="Z299" s="3" t="s">
        <v>86</v>
      </c>
      <c r="AA299" s="3" t="s">
        <v>204</v>
      </c>
      <c r="AB299" s="3" t="s">
        <v>65</v>
      </c>
      <c r="AC299" s="3" t="s">
        <v>31</v>
      </c>
      <c r="AD299" s="3">
        <v>0</v>
      </c>
    </row>
    <row r="300" spans="1:30" x14ac:dyDescent="0.3">
      <c r="A300" s="3">
        <v>277</v>
      </c>
      <c r="B300" s="3" t="s">
        <v>210</v>
      </c>
      <c r="C300" s="3" t="s">
        <v>202</v>
      </c>
      <c r="D300" s="3" t="s">
        <v>31</v>
      </c>
      <c r="E300" s="3" t="s">
        <v>171</v>
      </c>
      <c r="F300" s="12">
        <v>45838</v>
      </c>
      <c r="G300" s="3">
        <v>2025</v>
      </c>
      <c r="H300" s="3" t="s">
        <v>33</v>
      </c>
      <c r="I300" s="3" t="s">
        <v>404</v>
      </c>
      <c r="J300" s="3">
        <v>1</v>
      </c>
      <c r="K300" s="3">
        <v>71</v>
      </c>
      <c r="L300" s="3">
        <v>69.39</v>
      </c>
      <c r="M300" s="3">
        <f t="shared" si="48"/>
        <v>1.0232021905173656</v>
      </c>
      <c r="N300" s="3">
        <f t="shared" si="49"/>
        <v>1.0232021905173656</v>
      </c>
      <c r="O300" s="3" t="s">
        <v>35</v>
      </c>
      <c r="P300" s="3" t="s">
        <v>245</v>
      </c>
      <c r="Q300" s="3" t="str">
        <f t="shared" si="43"/>
        <v>277-2025-06-30</v>
      </c>
      <c r="R300" s="3">
        <v>1</v>
      </c>
      <c r="S300" s="3">
        <v>1</v>
      </c>
      <c r="T300" s="3" t="s">
        <v>31</v>
      </c>
      <c r="U300" s="3" t="s">
        <v>37</v>
      </c>
      <c r="V300" s="3" t="s">
        <v>202</v>
      </c>
      <c r="W300" s="3" t="s">
        <v>73</v>
      </c>
      <c r="X300" s="3" t="s">
        <v>74</v>
      </c>
      <c r="Y300" s="3" t="s">
        <v>585</v>
      </c>
      <c r="Z300" s="3" t="s">
        <v>86</v>
      </c>
      <c r="AA300" s="3" t="s">
        <v>204</v>
      </c>
      <c r="AB300" s="3" t="s">
        <v>65</v>
      </c>
      <c r="AC300" s="3" t="s">
        <v>31</v>
      </c>
      <c r="AD300" s="3">
        <v>0</v>
      </c>
    </row>
    <row r="301" spans="1:30" x14ac:dyDescent="0.3">
      <c r="A301" s="3">
        <v>277</v>
      </c>
      <c r="B301" s="3" t="s">
        <v>210</v>
      </c>
      <c r="C301" s="3" t="s">
        <v>202</v>
      </c>
      <c r="D301" s="3" t="s">
        <v>31</v>
      </c>
      <c r="E301" s="3" t="s">
        <v>171</v>
      </c>
      <c r="F301" s="12">
        <v>46022</v>
      </c>
      <c r="G301" s="3">
        <v>2025</v>
      </c>
      <c r="H301" s="3" t="s">
        <v>44</v>
      </c>
      <c r="I301" s="3" t="s">
        <v>465</v>
      </c>
      <c r="J301" s="3">
        <v>2</v>
      </c>
      <c r="K301" s="3">
        <v>71</v>
      </c>
      <c r="L301" s="3">
        <v>68.400000000000006</v>
      </c>
      <c r="M301" s="3">
        <f t="shared" si="48"/>
        <v>1.0380116959064327</v>
      </c>
      <c r="N301" s="3">
        <f t="shared" si="49"/>
        <v>1.0380116959064327</v>
      </c>
      <c r="O301" s="3" t="s">
        <v>35</v>
      </c>
      <c r="P301" s="3" t="s">
        <v>245</v>
      </c>
      <c r="Q301" s="3" t="str">
        <f t="shared" si="43"/>
        <v>277-2025-12-31</v>
      </c>
      <c r="R301" s="3">
        <v>1</v>
      </c>
      <c r="S301" s="3">
        <v>1</v>
      </c>
      <c r="T301" s="3" t="s">
        <v>31</v>
      </c>
      <c r="U301" s="3" t="s">
        <v>37</v>
      </c>
      <c r="V301" s="3" t="s">
        <v>202</v>
      </c>
      <c r="W301" s="3" t="s">
        <v>73</v>
      </c>
      <c r="X301" s="3" t="s">
        <v>74</v>
      </c>
      <c r="Y301" s="3" t="s">
        <v>585</v>
      </c>
      <c r="Z301" s="3" t="s">
        <v>86</v>
      </c>
      <c r="AA301" s="3" t="s">
        <v>204</v>
      </c>
      <c r="AB301" s="3" t="s">
        <v>65</v>
      </c>
      <c r="AC301" s="3" t="s">
        <v>31</v>
      </c>
      <c r="AD301" s="3">
        <v>0</v>
      </c>
    </row>
    <row r="302" spans="1:30" x14ac:dyDescent="0.3">
      <c r="A302" s="3">
        <v>323</v>
      </c>
      <c r="B302" s="3" t="s">
        <v>215</v>
      </c>
      <c r="C302" s="3" t="s">
        <v>216</v>
      </c>
      <c r="D302" s="3" t="s">
        <v>31</v>
      </c>
      <c r="E302" s="3" t="s">
        <v>32</v>
      </c>
      <c r="F302" s="12">
        <v>44926</v>
      </c>
      <c r="G302" s="3">
        <v>2022</v>
      </c>
      <c r="H302" s="3" t="s">
        <v>44</v>
      </c>
      <c r="I302" s="3" t="s">
        <v>45</v>
      </c>
      <c r="J302" s="3">
        <v>2</v>
      </c>
      <c r="K302" s="3">
        <v>3</v>
      </c>
      <c r="L302" s="3">
        <v>3</v>
      </c>
      <c r="M302" s="3">
        <v>1</v>
      </c>
      <c r="N302" s="3">
        <v>1</v>
      </c>
      <c r="O302" s="3"/>
      <c r="P302" s="3"/>
      <c r="Q302" s="3" t="str">
        <f t="shared" si="43"/>
        <v>323-2022-12-31</v>
      </c>
      <c r="R302" s="3">
        <v>0</v>
      </c>
      <c r="S302" s="3">
        <v>0</v>
      </c>
      <c r="T302" s="3" t="s">
        <v>31</v>
      </c>
      <c r="U302" s="3" t="s">
        <v>37</v>
      </c>
      <c r="V302" s="3" t="s">
        <v>216</v>
      </c>
      <c r="W302" s="3" t="s">
        <v>73</v>
      </c>
      <c r="X302" s="3" t="s">
        <v>218</v>
      </c>
      <c r="Y302" s="3" t="s">
        <v>219</v>
      </c>
      <c r="Z302" s="3" t="s">
        <v>86</v>
      </c>
      <c r="AA302" s="3" t="s">
        <v>87</v>
      </c>
      <c r="AB302" s="3" t="s">
        <v>78</v>
      </c>
      <c r="AC302" s="3" t="s">
        <v>66</v>
      </c>
      <c r="AD302" s="3">
        <v>0</v>
      </c>
    </row>
    <row r="303" spans="1:30" x14ac:dyDescent="0.3">
      <c r="A303" s="3">
        <v>323</v>
      </c>
      <c r="B303" s="3" t="s">
        <v>215</v>
      </c>
      <c r="C303" s="3" t="s">
        <v>216</v>
      </c>
      <c r="D303" s="3" t="s">
        <v>31</v>
      </c>
      <c r="E303" s="3" t="s">
        <v>32</v>
      </c>
      <c r="F303" s="12">
        <v>44926</v>
      </c>
      <c r="G303" s="3">
        <v>2022</v>
      </c>
      <c r="H303" s="3" t="s">
        <v>44</v>
      </c>
      <c r="I303" s="3" t="s">
        <v>45</v>
      </c>
      <c r="J303" s="3"/>
      <c r="K303" s="3">
        <v>3</v>
      </c>
      <c r="L303" s="3">
        <v>3</v>
      </c>
      <c r="M303" s="3">
        <v>1</v>
      </c>
      <c r="N303" s="3">
        <v>1</v>
      </c>
      <c r="O303" s="3" t="s">
        <v>35</v>
      </c>
      <c r="P303" s="3" t="s">
        <v>35</v>
      </c>
      <c r="Q303" s="3" t="str">
        <f t="shared" si="43"/>
        <v>323-2022-12-31</v>
      </c>
      <c r="R303" s="3">
        <v>0</v>
      </c>
      <c r="S303" s="3">
        <v>0</v>
      </c>
      <c r="T303" s="3" t="s">
        <v>443</v>
      </c>
      <c r="U303" s="3" t="s">
        <v>37</v>
      </c>
      <c r="V303" s="3" t="s">
        <v>216</v>
      </c>
      <c r="W303" s="3" t="s">
        <v>73</v>
      </c>
      <c r="X303" s="3" t="s">
        <v>218</v>
      </c>
      <c r="Y303" s="3" t="s">
        <v>219</v>
      </c>
      <c r="Z303" s="3" t="s">
        <v>86</v>
      </c>
      <c r="AA303" s="3" t="s">
        <v>87</v>
      </c>
      <c r="AB303" s="3" t="s">
        <v>78</v>
      </c>
      <c r="AC303" s="3" t="s">
        <v>66</v>
      </c>
      <c r="AD303" s="3">
        <v>0</v>
      </c>
    </row>
    <row r="304" spans="1:30" x14ac:dyDescent="0.3">
      <c r="A304" s="3">
        <v>323</v>
      </c>
      <c r="B304" s="3" t="s">
        <v>215</v>
      </c>
      <c r="C304" s="3" t="s">
        <v>216</v>
      </c>
      <c r="D304" s="3" t="s">
        <v>31</v>
      </c>
      <c r="E304" s="3" t="s">
        <v>32</v>
      </c>
      <c r="F304" s="12">
        <v>45107</v>
      </c>
      <c r="G304" s="3">
        <v>2023</v>
      </c>
      <c r="H304" s="3" t="s">
        <v>33</v>
      </c>
      <c r="I304" s="3" t="s">
        <v>47</v>
      </c>
      <c r="J304" s="3">
        <v>1</v>
      </c>
      <c r="K304" s="3">
        <v>2</v>
      </c>
      <c r="L304" s="3">
        <v>2</v>
      </c>
      <c r="M304" s="3">
        <v>1</v>
      </c>
      <c r="N304" s="3">
        <v>1</v>
      </c>
      <c r="O304" s="3"/>
      <c r="P304" s="3"/>
      <c r="Q304" s="3" t="str">
        <f t="shared" si="43"/>
        <v>323-2023-06-30</v>
      </c>
      <c r="R304" s="3">
        <v>0</v>
      </c>
      <c r="S304" s="3">
        <v>0</v>
      </c>
      <c r="T304" s="3" t="s">
        <v>31</v>
      </c>
      <c r="U304" s="3" t="s">
        <v>37</v>
      </c>
      <c r="V304" s="3" t="s">
        <v>216</v>
      </c>
      <c r="W304" s="3" t="s">
        <v>73</v>
      </c>
      <c r="X304" s="3" t="s">
        <v>218</v>
      </c>
      <c r="Y304" s="3" t="s">
        <v>219</v>
      </c>
      <c r="Z304" s="3" t="s">
        <v>86</v>
      </c>
      <c r="AA304" s="3" t="s">
        <v>87</v>
      </c>
      <c r="AB304" s="3" t="s">
        <v>78</v>
      </c>
      <c r="AC304" s="3" t="s">
        <v>66</v>
      </c>
      <c r="AD304" s="3">
        <v>0</v>
      </c>
    </row>
    <row r="305" spans="1:30" x14ac:dyDescent="0.3">
      <c r="A305" s="3">
        <v>323</v>
      </c>
      <c r="B305" s="3" t="s">
        <v>215</v>
      </c>
      <c r="C305" s="3" t="s">
        <v>216</v>
      </c>
      <c r="D305" s="3" t="s">
        <v>31</v>
      </c>
      <c r="E305" s="3" t="s">
        <v>32</v>
      </c>
      <c r="F305" s="12">
        <v>45291</v>
      </c>
      <c r="G305" s="3">
        <v>2023</v>
      </c>
      <c r="H305" s="3" t="s">
        <v>44</v>
      </c>
      <c r="I305" s="3" t="s">
        <v>49</v>
      </c>
      <c r="J305" s="3">
        <v>2</v>
      </c>
      <c r="K305" s="3">
        <v>6</v>
      </c>
      <c r="L305" s="3">
        <v>6</v>
      </c>
      <c r="M305" s="3">
        <v>1</v>
      </c>
      <c r="N305" s="3">
        <v>1</v>
      </c>
      <c r="O305" s="3"/>
      <c r="P305" s="3"/>
      <c r="Q305" s="3" t="str">
        <f t="shared" si="43"/>
        <v>323-2023-12-31</v>
      </c>
      <c r="R305" s="3">
        <v>0</v>
      </c>
      <c r="S305" s="3">
        <v>0</v>
      </c>
      <c r="T305" s="3" t="s">
        <v>31</v>
      </c>
      <c r="U305" s="3" t="s">
        <v>37</v>
      </c>
      <c r="V305" s="3" t="s">
        <v>216</v>
      </c>
      <c r="W305" s="3" t="s">
        <v>73</v>
      </c>
      <c r="X305" s="3" t="s">
        <v>218</v>
      </c>
      <c r="Y305" s="3" t="s">
        <v>219</v>
      </c>
      <c r="Z305" s="3" t="s">
        <v>86</v>
      </c>
      <c r="AA305" s="3" t="s">
        <v>87</v>
      </c>
      <c r="AB305" s="3" t="s">
        <v>78</v>
      </c>
      <c r="AC305" s="3" t="s">
        <v>66</v>
      </c>
      <c r="AD305" s="3">
        <v>0</v>
      </c>
    </row>
    <row r="306" spans="1:30" x14ac:dyDescent="0.3">
      <c r="A306" s="3">
        <v>323</v>
      </c>
      <c r="B306" s="3" t="s">
        <v>215</v>
      </c>
      <c r="C306" s="3" t="s">
        <v>216</v>
      </c>
      <c r="D306" s="3" t="s">
        <v>31</v>
      </c>
      <c r="E306" s="3" t="s">
        <v>32</v>
      </c>
      <c r="F306" s="12">
        <v>45291</v>
      </c>
      <c r="G306" s="3">
        <v>2023</v>
      </c>
      <c r="H306" s="3" t="s">
        <v>44</v>
      </c>
      <c r="I306" s="3" t="s">
        <v>49</v>
      </c>
      <c r="J306" s="3"/>
      <c r="K306" s="3">
        <v>8</v>
      </c>
      <c r="L306" s="3">
        <v>8</v>
      </c>
      <c r="M306" s="3">
        <v>1</v>
      </c>
      <c r="N306" s="3">
        <v>1</v>
      </c>
      <c r="O306" s="3" t="s">
        <v>35</v>
      </c>
      <c r="P306" s="3" t="s">
        <v>35</v>
      </c>
      <c r="Q306" s="3" t="str">
        <f t="shared" si="43"/>
        <v>323-2023-12-31</v>
      </c>
      <c r="R306" s="3">
        <v>0</v>
      </c>
      <c r="S306" s="3">
        <v>0</v>
      </c>
      <c r="T306" s="3" t="s">
        <v>443</v>
      </c>
      <c r="U306" s="3" t="s">
        <v>37</v>
      </c>
      <c r="V306" s="3" t="s">
        <v>216</v>
      </c>
      <c r="W306" s="3" t="s">
        <v>73</v>
      </c>
      <c r="X306" s="3" t="s">
        <v>218</v>
      </c>
      <c r="Y306" s="3" t="s">
        <v>219</v>
      </c>
      <c r="Z306" s="3" t="s">
        <v>86</v>
      </c>
      <c r="AA306" s="3" t="s">
        <v>87</v>
      </c>
      <c r="AB306" s="3" t="s">
        <v>78</v>
      </c>
      <c r="AC306" s="3" t="s">
        <v>66</v>
      </c>
      <c r="AD306" s="3">
        <v>0</v>
      </c>
    </row>
    <row r="307" spans="1:30" x14ac:dyDescent="0.3">
      <c r="A307" s="3">
        <v>323</v>
      </c>
      <c r="B307" s="3" t="s">
        <v>215</v>
      </c>
      <c r="C307" s="3" t="s">
        <v>216</v>
      </c>
      <c r="D307" s="3" t="s">
        <v>31</v>
      </c>
      <c r="E307" s="3" t="s">
        <v>32</v>
      </c>
      <c r="F307" s="12">
        <v>45473</v>
      </c>
      <c r="G307" s="3">
        <v>2024</v>
      </c>
      <c r="H307" s="3" t="s">
        <v>33</v>
      </c>
      <c r="I307" s="3" t="s">
        <v>51</v>
      </c>
      <c r="J307" s="3">
        <v>1</v>
      </c>
      <c r="K307" s="3">
        <v>3</v>
      </c>
      <c r="L307" s="3">
        <v>3</v>
      </c>
      <c r="M307" s="3">
        <v>1</v>
      </c>
      <c r="N307" s="3">
        <v>1</v>
      </c>
      <c r="O307" s="3"/>
      <c r="P307" s="3"/>
      <c r="Q307" s="3" t="str">
        <f t="shared" si="43"/>
        <v>323-2024-06-30</v>
      </c>
      <c r="R307" s="3">
        <v>0</v>
      </c>
      <c r="S307" s="3">
        <v>0</v>
      </c>
      <c r="T307" s="3" t="s">
        <v>31</v>
      </c>
      <c r="U307" s="3" t="s">
        <v>37</v>
      </c>
      <c r="V307" s="3" t="s">
        <v>216</v>
      </c>
      <c r="W307" s="3" t="s">
        <v>73</v>
      </c>
      <c r="X307" s="3" t="s">
        <v>218</v>
      </c>
      <c r="Y307" s="3" t="s">
        <v>219</v>
      </c>
      <c r="Z307" s="3" t="s">
        <v>86</v>
      </c>
      <c r="AA307" s="3" t="s">
        <v>87</v>
      </c>
      <c r="AB307" s="3" t="s">
        <v>78</v>
      </c>
      <c r="AC307" s="3" t="s">
        <v>66</v>
      </c>
      <c r="AD307" s="3">
        <v>0</v>
      </c>
    </row>
    <row r="308" spans="1:30" x14ac:dyDescent="0.3">
      <c r="A308" s="3">
        <v>323</v>
      </c>
      <c r="B308" s="3" t="s">
        <v>215</v>
      </c>
      <c r="C308" s="3" t="s">
        <v>216</v>
      </c>
      <c r="D308" s="3" t="s">
        <v>31</v>
      </c>
      <c r="E308" s="3" t="s">
        <v>32</v>
      </c>
      <c r="F308" s="12">
        <v>45657</v>
      </c>
      <c r="G308" s="3">
        <v>2024</v>
      </c>
      <c r="H308" s="3" t="s">
        <v>44</v>
      </c>
      <c r="I308" s="3" t="s">
        <v>53</v>
      </c>
      <c r="J308" s="3">
        <v>2</v>
      </c>
      <c r="K308" s="3">
        <v>0</v>
      </c>
      <c r="L308" s="3">
        <v>0</v>
      </c>
      <c r="M308" s="3"/>
      <c r="N308" s="3"/>
      <c r="O308" s="3"/>
      <c r="P308" s="3"/>
      <c r="Q308" s="3" t="str">
        <f t="shared" si="43"/>
        <v>323-2024-12-31</v>
      </c>
      <c r="R308" s="3">
        <v>0</v>
      </c>
      <c r="S308" s="3">
        <v>0</v>
      </c>
      <c r="T308" s="3" t="s">
        <v>31</v>
      </c>
      <c r="U308" s="3" t="s">
        <v>37</v>
      </c>
      <c r="V308" s="3" t="s">
        <v>216</v>
      </c>
      <c r="W308" s="3" t="s">
        <v>73</v>
      </c>
      <c r="X308" s="3" t="s">
        <v>218</v>
      </c>
      <c r="Y308" s="3" t="s">
        <v>219</v>
      </c>
      <c r="Z308" s="3" t="s">
        <v>86</v>
      </c>
      <c r="AA308" s="3" t="s">
        <v>87</v>
      </c>
      <c r="AB308" s="3" t="s">
        <v>78</v>
      </c>
      <c r="AC308" s="3" t="s">
        <v>66</v>
      </c>
      <c r="AD308" s="3">
        <v>0</v>
      </c>
    </row>
    <row r="309" spans="1:30" x14ac:dyDescent="0.3">
      <c r="A309" s="3">
        <v>323</v>
      </c>
      <c r="B309" s="3" t="s">
        <v>215</v>
      </c>
      <c r="C309" s="3" t="s">
        <v>216</v>
      </c>
      <c r="D309" s="3" t="s">
        <v>31</v>
      </c>
      <c r="E309" s="3" t="s">
        <v>32</v>
      </c>
      <c r="F309" s="12">
        <v>45657</v>
      </c>
      <c r="G309" s="3">
        <v>2024</v>
      </c>
      <c r="H309" s="3" t="s">
        <v>44</v>
      </c>
      <c r="I309" s="3" t="s">
        <v>53</v>
      </c>
      <c r="J309" s="3"/>
      <c r="K309" s="3">
        <v>3</v>
      </c>
      <c r="L309" s="3">
        <v>3</v>
      </c>
      <c r="M309" s="3">
        <v>1</v>
      </c>
      <c r="N309" s="3">
        <v>1</v>
      </c>
      <c r="O309" s="3" t="s">
        <v>35</v>
      </c>
      <c r="P309" s="3" t="s">
        <v>35</v>
      </c>
      <c r="Q309" s="3" t="str">
        <f t="shared" si="43"/>
        <v>323-2024-12-31</v>
      </c>
      <c r="R309" s="3">
        <v>0</v>
      </c>
      <c r="S309" s="3">
        <v>0</v>
      </c>
      <c r="T309" s="3" t="s">
        <v>443</v>
      </c>
      <c r="U309" s="3" t="s">
        <v>37</v>
      </c>
      <c r="V309" s="3" t="s">
        <v>216</v>
      </c>
      <c r="W309" s="3" t="s">
        <v>73</v>
      </c>
      <c r="X309" s="3" t="s">
        <v>218</v>
      </c>
      <c r="Y309" s="3" t="s">
        <v>219</v>
      </c>
      <c r="Z309" s="3" t="s">
        <v>86</v>
      </c>
      <c r="AA309" s="3" t="s">
        <v>87</v>
      </c>
      <c r="AB309" s="3" t="s">
        <v>78</v>
      </c>
      <c r="AC309" s="3" t="s">
        <v>66</v>
      </c>
      <c r="AD309" s="3">
        <v>0</v>
      </c>
    </row>
    <row r="310" spans="1:30" x14ac:dyDescent="0.3">
      <c r="A310" s="3">
        <v>323</v>
      </c>
      <c r="B310" s="3" t="s">
        <v>215</v>
      </c>
      <c r="C310" s="3" t="s">
        <v>216</v>
      </c>
      <c r="D310" s="3" t="s">
        <v>31</v>
      </c>
      <c r="E310" s="3" t="s">
        <v>32</v>
      </c>
      <c r="F310" s="12">
        <v>45838</v>
      </c>
      <c r="G310" s="3">
        <v>2025</v>
      </c>
      <c r="H310" s="3" t="s">
        <v>33</v>
      </c>
      <c r="I310" s="3" t="s">
        <v>404</v>
      </c>
      <c r="J310" s="3">
        <v>1</v>
      </c>
      <c r="K310" s="3">
        <v>1</v>
      </c>
      <c r="L310" s="3">
        <v>1</v>
      </c>
      <c r="M310" s="3">
        <v>1</v>
      </c>
      <c r="N310" s="3">
        <v>1</v>
      </c>
      <c r="O310" s="3" t="s">
        <v>35</v>
      </c>
      <c r="P310" s="3" t="s">
        <v>35</v>
      </c>
      <c r="Q310" s="3" t="str">
        <f t="shared" si="43"/>
        <v>323-2025-06-30</v>
      </c>
      <c r="R310" s="3">
        <v>0</v>
      </c>
      <c r="S310" s="3">
        <v>0</v>
      </c>
      <c r="T310" s="3" t="s">
        <v>31</v>
      </c>
      <c r="U310" s="3" t="s">
        <v>37</v>
      </c>
      <c r="V310" s="3" t="s">
        <v>216</v>
      </c>
      <c r="W310" s="3" t="s">
        <v>73</v>
      </c>
      <c r="X310" s="3" t="s">
        <v>218</v>
      </c>
      <c r="Y310" s="3" t="s">
        <v>219</v>
      </c>
      <c r="Z310" s="3" t="s">
        <v>86</v>
      </c>
      <c r="AA310" s="3" t="s">
        <v>87</v>
      </c>
      <c r="AB310" s="3" t="s">
        <v>78</v>
      </c>
      <c r="AC310" s="3" t="s">
        <v>66</v>
      </c>
      <c r="AD310" s="3">
        <v>0</v>
      </c>
    </row>
    <row r="311" spans="1:30" x14ac:dyDescent="0.3">
      <c r="A311" s="3">
        <v>323</v>
      </c>
      <c r="B311" s="3" t="s">
        <v>215</v>
      </c>
      <c r="C311" s="3" t="s">
        <v>216</v>
      </c>
      <c r="D311" s="3" t="s">
        <v>31</v>
      </c>
      <c r="E311" s="3" t="s">
        <v>32</v>
      </c>
      <c r="F311" s="12">
        <v>45838</v>
      </c>
      <c r="G311" s="3">
        <v>2025</v>
      </c>
      <c r="H311" s="3" t="s">
        <v>33</v>
      </c>
      <c r="I311" s="3" t="s">
        <v>404</v>
      </c>
      <c r="J311" s="3"/>
      <c r="K311" s="3">
        <v>1</v>
      </c>
      <c r="L311" s="3">
        <v>1</v>
      </c>
      <c r="M311" s="3">
        <v>1</v>
      </c>
      <c r="N311" s="3">
        <v>1</v>
      </c>
      <c r="O311" s="3" t="s">
        <v>35</v>
      </c>
      <c r="P311" s="3" t="s">
        <v>35</v>
      </c>
      <c r="Q311" s="3" t="str">
        <f t="shared" si="43"/>
        <v>323-2025-06-30</v>
      </c>
      <c r="R311" s="3">
        <v>0</v>
      </c>
      <c r="S311" s="3">
        <v>0</v>
      </c>
      <c r="T311" s="3" t="s">
        <v>443</v>
      </c>
      <c r="U311" s="3" t="s">
        <v>37</v>
      </c>
      <c r="V311" s="3" t="s">
        <v>216</v>
      </c>
      <c r="W311" s="3" t="s">
        <v>73</v>
      </c>
      <c r="X311" s="3" t="s">
        <v>218</v>
      </c>
      <c r="Y311" s="3" t="s">
        <v>219</v>
      </c>
      <c r="Z311" s="3" t="s">
        <v>86</v>
      </c>
      <c r="AA311" s="3" t="s">
        <v>87</v>
      </c>
      <c r="AB311" s="3" t="s">
        <v>78</v>
      </c>
      <c r="AC311" s="3" t="s">
        <v>66</v>
      </c>
      <c r="AD311" s="3">
        <v>0</v>
      </c>
    </row>
    <row r="312" spans="1:30" x14ac:dyDescent="0.3">
      <c r="A312" s="3">
        <v>325</v>
      </c>
      <c r="B312" s="3" t="s">
        <v>224</v>
      </c>
      <c r="C312" s="3" t="s">
        <v>216</v>
      </c>
      <c r="D312" s="3" t="s">
        <v>31</v>
      </c>
      <c r="E312" s="3" t="s">
        <v>32</v>
      </c>
      <c r="F312" s="12">
        <v>44742</v>
      </c>
      <c r="G312" s="3">
        <v>2022</v>
      </c>
      <c r="H312" s="3" t="s">
        <v>33</v>
      </c>
      <c r="I312" s="3" t="s">
        <v>34</v>
      </c>
      <c r="J312" s="3">
        <v>1</v>
      </c>
      <c r="K312" s="3">
        <v>3</v>
      </c>
      <c r="L312" s="3">
        <v>3</v>
      </c>
      <c r="M312" s="3">
        <v>1</v>
      </c>
      <c r="N312" s="3">
        <v>1</v>
      </c>
      <c r="O312" s="3" t="s">
        <v>35</v>
      </c>
      <c r="P312" s="3" t="s">
        <v>35</v>
      </c>
      <c r="Q312" s="3" t="str">
        <f t="shared" si="43"/>
        <v>325-2022-06-30</v>
      </c>
      <c r="R312" s="3">
        <v>0</v>
      </c>
      <c r="S312" s="3">
        <v>0</v>
      </c>
      <c r="T312" s="3" t="s">
        <v>31</v>
      </c>
      <c r="U312" s="3" t="s">
        <v>37</v>
      </c>
      <c r="V312" s="3" t="s">
        <v>216</v>
      </c>
      <c r="W312" s="3" t="s">
        <v>73</v>
      </c>
      <c r="X312" s="3" t="s">
        <v>218</v>
      </c>
      <c r="Y312" s="3" t="s">
        <v>219</v>
      </c>
      <c r="Z312" s="3" t="s">
        <v>86</v>
      </c>
      <c r="AA312" s="3" t="s">
        <v>87</v>
      </c>
      <c r="AB312" s="3" t="s">
        <v>78</v>
      </c>
      <c r="AC312" s="3" t="s">
        <v>66</v>
      </c>
      <c r="AD312" s="3">
        <v>0</v>
      </c>
    </row>
    <row r="313" spans="1:30" x14ac:dyDescent="0.3">
      <c r="A313" s="3">
        <v>325</v>
      </c>
      <c r="B313" s="3" t="s">
        <v>224</v>
      </c>
      <c r="C313" s="3" t="s">
        <v>216</v>
      </c>
      <c r="D313" s="3" t="s">
        <v>31</v>
      </c>
      <c r="E313" s="3" t="s">
        <v>32</v>
      </c>
      <c r="F313" s="12">
        <v>44926</v>
      </c>
      <c r="G313" s="3">
        <v>2022</v>
      </c>
      <c r="H313" s="3" t="s">
        <v>44</v>
      </c>
      <c r="I313" s="3" t="s">
        <v>45</v>
      </c>
      <c r="J313" s="3">
        <v>2</v>
      </c>
      <c r="K313" s="3">
        <v>3</v>
      </c>
      <c r="L313" s="3">
        <v>3</v>
      </c>
      <c r="M313" s="3">
        <v>1</v>
      </c>
      <c r="N313" s="3">
        <v>1</v>
      </c>
      <c r="O313" s="3" t="s">
        <v>35</v>
      </c>
      <c r="P313" s="3" t="s">
        <v>35</v>
      </c>
      <c r="Q313" s="3" t="str">
        <f t="shared" si="43"/>
        <v>325-2022-12-31</v>
      </c>
      <c r="R313" s="3">
        <v>0</v>
      </c>
      <c r="S313" s="3">
        <v>0</v>
      </c>
      <c r="T313" s="3" t="s">
        <v>31</v>
      </c>
      <c r="U313" s="3" t="s">
        <v>37</v>
      </c>
      <c r="V313" s="3" t="s">
        <v>216</v>
      </c>
      <c r="W313" s="3" t="s">
        <v>73</v>
      </c>
      <c r="X313" s="3" t="s">
        <v>218</v>
      </c>
      <c r="Y313" s="3" t="s">
        <v>219</v>
      </c>
      <c r="Z313" s="3" t="s">
        <v>86</v>
      </c>
      <c r="AA313" s="3" t="s">
        <v>87</v>
      </c>
      <c r="AB313" s="3" t="s">
        <v>78</v>
      </c>
      <c r="AC313" s="3" t="s">
        <v>66</v>
      </c>
      <c r="AD313" s="3">
        <v>0</v>
      </c>
    </row>
    <row r="314" spans="1:30" x14ac:dyDescent="0.3">
      <c r="A314" s="3">
        <v>325</v>
      </c>
      <c r="B314" s="3" t="s">
        <v>224</v>
      </c>
      <c r="C314" s="3" t="s">
        <v>216</v>
      </c>
      <c r="D314" s="3" t="s">
        <v>31</v>
      </c>
      <c r="E314" s="3" t="s">
        <v>32</v>
      </c>
      <c r="F314" s="12">
        <v>44926</v>
      </c>
      <c r="G314" s="3">
        <v>2022</v>
      </c>
      <c r="H314" s="3" t="s">
        <v>44</v>
      </c>
      <c r="I314" s="3" t="s">
        <v>45</v>
      </c>
      <c r="J314" s="3"/>
      <c r="K314" s="3">
        <v>6</v>
      </c>
      <c r="L314" s="3">
        <v>6</v>
      </c>
      <c r="M314" s="3">
        <v>1</v>
      </c>
      <c r="N314" s="3">
        <v>1</v>
      </c>
      <c r="O314" s="3" t="s">
        <v>35</v>
      </c>
      <c r="P314" s="3" t="s">
        <v>35</v>
      </c>
      <c r="Q314" s="3" t="str">
        <f t="shared" si="43"/>
        <v>325-2022-12-31</v>
      </c>
      <c r="R314" s="3">
        <v>0</v>
      </c>
      <c r="S314" s="3">
        <v>0</v>
      </c>
      <c r="T314" s="3" t="s">
        <v>443</v>
      </c>
      <c r="U314" s="3" t="s">
        <v>37</v>
      </c>
      <c r="V314" s="3" t="s">
        <v>216</v>
      </c>
      <c r="W314" s="3" t="s">
        <v>73</v>
      </c>
      <c r="X314" s="3" t="s">
        <v>218</v>
      </c>
      <c r="Y314" s="3" t="s">
        <v>219</v>
      </c>
      <c r="Z314" s="3" t="s">
        <v>86</v>
      </c>
      <c r="AA314" s="3" t="s">
        <v>87</v>
      </c>
      <c r="AB314" s="3" t="s">
        <v>78</v>
      </c>
      <c r="AC314" s="3" t="s">
        <v>66</v>
      </c>
      <c r="AD314" s="3">
        <v>0</v>
      </c>
    </row>
    <row r="315" spans="1:30" x14ac:dyDescent="0.3">
      <c r="A315" s="3">
        <v>325</v>
      </c>
      <c r="B315" s="3" t="s">
        <v>224</v>
      </c>
      <c r="C315" s="3" t="s">
        <v>216</v>
      </c>
      <c r="D315" s="3" t="s">
        <v>31</v>
      </c>
      <c r="E315" s="3" t="s">
        <v>32</v>
      </c>
      <c r="F315" s="12">
        <v>45107</v>
      </c>
      <c r="G315" s="3">
        <v>2023</v>
      </c>
      <c r="H315" s="3" t="s">
        <v>33</v>
      </c>
      <c r="I315" s="3" t="s">
        <v>47</v>
      </c>
      <c r="J315" s="3">
        <v>1</v>
      </c>
      <c r="K315" s="3">
        <v>1</v>
      </c>
      <c r="L315" s="3">
        <v>1</v>
      </c>
      <c r="M315" s="3">
        <v>1</v>
      </c>
      <c r="N315" s="3">
        <v>1</v>
      </c>
      <c r="O315" s="3" t="s">
        <v>35</v>
      </c>
      <c r="P315" s="3" t="s">
        <v>35</v>
      </c>
      <c r="Q315" s="3" t="str">
        <f t="shared" si="43"/>
        <v>325-2023-06-30</v>
      </c>
      <c r="R315" s="3">
        <v>0</v>
      </c>
      <c r="S315" s="3">
        <v>0</v>
      </c>
      <c r="T315" s="3" t="s">
        <v>31</v>
      </c>
      <c r="U315" s="3" t="s">
        <v>37</v>
      </c>
      <c r="V315" s="3" t="s">
        <v>216</v>
      </c>
      <c r="W315" s="3" t="s">
        <v>73</v>
      </c>
      <c r="X315" s="3" t="s">
        <v>218</v>
      </c>
      <c r="Y315" s="3" t="s">
        <v>219</v>
      </c>
      <c r="Z315" s="3" t="s">
        <v>86</v>
      </c>
      <c r="AA315" s="3" t="s">
        <v>87</v>
      </c>
      <c r="AB315" s="3" t="s">
        <v>78</v>
      </c>
      <c r="AC315" s="3" t="s">
        <v>66</v>
      </c>
      <c r="AD315" s="3">
        <v>0</v>
      </c>
    </row>
    <row r="316" spans="1:30" x14ac:dyDescent="0.3">
      <c r="A316" s="3">
        <v>325</v>
      </c>
      <c r="B316" s="3" t="s">
        <v>224</v>
      </c>
      <c r="C316" s="3" t="s">
        <v>216</v>
      </c>
      <c r="D316" s="3" t="s">
        <v>31</v>
      </c>
      <c r="E316" s="3" t="s">
        <v>32</v>
      </c>
      <c r="F316" s="12">
        <v>45291</v>
      </c>
      <c r="G316" s="3">
        <v>2023</v>
      </c>
      <c r="H316" s="3" t="s">
        <v>44</v>
      </c>
      <c r="I316" s="3" t="s">
        <v>49</v>
      </c>
      <c r="J316" s="3">
        <v>2</v>
      </c>
      <c r="K316" s="3">
        <v>0</v>
      </c>
      <c r="L316" s="3">
        <v>0</v>
      </c>
      <c r="M316" s="3"/>
      <c r="N316" s="3"/>
      <c r="O316" s="3"/>
      <c r="P316" s="3"/>
      <c r="Q316" s="3" t="str">
        <f t="shared" si="43"/>
        <v>325-2023-12-31</v>
      </c>
      <c r="R316" s="3">
        <v>0</v>
      </c>
      <c r="S316" s="3">
        <v>0</v>
      </c>
      <c r="T316" s="3" t="s">
        <v>31</v>
      </c>
      <c r="U316" s="3" t="s">
        <v>37</v>
      </c>
      <c r="V316" s="3" t="s">
        <v>216</v>
      </c>
      <c r="W316" s="3" t="s">
        <v>73</v>
      </c>
      <c r="X316" s="3" t="s">
        <v>218</v>
      </c>
      <c r="Y316" s="3" t="s">
        <v>219</v>
      </c>
      <c r="Z316" s="3" t="s">
        <v>86</v>
      </c>
      <c r="AA316" s="3" t="s">
        <v>87</v>
      </c>
      <c r="AB316" s="3" t="s">
        <v>78</v>
      </c>
      <c r="AC316" s="3" t="s">
        <v>66</v>
      </c>
      <c r="AD316" s="3">
        <v>0</v>
      </c>
    </row>
    <row r="317" spans="1:30" x14ac:dyDescent="0.3">
      <c r="A317" s="3">
        <v>325</v>
      </c>
      <c r="B317" s="3" t="s">
        <v>224</v>
      </c>
      <c r="C317" s="3" t="s">
        <v>216</v>
      </c>
      <c r="D317" s="3" t="s">
        <v>31</v>
      </c>
      <c r="E317" s="3" t="s">
        <v>32</v>
      </c>
      <c r="F317" s="12">
        <v>45291</v>
      </c>
      <c r="G317" s="3">
        <v>2023</v>
      </c>
      <c r="H317" s="3" t="s">
        <v>44</v>
      </c>
      <c r="I317" s="3" t="s">
        <v>49</v>
      </c>
      <c r="J317" s="3"/>
      <c r="K317" s="3">
        <v>1</v>
      </c>
      <c r="L317" s="3">
        <v>1</v>
      </c>
      <c r="M317" s="3">
        <v>1</v>
      </c>
      <c r="N317" s="3">
        <v>1</v>
      </c>
      <c r="O317" s="3" t="s">
        <v>35</v>
      </c>
      <c r="P317" s="3" t="s">
        <v>35</v>
      </c>
      <c r="Q317" s="3" t="str">
        <f t="shared" si="43"/>
        <v>325-2023-12-31</v>
      </c>
      <c r="R317" s="3">
        <v>0</v>
      </c>
      <c r="S317" s="3">
        <v>0</v>
      </c>
      <c r="T317" s="3" t="s">
        <v>443</v>
      </c>
      <c r="U317" s="3" t="s">
        <v>37</v>
      </c>
      <c r="V317" s="3" t="s">
        <v>216</v>
      </c>
      <c r="W317" s="3" t="s">
        <v>73</v>
      </c>
      <c r="X317" s="3" t="s">
        <v>218</v>
      </c>
      <c r="Y317" s="3" t="s">
        <v>219</v>
      </c>
      <c r="Z317" s="3" t="s">
        <v>86</v>
      </c>
      <c r="AA317" s="3" t="s">
        <v>87</v>
      </c>
      <c r="AB317" s="3" t="s">
        <v>78</v>
      </c>
      <c r="AC317" s="3" t="s">
        <v>66</v>
      </c>
      <c r="AD317" s="3">
        <v>0</v>
      </c>
    </row>
    <row r="318" spans="1:30" x14ac:dyDescent="0.3">
      <c r="A318" s="3">
        <v>325</v>
      </c>
      <c r="B318" s="3" t="s">
        <v>224</v>
      </c>
      <c r="C318" s="3" t="s">
        <v>216</v>
      </c>
      <c r="D318" s="3" t="s">
        <v>31</v>
      </c>
      <c r="E318" s="3" t="s">
        <v>32</v>
      </c>
      <c r="F318" s="12">
        <v>45473</v>
      </c>
      <c r="G318" s="3">
        <v>2024</v>
      </c>
      <c r="H318" s="3" t="s">
        <v>33</v>
      </c>
      <c r="I318" s="3" t="s">
        <v>51</v>
      </c>
      <c r="J318" s="3">
        <v>1</v>
      </c>
      <c r="K318" s="3">
        <v>5</v>
      </c>
      <c r="L318" s="3">
        <v>5</v>
      </c>
      <c r="M318" s="3">
        <v>1</v>
      </c>
      <c r="N318" s="3">
        <v>1</v>
      </c>
      <c r="O318" s="3" t="s">
        <v>35</v>
      </c>
      <c r="P318" s="3" t="s">
        <v>35</v>
      </c>
      <c r="Q318" s="3" t="str">
        <f t="shared" si="43"/>
        <v>325-2024-06-30</v>
      </c>
      <c r="R318" s="3">
        <v>0</v>
      </c>
      <c r="S318" s="3">
        <v>0</v>
      </c>
      <c r="T318" s="3" t="s">
        <v>31</v>
      </c>
      <c r="U318" s="3" t="s">
        <v>37</v>
      </c>
      <c r="V318" s="3" t="s">
        <v>216</v>
      </c>
      <c r="W318" s="3" t="s">
        <v>73</v>
      </c>
      <c r="X318" s="3" t="s">
        <v>218</v>
      </c>
      <c r="Y318" s="3" t="s">
        <v>219</v>
      </c>
      <c r="Z318" s="3" t="s">
        <v>86</v>
      </c>
      <c r="AA318" s="3" t="s">
        <v>87</v>
      </c>
      <c r="AB318" s="3" t="s">
        <v>78</v>
      </c>
      <c r="AC318" s="3" t="s">
        <v>66</v>
      </c>
      <c r="AD318" s="3">
        <v>0</v>
      </c>
    </row>
    <row r="319" spans="1:30" x14ac:dyDescent="0.3">
      <c r="A319" s="3">
        <v>325</v>
      </c>
      <c r="B319" s="3" t="s">
        <v>224</v>
      </c>
      <c r="C319" s="3" t="s">
        <v>216</v>
      </c>
      <c r="D319" s="3" t="s">
        <v>31</v>
      </c>
      <c r="E319" s="3" t="s">
        <v>32</v>
      </c>
      <c r="F319" s="12">
        <v>45657</v>
      </c>
      <c r="G319" s="3">
        <v>2024</v>
      </c>
      <c r="H319" s="3" t="s">
        <v>44</v>
      </c>
      <c r="I319" s="3" t="s">
        <v>53</v>
      </c>
      <c r="J319" s="3">
        <v>2</v>
      </c>
      <c r="K319" s="3">
        <v>3</v>
      </c>
      <c r="L319" s="3">
        <v>3</v>
      </c>
      <c r="M319" s="3">
        <v>1</v>
      </c>
      <c r="N319" s="3">
        <v>1</v>
      </c>
      <c r="O319" s="3" t="s">
        <v>35</v>
      </c>
      <c r="P319" s="3" t="s">
        <v>35</v>
      </c>
      <c r="Q319" s="3" t="str">
        <f t="shared" si="43"/>
        <v>325-2024-12-31</v>
      </c>
      <c r="R319" s="3">
        <v>0</v>
      </c>
      <c r="S319" s="3">
        <v>0</v>
      </c>
      <c r="T319" s="3" t="s">
        <v>31</v>
      </c>
      <c r="U319" s="3" t="s">
        <v>37</v>
      </c>
      <c r="V319" s="3" t="s">
        <v>216</v>
      </c>
      <c r="W319" s="3" t="s">
        <v>73</v>
      </c>
      <c r="X319" s="3" t="s">
        <v>218</v>
      </c>
      <c r="Y319" s="3" t="s">
        <v>219</v>
      </c>
      <c r="Z319" s="3" t="s">
        <v>86</v>
      </c>
      <c r="AA319" s="3" t="s">
        <v>87</v>
      </c>
      <c r="AB319" s="3" t="s">
        <v>78</v>
      </c>
      <c r="AC319" s="3" t="s">
        <v>66</v>
      </c>
      <c r="AD319" s="3">
        <v>0</v>
      </c>
    </row>
    <row r="320" spans="1:30" x14ac:dyDescent="0.3">
      <c r="A320" s="3">
        <v>325</v>
      </c>
      <c r="B320" s="3" t="s">
        <v>224</v>
      </c>
      <c r="C320" s="3" t="s">
        <v>216</v>
      </c>
      <c r="D320" s="3" t="s">
        <v>31</v>
      </c>
      <c r="E320" s="3" t="s">
        <v>32</v>
      </c>
      <c r="F320" s="12">
        <v>45657</v>
      </c>
      <c r="G320" s="3">
        <v>2024</v>
      </c>
      <c r="H320" s="3" t="s">
        <v>44</v>
      </c>
      <c r="I320" s="3" t="s">
        <v>53</v>
      </c>
      <c r="J320" s="3"/>
      <c r="K320" s="3">
        <v>8</v>
      </c>
      <c r="L320" s="3">
        <v>8</v>
      </c>
      <c r="M320" s="3">
        <v>1</v>
      </c>
      <c r="N320" s="3">
        <v>1</v>
      </c>
      <c r="O320" s="3" t="s">
        <v>35</v>
      </c>
      <c r="P320" s="3" t="s">
        <v>35</v>
      </c>
      <c r="Q320" s="3" t="str">
        <f t="shared" si="43"/>
        <v>325-2024-12-31</v>
      </c>
      <c r="R320" s="3">
        <v>0</v>
      </c>
      <c r="S320" s="3">
        <v>0</v>
      </c>
      <c r="T320" s="3" t="s">
        <v>443</v>
      </c>
      <c r="U320" s="3" t="s">
        <v>37</v>
      </c>
      <c r="V320" s="3" t="s">
        <v>216</v>
      </c>
      <c r="W320" s="3" t="s">
        <v>73</v>
      </c>
      <c r="X320" s="3" t="s">
        <v>218</v>
      </c>
      <c r="Y320" s="3" t="s">
        <v>219</v>
      </c>
      <c r="Z320" s="3" t="s">
        <v>86</v>
      </c>
      <c r="AA320" s="3" t="s">
        <v>87</v>
      </c>
      <c r="AB320" s="3" t="s">
        <v>78</v>
      </c>
      <c r="AC320" s="3" t="s">
        <v>66</v>
      </c>
      <c r="AD320" s="3">
        <v>0</v>
      </c>
    </row>
    <row r="321" spans="1:30" x14ac:dyDescent="0.3">
      <c r="A321" s="3">
        <v>325</v>
      </c>
      <c r="B321" s="3" t="s">
        <v>224</v>
      </c>
      <c r="C321" s="3" t="s">
        <v>216</v>
      </c>
      <c r="D321" s="3" t="s">
        <v>31</v>
      </c>
      <c r="E321" s="3" t="s">
        <v>32</v>
      </c>
      <c r="F321" s="12">
        <v>45838</v>
      </c>
      <c r="G321" s="3">
        <v>2025</v>
      </c>
      <c r="H321" s="3" t="s">
        <v>33</v>
      </c>
      <c r="I321" s="3" t="s">
        <v>404</v>
      </c>
      <c r="J321" s="3">
        <v>1</v>
      </c>
      <c r="K321" s="3">
        <v>8</v>
      </c>
      <c r="L321" s="3">
        <v>8</v>
      </c>
      <c r="M321" s="3">
        <v>1</v>
      </c>
      <c r="N321" s="3">
        <v>1</v>
      </c>
      <c r="O321" s="3" t="s">
        <v>35</v>
      </c>
      <c r="P321" s="3" t="s">
        <v>35</v>
      </c>
      <c r="Q321" s="3" t="str">
        <f t="shared" si="43"/>
        <v>325-2025-06-30</v>
      </c>
      <c r="R321" s="3">
        <v>0</v>
      </c>
      <c r="S321" s="3">
        <v>0</v>
      </c>
      <c r="T321" s="3" t="s">
        <v>31</v>
      </c>
      <c r="U321" s="3" t="s">
        <v>37</v>
      </c>
      <c r="V321" s="3" t="s">
        <v>216</v>
      </c>
      <c r="W321" s="3" t="s">
        <v>73</v>
      </c>
      <c r="X321" s="3" t="s">
        <v>218</v>
      </c>
      <c r="Y321" s="3" t="s">
        <v>219</v>
      </c>
      <c r="Z321" s="3" t="s">
        <v>86</v>
      </c>
      <c r="AA321" s="3" t="s">
        <v>87</v>
      </c>
      <c r="AB321" s="3" t="s">
        <v>78</v>
      </c>
      <c r="AC321" s="3" t="s">
        <v>66</v>
      </c>
      <c r="AD321" s="3">
        <v>0</v>
      </c>
    </row>
    <row r="322" spans="1:30" x14ac:dyDescent="0.3">
      <c r="A322" s="3">
        <v>325</v>
      </c>
      <c r="B322" s="3" t="s">
        <v>224</v>
      </c>
      <c r="C322" s="3" t="s">
        <v>216</v>
      </c>
      <c r="D322" s="3" t="s">
        <v>31</v>
      </c>
      <c r="E322" s="3" t="s">
        <v>32</v>
      </c>
      <c r="F322" s="12">
        <v>45838</v>
      </c>
      <c r="G322" s="3">
        <v>2025</v>
      </c>
      <c r="H322" s="3" t="s">
        <v>33</v>
      </c>
      <c r="I322" s="3" t="s">
        <v>404</v>
      </c>
      <c r="J322" s="3"/>
      <c r="K322" s="3">
        <v>8</v>
      </c>
      <c r="L322" s="3">
        <v>8</v>
      </c>
      <c r="M322" s="3">
        <v>1</v>
      </c>
      <c r="N322" s="3">
        <v>1</v>
      </c>
      <c r="O322" s="3" t="s">
        <v>35</v>
      </c>
      <c r="P322" s="3" t="s">
        <v>35</v>
      </c>
      <c r="Q322" s="3" t="str">
        <f t="shared" si="43"/>
        <v>325-2025-06-30</v>
      </c>
      <c r="R322" s="3">
        <v>0</v>
      </c>
      <c r="S322" s="3">
        <v>0</v>
      </c>
      <c r="T322" s="3" t="s">
        <v>443</v>
      </c>
      <c r="U322" s="3" t="s">
        <v>37</v>
      </c>
      <c r="V322" s="3" t="s">
        <v>216</v>
      </c>
      <c r="W322" s="3" t="s">
        <v>73</v>
      </c>
      <c r="X322" s="3" t="s">
        <v>218</v>
      </c>
      <c r="Y322" s="3" t="s">
        <v>219</v>
      </c>
      <c r="Z322" s="3" t="s">
        <v>86</v>
      </c>
      <c r="AA322" s="3" t="s">
        <v>87</v>
      </c>
      <c r="AB322" s="3" t="s">
        <v>78</v>
      </c>
      <c r="AC322" s="3" t="s">
        <v>66</v>
      </c>
      <c r="AD322" s="3">
        <v>0</v>
      </c>
    </row>
    <row r="323" spans="1:30" x14ac:dyDescent="0.3">
      <c r="A323" s="3">
        <v>331</v>
      </c>
      <c r="B323" s="3" t="s">
        <v>231</v>
      </c>
      <c r="C323" s="3" t="s">
        <v>232</v>
      </c>
      <c r="D323" s="3" t="s">
        <v>66</v>
      </c>
      <c r="E323" s="3" t="s">
        <v>32</v>
      </c>
      <c r="F323" s="12">
        <v>45291</v>
      </c>
      <c r="G323" s="3">
        <v>2023</v>
      </c>
      <c r="H323" s="3" t="s">
        <v>44</v>
      </c>
      <c r="I323" s="3" t="s">
        <v>49</v>
      </c>
      <c r="J323" s="3">
        <v>2</v>
      </c>
      <c r="K323" s="3">
        <v>0</v>
      </c>
      <c r="L323" s="3">
        <v>81</v>
      </c>
      <c r="M323" s="3"/>
      <c r="N323" s="3"/>
      <c r="O323" s="3" t="s">
        <v>233</v>
      </c>
      <c r="P323" s="3" t="s">
        <v>58</v>
      </c>
      <c r="Q323" s="3" t="str">
        <f t="shared" ref="Q323:Q386" si="50">A323&amp;"-"&amp;YEAR(F323)&amp;"-"&amp;IF(LEN(MONTH(F323))=1,"0"&amp;MONTH(F323),MONTH(F323))&amp;"-"&amp;IF(LEN(DAY(F323))=1,"0"&amp;DAY(F323),DAY(F323))</f>
        <v>331-2023-12-31</v>
      </c>
      <c r="R323" s="3">
        <v>0</v>
      </c>
      <c r="S323" s="3">
        <v>0</v>
      </c>
      <c r="T323" s="3" t="s">
        <v>31</v>
      </c>
      <c r="U323" s="3" t="s">
        <v>37</v>
      </c>
      <c r="V323" s="3" t="s">
        <v>232</v>
      </c>
      <c r="W323" s="3" t="s">
        <v>145</v>
      </c>
      <c r="X323" s="3" t="s">
        <v>179</v>
      </c>
      <c r="Y323" s="3" t="s">
        <v>235</v>
      </c>
      <c r="Z323" s="3" t="s">
        <v>236</v>
      </c>
      <c r="AA323" s="3" t="s">
        <v>237</v>
      </c>
      <c r="AB323" s="3" t="s">
        <v>43</v>
      </c>
      <c r="AC323" s="3" t="s">
        <v>66</v>
      </c>
      <c r="AD323" s="3">
        <v>0</v>
      </c>
    </row>
    <row r="324" spans="1:30" x14ac:dyDescent="0.3">
      <c r="A324" s="3">
        <v>331</v>
      </c>
      <c r="B324" s="3" t="s">
        <v>231</v>
      </c>
      <c r="C324" s="3" t="s">
        <v>232</v>
      </c>
      <c r="D324" s="3" t="s">
        <v>66</v>
      </c>
      <c r="E324" s="3" t="s">
        <v>32</v>
      </c>
      <c r="F324" s="12">
        <v>45291</v>
      </c>
      <c r="G324" s="3">
        <v>2023</v>
      </c>
      <c r="H324" s="3" t="s">
        <v>44</v>
      </c>
      <c r="I324" s="3" t="s">
        <v>49</v>
      </c>
      <c r="J324" s="3"/>
      <c r="K324" s="3"/>
      <c r="L324" s="3">
        <v>81</v>
      </c>
      <c r="M324" s="3"/>
      <c r="N324" s="3"/>
      <c r="O324" s="3" t="s">
        <v>429</v>
      </c>
      <c r="P324" s="3" t="s">
        <v>58</v>
      </c>
      <c r="Q324" s="3" t="str">
        <f t="shared" si="50"/>
        <v>331-2023-12-31</v>
      </c>
      <c r="R324" s="3">
        <v>0</v>
      </c>
      <c r="S324" s="3">
        <v>0</v>
      </c>
      <c r="T324" s="3" t="s">
        <v>443</v>
      </c>
      <c r="U324" s="3" t="s">
        <v>37</v>
      </c>
      <c r="V324" s="3" t="s">
        <v>232</v>
      </c>
      <c r="W324" s="3" t="s">
        <v>145</v>
      </c>
      <c r="X324" s="3" t="s">
        <v>179</v>
      </c>
      <c r="Y324" s="3" t="s">
        <v>235</v>
      </c>
      <c r="Z324" s="3" t="s">
        <v>236</v>
      </c>
      <c r="AA324" s="3" t="s">
        <v>237</v>
      </c>
      <c r="AB324" s="3" t="s">
        <v>43</v>
      </c>
      <c r="AC324" s="3" t="s">
        <v>66</v>
      </c>
      <c r="AD324" s="3">
        <v>0</v>
      </c>
    </row>
    <row r="325" spans="1:30" x14ac:dyDescent="0.3">
      <c r="A325" s="3">
        <v>331</v>
      </c>
      <c r="B325" s="3" t="s">
        <v>231</v>
      </c>
      <c r="C325" s="3" t="s">
        <v>232</v>
      </c>
      <c r="D325" s="3" t="s">
        <v>66</v>
      </c>
      <c r="E325" s="3" t="s">
        <v>32</v>
      </c>
      <c r="F325" s="12">
        <v>45657</v>
      </c>
      <c r="G325" s="3">
        <v>2024</v>
      </c>
      <c r="H325" s="3" t="s">
        <v>44</v>
      </c>
      <c r="I325" s="3" t="s">
        <v>53</v>
      </c>
      <c r="J325" s="3">
        <v>2</v>
      </c>
      <c r="K325" s="3">
        <v>0</v>
      </c>
      <c r="L325" s="3">
        <v>82</v>
      </c>
      <c r="M325" s="3"/>
      <c r="N325" s="3"/>
      <c r="O325" s="3" t="s">
        <v>233</v>
      </c>
      <c r="P325" s="3" t="s">
        <v>58</v>
      </c>
      <c r="Q325" s="3" t="str">
        <f t="shared" si="50"/>
        <v>331-2024-12-31</v>
      </c>
      <c r="R325" s="3">
        <v>0</v>
      </c>
      <c r="S325" s="3">
        <v>0</v>
      </c>
      <c r="T325" s="3" t="s">
        <v>31</v>
      </c>
      <c r="U325" s="3" t="s">
        <v>37</v>
      </c>
      <c r="V325" s="3" t="s">
        <v>232</v>
      </c>
      <c r="W325" s="3" t="s">
        <v>145</v>
      </c>
      <c r="X325" s="3" t="s">
        <v>179</v>
      </c>
      <c r="Y325" s="3" t="s">
        <v>235</v>
      </c>
      <c r="Z325" s="3" t="s">
        <v>236</v>
      </c>
      <c r="AA325" s="3" t="s">
        <v>237</v>
      </c>
      <c r="AB325" s="3" t="s">
        <v>43</v>
      </c>
      <c r="AC325" s="3" t="s">
        <v>66</v>
      </c>
      <c r="AD325" s="3">
        <v>0</v>
      </c>
    </row>
    <row r="326" spans="1:30" x14ac:dyDescent="0.3">
      <c r="A326" s="3">
        <v>331</v>
      </c>
      <c r="B326" s="3" t="s">
        <v>231</v>
      </c>
      <c r="C326" s="3" t="s">
        <v>232</v>
      </c>
      <c r="D326" s="3" t="s">
        <v>66</v>
      </c>
      <c r="E326" s="3" t="s">
        <v>32</v>
      </c>
      <c r="F326" s="12">
        <v>45657</v>
      </c>
      <c r="G326" s="3">
        <v>2024</v>
      </c>
      <c r="H326" s="3" t="s">
        <v>44</v>
      </c>
      <c r="I326" s="3" t="s">
        <v>53</v>
      </c>
      <c r="J326" s="3"/>
      <c r="K326" s="3"/>
      <c r="L326" s="3">
        <v>82</v>
      </c>
      <c r="M326" s="3"/>
      <c r="N326" s="3"/>
      <c r="O326" s="3" t="s">
        <v>429</v>
      </c>
      <c r="P326" s="3" t="s">
        <v>58</v>
      </c>
      <c r="Q326" s="3" t="str">
        <f t="shared" si="50"/>
        <v>331-2024-12-31</v>
      </c>
      <c r="R326" s="3">
        <v>0</v>
      </c>
      <c r="S326" s="3">
        <v>0</v>
      </c>
      <c r="T326" s="3" t="s">
        <v>443</v>
      </c>
      <c r="U326" s="3" t="s">
        <v>37</v>
      </c>
      <c r="V326" s="3" t="s">
        <v>232</v>
      </c>
      <c r="W326" s="3" t="s">
        <v>145</v>
      </c>
      <c r="X326" s="3" t="s">
        <v>179</v>
      </c>
      <c r="Y326" s="3" t="s">
        <v>235</v>
      </c>
      <c r="Z326" s="3" t="s">
        <v>236</v>
      </c>
      <c r="AA326" s="3" t="s">
        <v>237</v>
      </c>
      <c r="AB326" s="3" t="s">
        <v>43</v>
      </c>
      <c r="AC326" s="3" t="s">
        <v>66</v>
      </c>
      <c r="AD326" s="3">
        <v>0</v>
      </c>
    </row>
    <row r="327" spans="1:30" x14ac:dyDescent="0.3">
      <c r="A327" s="3">
        <v>331</v>
      </c>
      <c r="B327" s="3" t="s">
        <v>231</v>
      </c>
      <c r="C327" s="3" t="s">
        <v>232</v>
      </c>
      <c r="D327" s="3" t="s">
        <v>66</v>
      </c>
      <c r="E327" s="3" t="s">
        <v>32</v>
      </c>
      <c r="F327" s="12">
        <v>45838</v>
      </c>
      <c r="G327" s="3">
        <v>2025</v>
      </c>
      <c r="H327" s="3" t="s">
        <v>33</v>
      </c>
      <c r="I327" s="3" t="s">
        <v>404</v>
      </c>
      <c r="J327" s="3">
        <v>1</v>
      </c>
      <c r="K327" s="3"/>
      <c r="L327" s="3">
        <v>82</v>
      </c>
      <c r="M327" s="3"/>
      <c r="N327" s="3"/>
      <c r="O327" s="3" t="s">
        <v>429</v>
      </c>
      <c r="P327" s="3" t="s">
        <v>58</v>
      </c>
      <c r="Q327" s="3" t="str">
        <f t="shared" si="50"/>
        <v>331-2025-06-30</v>
      </c>
      <c r="R327" s="3">
        <v>0</v>
      </c>
      <c r="S327" s="3">
        <v>0</v>
      </c>
      <c r="T327" s="3" t="s">
        <v>31</v>
      </c>
      <c r="U327" s="3" t="s">
        <v>37</v>
      </c>
      <c r="V327" s="3" t="s">
        <v>232</v>
      </c>
      <c r="W327" s="3" t="s">
        <v>145</v>
      </c>
      <c r="X327" s="3" t="s">
        <v>179</v>
      </c>
      <c r="Y327" s="3" t="s">
        <v>235</v>
      </c>
      <c r="Z327" s="3" t="s">
        <v>236</v>
      </c>
      <c r="AA327" s="3" t="s">
        <v>237</v>
      </c>
      <c r="AB327" s="3" t="s">
        <v>43</v>
      </c>
      <c r="AC327" s="3" t="s">
        <v>66</v>
      </c>
      <c r="AD327" s="3">
        <v>0</v>
      </c>
    </row>
    <row r="328" spans="1:30" x14ac:dyDescent="0.3">
      <c r="A328" s="3">
        <v>331</v>
      </c>
      <c r="B328" s="3" t="s">
        <v>231</v>
      </c>
      <c r="C328" s="3" t="s">
        <v>232</v>
      </c>
      <c r="D328" s="3" t="s">
        <v>66</v>
      </c>
      <c r="E328" s="3" t="s">
        <v>32</v>
      </c>
      <c r="F328" s="12">
        <v>45838</v>
      </c>
      <c r="G328" s="3">
        <v>2025</v>
      </c>
      <c r="H328" s="3" t="s">
        <v>33</v>
      </c>
      <c r="I328" s="3" t="s">
        <v>404</v>
      </c>
      <c r="J328" s="3"/>
      <c r="K328" s="3"/>
      <c r="L328" s="3">
        <v>82</v>
      </c>
      <c r="M328" s="3"/>
      <c r="N328" s="3"/>
      <c r="O328" s="3" t="s">
        <v>429</v>
      </c>
      <c r="P328" s="3" t="s">
        <v>58</v>
      </c>
      <c r="Q328" s="3" t="str">
        <f t="shared" si="50"/>
        <v>331-2025-06-30</v>
      </c>
      <c r="R328" s="3">
        <v>0</v>
      </c>
      <c r="S328" s="3">
        <v>0</v>
      </c>
      <c r="T328" s="3" t="s">
        <v>443</v>
      </c>
      <c r="U328" s="3" t="s">
        <v>37</v>
      </c>
      <c r="V328" s="3" t="s">
        <v>232</v>
      </c>
      <c r="W328" s="3" t="s">
        <v>145</v>
      </c>
      <c r="X328" s="3" t="s">
        <v>179</v>
      </c>
      <c r="Y328" s="3" t="s">
        <v>235</v>
      </c>
      <c r="Z328" s="3" t="s">
        <v>236</v>
      </c>
      <c r="AA328" s="3" t="s">
        <v>237</v>
      </c>
      <c r="AB328" s="3" t="s">
        <v>43</v>
      </c>
      <c r="AC328" s="3" t="s">
        <v>66</v>
      </c>
      <c r="AD328" s="3">
        <v>0</v>
      </c>
    </row>
    <row r="329" spans="1:30" x14ac:dyDescent="0.3">
      <c r="A329" s="3">
        <v>332</v>
      </c>
      <c r="B329" s="3" t="s">
        <v>239</v>
      </c>
      <c r="C329" s="3" t="s">
        <v>130</v>
      </c>
      <c r="D329" s="3" t="s">
        <v>31</v>
      </c>
      <c r="E329" s="3" t="s">
        <v>171</v>
      </c>
      <c r="F329" s="12">
        <v>44742</v>
      </c>
      <c r="G329" s="3">
        <v>2022</v>
      </c>
      <c r="H329" s="3" t="s">
        <v>33</v>
      </c>
      <c r="I329" s="3" t="s">
        <v>34</v>
      </c>
      <c r="J329" s="3">
        <v>1</v>
      </c>
      <c r="K329" s="3">
        <v>1.6</v>
      </c>
      <c r="L329" s="3">
        <v>1.8</v>
      </c>
      <c r="M329" s="3">
        <v>0.88888888888888895</v>
      </c>
      <c r="N329" s="3">
        <v>0.88888888888888895</v>
      </c>
      <c r="O329" s="3"/>
      <c r="P329" s="3"/>
      <c r="Q329" s="3" t="str">
        <f t="shared" si="50"/>
        <v>332-2022-06-30</v>
      </c>
      <c r="R329" s="3">
        <v>1</v>
      </c>
      <c r="S329" s="3">
        <v>1</v>
      </c>
      <c r="T329" s="3" t="s">
        <v>31</v>
      </c>
      <c r="U329" s="3" t="s">
        <v>37</v>
      </c>
      <c r="V329" s="3" t="s">
        <v>130</v>
      </c>
      <c r="W329" s="3" t="s">
        <v>60</v>
      </c>
      <c r="X329" s="3" t="s">
        <v>100</v>
      </c>
      <c r="Y329" s="3" t="s">
        <v>586</v>
      </c>
      <c r="Z329" s="3" t="s">
        <v>134</v>
      </c>
      <c r="AA329" s="3" t="s">
        <v>135</v>
      </c>
      <c r="AB329" s="3" t="s">
        <v>65</v>
      </c>
      <c r="AC329" s="3" t="s">
        <v>66</v>
      </c>
      <c r="AD329" s="3">
        <v>0</v>
      </c>
    </row>
    <row r="330" spans="1:30" x14ac:dyDescent="0.3">
      <c r="A330" s="3">
        <v>332</v>
      </c>
      <c r="B330" s="3" t="s">
        <v>239</v>
      </c>
      <c r="C330" s="3" t="s">
        <v>130</v>
      </c>
      <c r="D330" s="3" t="s">
        <v>31</v>
      </c>
      <c r="E330" s="3" t="s">
        <v>171</v>
      </c>
      <c r="F330" s="12">
        <v>44926</v>
      </c>
      <c r="G330" s="3">
        <v>2022</v>
      </c>
      <c r="H330" s="3" t="s">
        <v>44</v>
      </c>
      <c r="I330" s="3" t="s">
        <v>45</v>
      </c>
      <c r="J330" s="3">
        <v>2</v>
      </c>
      <c r="K330" s="3">
        <v>1.6</v>
      </c>
      <c r="L330" s="3">
        <v>1.75</v>
      </c>
      <c r="M330" s="3">
        <v>0.91428571428571437</v>
      </c>
      <c r="N330" s="3">
        <v>0.91428571428571437</v>
      </c>
      <c r="O330" s="3"/>
      <c r="P330" s="3"/>
      <c r="Q330" s="3" t="str">
        <f t="shared" si="50"/>
        <v>332-2022-12-31</v>
      </c>
      <c r="R330" s="3">
        <v>1</v>
      </c>
      <c r="S330" s="3">
        <v>1</v>
      </c>
      <c r="T330" s="3" t="s">
        <v>31</v>
      </c>
      <c r="U330" s="3" t="s">
        <v>37</v>
      </c>
      <c r="V330" s="3" t="s">
        <v>130</v>
      </c>
      <c r="W330" s="3" t="s">
        <v>60</v>
      </c>
      <c r="X330" s="3" t="s">
        <v>100</v>
      </c>
      <c r="Y330" s="3" t="s">
        <v>586</v>
      </c>
      <c r="Z330" s="3" t="s">
        <v>134</v>
      </c>
      <c r="AA330" s="3" t="s">
        <v>135</v>
      </c>
      <c r="AB330" s="3" t="s">
        <v>65</v>
      </c>
      <c r="AC330" s="3" t="s">
        <v>66</v>
      </c>
      <c r="AD330" s="3">
        <v>0</v>
      </c>
    </row>
    <row r="331" spans="1:30" x14ac:dyDescent="0.3">
      <c r="A331" s="3">
        <v>332</v>
      </c>
      <c r="B331" s="3" t="s">
        <v>239</v>
      </c>
      <c r="C331" s="3" t="s">
        <v>130</v>
      </c>
      <c r="D331" s="3" t="s">
        <v>31</v>
      </c>
      <c r="E331" s="3" t="s">
        <v>171</v>
      </c>
      <c r="F331" s="12">
        <v>44926</v>
      </c>
      <c r="G331" s="3">
        <v>2022</v>
      </c>
      <c r="H331" s="3" t="s">
        <v>44</v>
      </c>
      <c r="I331" s="3" t="s">
        <v>45</v>
      </c>
      <c r="J331" s="3"/>
      <c r="K331" s="3">
        <v>1.6</v>
      </c>
      <c r="L331" s="3">
        <v>1.75</v>
      </c>
      <c r="M331" s="3">
        <v>0.91428571428571437</v>
      </c>
      <c r="N331" s="3">
        <v>0.91428571428571437</v>
      </c>
      <c r="O331" s="3" t="s">
        <v>245</v>
      </c>
      <c r="P331" s="3" t="s">
        <v>245</v>
      </c>
      <c r="Q331" s="3" t="str">
        <f t="shared" si="50"/>
        <v>332-2022-12-31</v>
      </c>
      <c r="R331" s="3">
        <v>1</v>
      </c>
      <c r="S331" s="3">
        <v>1</v>
      </c>
      <c r="T331" s="3" t="s">
        <v>443</v>
      </c>
      <c r="U331" s="3" t="s">
        <v>37</v>
      </c>
      <c r="V331" s="3" t="s">
        <v>130</v>
      </c>
      <c r="W331" s="3" t="s">
        <v>60</v>
      </c>
      <c r="X331" s="3" t="s">
        <v>100</v>
      </c>
      <c r="Y331" s="3" t="s">
        <v>586</v>
      </c>
      <c r="Z331" s="3" t="s">
        <v>134</v>
      </c>
      <c r="AA331" s="3" t="s">
        <v>135</v>
      </c>
      <c r="AB331" s="3" t="s">
        <v>65</v>
      </c>
      <c r="AC331" s="3" t="s">
        <v>66</v>
      </c>
      <c r="AD331" s="3">
        <v>0</v>
      </c>
    </row>
    <row r="332" spans="1:30" x14ac:dyDescent="0.3">
      <c r="A332" s="3">
        <v>332</v>
      </c>
      <c r="B332" s="3" t="s">
        <v>239</v>
      </c>
      <c r="C332" s="3" t="s">
        <v>130</v>
      </c>
      <c r="D332" s="3" t="s">
        <v>31</v>
      </c>
      <c r="E332" s="3" t="s">
        <v>171</v>
      </c>
      <c r="F332" s="12">
        <v>45107</v>
      </c>
      <c r="G332" s="3">
        <v>2023</v>
      </c>
      <c r="H332" s="3" t="s">
        <v>33</v>
      </c>
      <c r="I332" s="3" t="s">
        <v>47</v>
      </c>
      <c r="J332" s="3">
        <v>1</v>
      </c>
      <c r="K332" s="3">
        <v>1.8</v>
      </c>
      <c r="L332" s="3">
        <v>1.57</v>
      </c>
      <c r="M332" s="3">
        <v>1.1464968152866239</v>
      </c>
      <c r="N332" s="3">
        <v>1.1464968152866239</v>
      </c>
      <c r="O332" s="3"/>
      <c r="P332" s="3"/>
      <c r="Q332" s="3" t="str">
        <f t="shared" si="50"/>
        <v>332-2023-06-30</v>
      </c>
      <c r="R332" s="3">
        <v>1</v>
      </c>
      <c r="S332" s="3">
        <v>1</v>
      </c>
      <c r="T332" s="3" t="s">
        <v>31</v>
      </c>
      <c r="U332" s="3" t="s">
        <v>37</v>
      </c>
      <c r="V332" s="3" t="s">
        <v>130</v>
      </c>
      <c r="W332" s="3" t="s">
        <v>60</v>
      </c>
      <c r="X332" s="3" t="s">
        <v>100</v>
      </c>
      <c r="Y332" s="3" t="s">
        <v>586</v>
      </c>
      <c r="Z332" s="3" t="s">
        <v>134</v>
      </c>
      <c r="AA332" s="3" t="s">
        <v>135</v>
      </c>
      <c r="AB332" s="3" t="s">
        <v>65</v>
      </c>
      <c r="AC332" s="3" t="s">
        <v>66</v>
      </c>
      <c r="AD332" s="3">
        <v>0</v>
      </c>
    </row>
    <row r="333" spans="1:30" x14ac:dyDescent="0.3">
      <c r="A333" s="3">
        <v>332</v>
      </c>
      <c r="B333" s="3" t="s">
        <v>239</v>
      </c>
      <c r="C333" s="3" t="s">
        <v>130</v>
      </c>
      <c r="D333" s="3" t="s">
        <v>31</v>
      </c>
      <c r="E333" s="3" t="s">
        <v>171</v>
      </c>
      <c r="F333" s="12">
        <v>45291</v>
      </c>
      <c r="G333" s="3">
        <v>2023</v>
      </c>
      <c r="H333" s="3" t="s">
        <v>44</v>
      </c>
      <c r="I333" s="3" t="s">
        <v>49</v>
      </c>
      <c r="J333" s="3">
        <v>2</v>
      </c>
      <c r="K333" s="3">
        <v>1.8</v>
      </c>
      <c r="L333" s="3">
        <v>1.3</v>
      </c>
      <c r="M333" s="3">
        <v>1.3</v>
      </c>
      <c r="N333" s="3">
        <v>1.384615384615385</v>
      </c>
      <c r="O333" s="3"/>
      <c r="P333" s="3"/>
      <c r="Q333" s="3" t="str">
        <f t="shared" si="50"/>
        <v>332-2023-12-31</v>
      </c>
      <c r="R333" s="3">
        <v>1</v>
      </c>
      <c r="S333" s="3">
        <v>1</v>
      </c>
      <c r="T333" s="3" t="s">
        <v>31</v>
      </c>
      <c r="U333" s="3" t="s">
        <v>37</v>
      </c>
      <c r="V333" s="3" t="s">
        <v>130</v>
      </c>
      <c r="W333" s="3" t="s">
        <v>60</v>
      </c>
      <c r="X333" s="3" t="s">
        <v>100</v>
      </c>
      <c r="Y333" s="3" t="s">
        <v>586</v>
      </c>
      <c r="Z333" s="3" t="s">
        <v>134</v>
      </c>
      <c r="AA333" s="3" t="s">
        <v>135</v>
      </c>
      <c r="AB333" s="3" t="s">
        <v>65</v>
      </c>
      <c r="AC333" s="3" t="s">
        <v>66</v>
      </c>
      <c r="AD333" s="3">
        <v>0</v>
      </c>
    </row>
    <row r="334" spans="1:30" x14ac:dyDescent="0.3">
      <c r="A334" s="3">
        <v>332</v>
      </c>
      <c r="B334" s="3" t="s">
        <v>239</v>
      </c>
      <c r="C334" s="3" t="s">
        <v>130</v>
      </c>
      <c r="D334" s="3" t="s">
        <v>31</v>
      </c>
      <c r="E334" s="3" t="s">
        <v>171</v>
      </c>
      <c r="F334" s="12">
        <v>45291</v>
      </c>
      <c r="G334" s="3">
        <v>2023</v>
      </c>
      <c r="H334" s="3" t="s">
        <v>44</v>
      </c>
      <c r="I334" s="3" t="s">
        <v>49</v>
      </c>
      <c r="J334" s="3"/>
      <c r="K334" s="3">
        <v>1.8</v>
      </c>
      <c r="L334" s="3">
        <v>1.4</v>
      </c>
      <c r="M334" s="3">
        <v>1.285714285714286</v>
      </c>
      <c r="N334" s="3">
        <v>1.285714285714286</v>
      </c>
      <c r="O334" s="3" t="s">
        <v>245</v>
      </c>
      <c r="P334" s="3" t="s">
        <v>245</v>
      </c>
      <c r="Q334" s="3" t="str">
        <f t="shared" si="50"/>
        <v>332-2023-12-31</v>
      </c>
      <c r="R334" s="3">
        <v>1</v>
      </c>
      <c r="S334" s="3">
        <v>1</v>
      </c>
      <c r="T334" s="3" t="s">
        <v>443</v>
      </c>
      <c r="U334" s="3" t="s">
        <v>37</v>
      </c>
      <c r="V334" s="3" t="s">
        <v>130</v>
      </c>
      <c r="W334" s="3" t="s">
        <v>60</v>
      </c>
      <c r="X334" s="3" t="s">
        <v>100</v>
      </c>
      <c r="Y334" s="3" t="s">
        <v>586</v>
      </c>
      <c r="Z334" s="3" t="s">
        <v>134</v>
      </c>
      <c r="AA334" s="3" t="s">
        <v>135</v>
      </c>
      <c r="AB334" s="3" t="s">
        <v>65</v>
      </c>
      <c r="AC334" s="3" t="s">
        <v>66</v>
      </c>
      <c r="AD334" s="3">
        <v>0</v>
      </c>
    </row>
    <row r="335" spans="1:30" x14ac:dyDescent="0.3">
      <c r="A335" s="3">
        <v>332</v>
      </c>
      <c r="B335" s="3" t="s">
        <v>239</v>
      </c>
      <c r="C335" s="3" t="s">
        <v>130</v>
      </c>
      <c r="D335" s="3" t="s">
        <v>31</v>
      </c>
      <c r="E335" s="3" t="s">
        <v>171</v>
      </c>
      <c r="F335" s="12">
        <v>45473</v>
      </c>
      <c r="G335" s="3">
        <v>2024</v>
      </c>
      <c r="H335" s="3" t="s">
        <v>33</v>
      </c>
      <c r="I335" s="3" t="s">
        <v>51</v>
      </c>
      <c r="J335" s="3">
        <v>1</v>
      </c>
      <c r="K335" s="3">
        <v>1.5</v>
      </c>
      <c r="L335" s="3">
        <v>1.48</v>
      </c>
      <c r="M335" s="3">
        <v>1.013513513513514</v>
      </c>
      <c r="N335" s="3">
        <v>1.013513513513514</v>
      </c>
      <c r="O335" s="3" t="s">
        <v>245</v>
      </c>
      <c r="P335" s="3" t="s">
        <v>245</v>
      </c>
      <c r="Q335" s="3" t="str">
        <f t="shared" si="50"/>
        <v>332-2024-06-30</v>
      </c>
      <c r="R335" s="3">
        <v>1</v>
      </c>
      <c r="S335" s="3">
        <v>1</v>
      </c>
      <c r="T335" s="3" t="s">
        <v>31</v>
      </c>
      <c r="U335" s="3" t="s">
        <v>37</v>
      </c>
      <c r="V335" s="3" t="s">
        <v>130</v>
      </c>
      <c r="W335" s="3" t="s">
        <v>60</v>
      </c>
      <c r="X335" s="3" t="s">
        <v>100</v>
      </c>
      <c r="Y335" s="3" t="s">
        <v>586</v>
      </c>
      <c r="Z335" s="3" t="s">
        <v>134</v>
      </c>
      <c r="AA335" s="3" t="s">
        <v>135</v>
      </c>
      <c r="AB335" s="3" t="s">
        <v>65</v>
      </c>
      <c r="AC335" s="3" t="s">
        <v>66</v>
      </c>
      <c r="AD335" s="3">
        <v>0</v>
      </c>
    </row>
    <row r="336" spans="1:30" x14ac:dyDescent="0.3">
      <c r="A336" s="3">
        <v>332</v>
      </c>
      <c r="B336" s="3" t="s">
        <v>239</v>
      </c>
      <c r="C336" s="3" t="s">
        <v>130</v>
      </c>
      <c r="D336" s="3" t="s">
        <v>31</v>
      </c>
      <c r="E336" s="3" t="s">
        <v>171</v>
      </c>
      <c r="F336" s="12">
        <v>45657</v>
      </c>
      <c r="G336" s="3">
        <v>2024</v>
      </c>
      <c r="H336" s="3" t="s">
        <v>44</v>
      </c>
      <c r="I336" s="3" t="s">
        <v>53</v>
      </c>
      <c r="J336" s="3">
        <v>2</v>
      </c>
      <c r="K336" s="3">
        <v>1.8</v>
      </c>
      <c r="L336" s="3">
        <v>0.82</v>
      </c>
      <c r="M336" s="3">
        <v>0.45555555555555549</v>
      </c>
      <c r="N336" s="3">
        <v>0.45555555555555549</v>
      </c>
      <c r="O336" s="3"/>
      <c r="P336" s="3"/>
      <c r="Q336" s="3" t="str">
        <f t="shared" si="50"/>
        <v>332-2024-12-31</v>
      </c>
      <c r="R336" s="3">
        <v>0</v>
      </c>
      <c r="S336" s="3">
        <v>0</v>
      </c>
      <c r="T336" s="3" t="s">
        <v>31</v>
      </c>
      <c r="U336" s="3" t="s">
        <v>37</v>
      </c>
      <c r="V336" s="3" t="s">
        <v>130</v>
      </c>
      <c r="W336" s="3" t="s">
        <v>60</v>
      </c>
      <c r="X336" s="3" t="s">
        <v>100</v>
      </c>
      <c r="Y336" s="3" t="s">
        <v>586</v>
      </c>
      <c r="Z336" s="3" t="s">
        <v>134</v>
      </c>
      <c r="AA336" s="3" t="s">
        <v>135</v>
      </c>
      <c r="AB336" s="3" t="s">
        <v>65</v>
      </c>
      <c r="AC336" s="3" t="s">
        <v>66</v>
      </c>
      <c r="AD336" s="3">
        <v>0</v>
      </c>
    </row>
    <row r="337" spans="1:30" x14ac:dyDescent="0.3">
      <c r="A337" s="3">
        <v>332</v>
      </c>
      <c r="B337" s="3" t="s">
        <v>239</v>
      </c>
      <c r="C337" s="3" t="s">
        <v>130</v>
      </c>
      <c r="D337" s="3" t="s">
        <v>31</v>
      </c>
      <c r="E337" s="3" t="s">
        <v>171</v>
      </c>
      <c r="F337" s="12">
        <v>45657</v>
      </c>
      <c r="G337" s="3">
        <v>2024</v>
      </c>
      <c r="H337" s="3" t="s">
        <v>44</v>
      </c>
      <c r="I337" s="3" t="s">
        <v>53</v>
      </c>
      <c r="J337" s="3"/>
      <c r="K337" s="3">
        <v>1.5</v>
      </c>
      <c r="L337" s="3">
        <v>1.1499999999999999</v>
      </c>
      <c r="M337" s="3">
        <v>1.3</v>
      </c>
      <c r="N337" s="3">
        <v>1.304347826086957</v>
      </c>
      <c r="O337" s="3" t="s">
        <v>245</v>
      </c>
      <c r="P337" s="3" t="s">
        <v>245</v>
      </c>
      <c r="Q337" s="3" t="str">
        <f t="shared" si="50"/>
        <v>332-2024-12-31</v>
      </c>
      <c r="R337" s="3">
        <v>1</v>
      </c>
      <c r="S337" s="3">
        <v>2</v>
      </c>
      <c r="T337" s="3" t="s">
        <v>443</v>
      </c>
      <c r="U337" s="3" t="s">
        <v>37</v>
      </c>
      <c r="V337" s="3" t="s">
        <v>130</v>
      </c>
      <c r="W337" s="3" t="s">
        <v>60</v>
      </c>
      <c r="X337" s="3" t="s">
        <v>100</v>
      </c>
      <c r="Y337" s="3" t="s">
        <v>586</v>
      </c>
      <c r="Z337" s="3" t="s">
        <v>134</v>
      </c>
      <c r="AA337" s="3" t="s">
        <v>135</v>
      </c>
      <c r="AB337" s="3" t="s">
        <v>65</v>
      </c>
      <c r="AC337" s="3" t="s">
        <v>66</v>
      </c>
      <c r="AD337" s="3">
        <v>0</v>
      </c>
    </row>
    <row r="338" spans="1:30" x14ac:dyDescent="0.3">
      <c r="A338" s="3">
        <v>332</v>
      </c>
      <c r="B338" s="3" t="s">
        <v>239</v>
      </c>
      <c r="C338" s="3" t="s">
        <v>130</v>
      </c>
      <c r="D338" s="3" t="s">
        <v>31</v>
      </c>
      <c r="E338" s="3" t="s">
        <v>171</v>
      </c>
      <c r="F338" s="12">
        <v>45838</v>
      </c>
      <c r="G338" s="3">
        <v>2025</v>
      </c>
      <c r="H338" s="3" t="s">
        <v>33</v>
      </c>
      <c r="I338" s="3" t="s">
        <v>404</v>
      </c>
      <c r="J338" s="3">
        <v>1</v>
      </c>
      <c r="K338" s="3">
        <v>1.4</v>
      </c>
      <c r="L338" s="3">
        <v>0.85</v>
      </c>
      <c r="M338" s="3">
        <v>1.3</v>
      </c>
      <c r="N338" s="3">
        <v>1.6470588235294119</v>
      </c>
      <c r="O338" s="3" t="s">
        <v>245</v>
      </c>
      <c r="P338" s="3" t="s">
        <v>245</v>
      </c>
      <c r="Q338" s="3" t="str">
        <f t="shared" si="50"/>
        <v>332-2025-06-30</v>
      </c>
      <c r="R338" s="3">
        <v>2</v>
      </c>
      <c r="S338" s="3">
        <v>2</v>
      </c>
      <c r="T338" s="3" t="s">
        <v>31</v>
      </c>
      <c r="U338" s="3" t="s">
        <v>37</v>
      </c>
      <c r="V338" s="3" t="s">
        <v>130</v>
      </c>
      <c r="W338" s="3" t="s">
        <v>60</v>
      </c>
      <c r="X338" s="3" t="s">
        <v>100</v>
      </c>
      <c r="Y338" s="3" t="s">
        <v>586</v>
      </c>
      <c r="Z338" s="3" t="s">
        <v>134</v>
      </c>
      <c r="AA338" s="3" t="s">
        <v>135</v>
      </c>
      <c r="AB338" s="3" t="s">
        <v>65</v>
      </c>
      <c r="AC338" s="3" t="s">
        <v>66</v>
      </c>
      <c r="AD338" s="3">
        <v>0</v>
      </c>
    </row>
    <row r="339" spans="1:30" x14ac:dyDescent="0.3">
      <c r="A339" s="3">
        <v>332</v>
      </c>
      <c r="B339" s="3" t="s">
        <v>239</v>
      </c>
      <c r="C339" s="3" t="s">
        <v>130</v>
      </c>
      <c r="D339" s="3" t="s">
        <v>31</v>
      </c>
      <c r="E339" s="3" t="s">
        <v>171</v>
      </c>
      <c r="F339" s="12">
        <v>45838</v>
      </c>
      <c r="G339" s="3">
        <v>2025</v>
      </c>
      <c r="H339" s="3" t="s">
        <v>33</v>
      </c>
      <c r="I339" s="3" t="s">
        <v>404</v>
      </c>
      <c r="J339" s="3"/>
      <c r="K339" s="3">
        <v>1.4</v>
      </c>
      <c r="L339" s="3">
        <v>0.85</v>
      </c>
      <c r="M339" s="3">
        <v>1.3</v>
      </c>
      <c r="N339" s="3">
        <v>1.6470588235294119</v>
      </c>
      <c r="O339" s="3" t="s">
        <v>245</v>
      </c>
      <c r="P339" s="3" t="s">
        <v>245</v>
      </c>
      <c r="Q339" s="3" t="str">
        <f t="shared" si="50"/>
        <v>332-2025-06-30</v>
      </c>
      <c r="R339" s="3">
        <v>2</v>
      </c>
      <c r="S339" s="3">
        <v>2</v>
      </c>
      <c r="T339" s="3" t="s">
        <v>443</v>
      </c>
      <c r="U339" s="3" t="s">
        <v>37</v>
      </c>
      <c r="V339" s="3" t="s">
        <v>130</v>
      </c>
      <c r="W339" s="3" t="s">
        <v>60</v>
      </c>
      <c r="X339" s="3" t="s">
        <v>100</v>
      </c>
      <c r="Y339" s="3" t="s">
        <v>586</v>
      </c>
      <c r="Z339" s="3" t="s">
        <v>134</v>
      </c>
      <c r="AA339" s="3" t="s">
        <v>135</v>
      </c>
      <c r="AB339" s="3" t="s">
        <v>65</v>
      </c>
      <c r="AC339" s="3" t="s">
        <v>66</v>
      </c>
      <c r="AD339" s="3">
        <v>0</v>
      </c>
    </row>
    <row r="340" spans="1:30" x14ac:dyDescent="0.3">
      <c r="A340" s="3">
        <v>334</v>
      </c>
      <c r="B340" s="3" t="s">
        <v>248</v>
      </c>
      <c r="C340" s="3" t="s">
        <v>130</v>
      </c>
      <c r="D340" s="3" t="s">
        <v>66</v>
      </c>
      <c r="E340" s="3" t="s">
        <v>32</v>
      </c>
      <c r="F340" s="12">
        <v>44926</v>
      </c>
      <c r="G340" s="3">
        <v>2022</v>
      </c>
      <c r="H340" s="3" t="s">
        <v>44</v>
      </c>
      <c r="I340" s="3" t="s">
        <v>45</v>
      </c>
      <c r="J340" s="3"/>
      <c r="K340" s="3">
        <v>86</v>
      </c>
      <c r="L340" s="3">
        <v>86</v>
      </c>
      <c r="M340" s="3">
        <v>1</v>
      </c>
      <c r="N340" s="3">
        <v>1</v>
      </c>
      <c r="O340" s="3" t="s">
        <v>35</v>
      </c>
      <c r="P340" s="3" t="s">
        <v>35</v>
      </c>
      <c r="Q340" s="3" t="str">
        <f t="shared" si="50"/>
        <v>334-2022-12-31</v>
      </c>
      <c r="R340" s="3">
        <v>0</v>
      </c>
      <c r="S340" s="3">
        <v>0</v>
      </c>
      <c r="T340" s="3" t="s">
        <v>443</v>
      </c>
      <c r="U340" s="3" t="s">
        <v>37</v>
      </c>
      <c r="V340" s="3" t="s">
        <v>130</v>
      </c>
      <c r="W340" s="3" t="s">
        <v>60</v>
      </c>
      <c r="X340" s="3" t="s">
        <v>100</v>
      </c>
      <c r="Y340" s="3" t="s">
        <v>586</v>
      </c>
      <c r="Z340" s="3" t="s">
        <v>134</v>
      </c>
      <c r="AA340" s="3" t="s">
        <v>250</v>
      </c>
      <c r="AB340" s="3" t="s">
        <v>43</v>
      </c>
      <c r="AC340" s="3" t="s">
        <v>66</v>
      </c>
      <c r="AD340" s="3">
        <v>0</v>
      </c>
    </row>
    <row r="341" spans="1:30" x14ac:dyDescent="0.3">
      <c r="A341" s="3">
        <v>334</v>
      </c>
      <c r="B341" s="3" t="s">
        <v>248</v>
      </c>
      <c r="C341" s="3" t="s">
        <v>130</v>
      </c>
      <c r="D341" s="3" t="s">
        <v>66</v>
      </c>
      <c r="E341" s="3" t="s">
        <v>32</v>
      </c>
      <c r="F341" s="12">
        <v>45291</v>
      </c>
      <c r="G341" s="3">
        <v>2023</v>
      </c>
      <c r="H341" s="3" t="s">
        <v>44</v>
      </c>
      <c r="I341" s="3" t="s">
        <v>49</v>
      </c>
      <c r="J341" s="3">
        <v>2</v>
      </c>
      <c r="K341" s="3">
        <v>88</v>
      </c>
      <c r="L341" s="3">
        <v>88.39</v>
      </c>
      <c r="M341" s="3">
        <v>1.0044318181818179</v>
      </c>
      <c r="N341" s="3">
        <v>1.0044318181818179</v>
      </c>
      <c r="O341" s="3"/>
      <c r="P341" s="3"/>
      <c r="Q341" s="3" t="str">
        <f t="shared" si="50"/>
        <v>334-2023-12-31</v>
      </c>
      <c r="R341" s="3">
        <v>0</v>
      </c>
      <c r="S341" s="3">
        <v>0</v>
      </c>
      <c r="T341" s="3" t="s">
        <v>31</v>
      </c>
      <c r="U341" s="3" t="s">
        <v>37</v>
      </c>
      <c r="V341" s="3" t="s">
        <v>130</v>
      </c>
      <c r="W341" s="3" t="s">
        <v>60</v>
      </c>
      <c r="X341" s="3" t="s">
        <v>100</v>
      </c>
      <c r="Y341" s="3" t="s">
        <v>586</v>
      </c>
      <c r="Z341" s="3" t="s">
        <v>134</v>
      </c>
      <c r="AA341" s="3" t="s">
        <v>250</v>
      </c>
      <c r="AB341" s="3" t="s">
        <v>43</v>
      </c>
      <c r="AC341" s="3" t="s">
        <v>66</v>
      </c>
      <c r="AD341" s="3">
        <v>0</v>
      </c>
    </row>
    <row r="342" spans="1:30" x14ac:dyDescent="0.3">
      <c r="A342" s="3">
        <v>334</v>
      </c>
      <c r="B342" s="3" t="s">
        <v>248</v>
      </c>
      <c r="C342" s="3" t="s">
        <v>130</v>
      </c>
      <c r="D342" s="3" t="s">
        <v>66</v>
      </c>
      <c r="E342" s="3" t="s">
        <v>32</v>
      </c>
      <c r="F342" s="12">
        <v>45291</v>
      </c>
      <c r="G342" s="3">
        <v>2023</v>
      </c>
      <c r="H342" s="3" t="s">
        <v>44</v>
      </c>
      <c r="I342" s="3" t="s">
        <v>49</v>
      </c>
      <c r="J342" s="3"/>
      <c r="K342" s="3">
        <v>88</v>
      </c>
      <c r="L342" s="3">
        <v>88.39</v>
      </c>
      <c r="M342" s="3">
        <v>1.0044318181818179</v>
      </c>
      <c r="N342" s="3">
        <v>1.0044318181818179</v>
      </c>
      <c r="O342" s="3" t="s">
        <v>35</v>
      </c>
      <c r="P342" s="3" t="s">
        <v>245</v>
      </c>
      <c r="Q342" s="3" t="str">
        <f t="shared" si="50"/>
        <v>334-2023-12-31</v>
      </c>
      <c r="R342" s="3">
        <v>0</v>
      </c>
      <c r="S342" s="3">
        <v>1</v>
      </c>
      <c r="T342" s="3" t="s">
        <v>443</v>
      </c>
      <c r="U342" s="3" t="s">
        <v>37</v>
      </c>
      <c r="V342" s="3" t="s">
        <v>130</v>
      </c>
      <c r="W342" s="3" t="s">
        <v>60</v>
      </c>
      <c r="X342" s="3" t="s">
        <v>100</v>
      </c>
      <c r="Y342" s="3" t="s">
        <v>586</v>
      </c>
      <c r="Z342" s="3" t="s">
        <v>134</v>
      </c>
      <c r="AA342" s="3" t="s">
        <v>250</v>
      </c>
      <c r="AB342" s="3" t="s">
        <v>43</v>
      </c>
      <c r="AC342" s="3" t="s">
        <v>66</v>
      </c>
      <c r="AD342" s="3">
        <v>0</v>
      </c>
    </row>
    <row r="343" spans="1:30" x14ac:dyDescent="0.3">
      <c r="A343" s="3">
        <v>334</v>
      </c>
      <c r="B343" s="3" t="s">
        <v>248</v>
      </c>
      <c r="C343" s="3" t="s">
        <v>130</v>
      </c>
      <c r="D343" s="3" t="s">
        <v>66</v>
      </c>
      <c r="E343" s="3" t="s">
        <v>32</v>
      </c>
      <c r="F343" s="12">
        <v>45657</v>
      </c>
      <c r="G343" s="3">
        <v>2024</v>
      </c>
      <c r="H343" s="3" t="s">
        <v>44</v>
      </c>
      <c r="I343" s="3" t="s">
        <v>53</v>
      </c>
      <c r="J343" s="3">
        <v>2</v>
      </c>
      <c r="K343" s="3">
        <v>88</v>
      </c>
      <c r="L343" s="3">
        <v>88.84</v>
      </c>
      <c r="M343" s="3">
        <v>1.009545454545455</v>
      </c>
      <c r="N343" s="3">
        <v>1.009545454545455</v>
      </c>
      <c r="O343" s="3"/>
      <c r="P343" s="3"/>
      <c r="Q343" s="3" t="str">
        <f t="shared" si="50"/>
        <v>334-2024-12-31</v>
      </c>
      <c r="R343" s="3">
        <v>0</v>
      </c>
      <c r="S343" s="3">
        <v>0</v>
      </c>
      <c r="T343" s="3" t="s">
        <v>31</v>
      </c>
      <c r="U343" s="3" t="s">
        <v>37</v>
      </c>
      <c r="V343" s="3" t="s">
        <v>130</v>
      </c>
      <c r="W343" s="3" t="s">
        <v>60</v>
      </c>
      <c r="X343" s="3" t="s">
        <v>100</v>
      </c>
      <c r="Y343" s="3" t="s">
        <v>586</v>
      </c>
      <c r="Z343" s="3" t="s">
        <v>134</v>
      </c>
      <c r="AA343" s="3" t="s">
        <v>250</v>
      </c>
      <c r="AB343" s="3" t="s">
        <v>43</v>
      </c>
      <c r="AC343" s="3" t="s">
        <v>66</v>
      </c>
      <c r="AD343" s="3">
        <v>0</v>
      </c>
    </row>
    <row r="344" spans="1:30" x14ac:dyDescent="0.3">
      <c r="A344" s="3">
        <v>334</v>
      </c>
      <c r="B344" s="3" t="s">
        <v>248</v>
      </c>
      <c r="C344" s="3" t="s">
        <v>130</v>
      </c>
      <c r="D344" s="3" t="s">
        <v>66</v>
      </c>
      <c r="E344" s="3" t="s">
        <v>32</v>
      </c>
      <c r="F344" s="12">
        <v>45657</v>
      </c>
      <c r="G344" s="3">
        <v>2024</v>
      </c>
      <c r="H344" s="3" t="s">
        <v>44</v>
      </c>
      <c r="I344" s="3" t="s">
        <v>53</v>
      </c>
      <c r="J344" s="3"/>
      <c r="K344" s="3">
        <v>88</v>
      </c>
      <c r="L344" s="3">
        <v>88.84</v>
      </c>
      <c r="M344" s="3">
        <v>1.009545454545455</v>
      </c>
      <c r="N344" s="3">
        <v>1.009545454545455</v>
      </c>
      <c r="O344" s="3" t="s">
        <v>35</v>
      </c>
      <c r="P344" s="3" t="s">
        <v>245</v>
      </c>
      <c r="Q344" s="3" t="str">
        <f t="shared" si="50"/>
        <v>334-2024-12-31</v>
      </c>
      <c r="R344" s="3">
        <v>0</v>
      </c>
      <c r="S344" s="3">
        <v>1</v>
      </c>
      <c r="T344" s="3" t="s">
        <v>443</v>
      </c>
      <c r="U344" s="3" t="s">
        <v>37</v>
      </c>
      <c r="V344" s="3" t="s">
        <v>130</v>
      </c>
      <c r="W344" s="3" t="s">
        <v>60</v>
      </c>
      <c r="X344" s="3" t="s">
        <v>100</v>
      </c>
      <c r="Y344" s="3" t="s">
        <v>586</v>
      </c>
      <c r="Z344" s="3" t="s">
        <v>134</v>
      </c>
      <c r="AA344" s="3" t="s">
        <v>250</v>
      </c>
      <c r="AB344" s="3" t="s">
        <v>43</v>
      </c>
      <c r="AC344" s="3" t="s">
        <v>66</v>
      </c>
      <c r="AD344" s="3">
        <v>0</v>
      </c>
    </row>
    <row r="345" spans="1:30" x14ac:dyDescent="0.3">
      <c r="A345" s="3">
        <v>334</v>
      </c>
      <c r="B345" s="3" t="s">
        <v>248</v>
      </c>
      <c r="C345" s="3" t="s">
        <v>130</v>
      </c>
      <c r="D345" s="3" t="s">
        <v>66</v>
      </c>
      <c r="E345" s="3" t="s">
        <v>32</v>
      </c>
      <c r="F345" s="12">
        <v>46022</v>
      </c>
      <c r="G345" s="3">
        <v>2025</v>
      </c>
      <c r="H345" s="3" t="s">
        <v>44</v>
      </c>
      <c r="I345" s="3" t="s">
        <v>465</v>
      </c>
      <c r="J345" s="3">
        <v>2</v>
      </c>
      <c r="K345" s="3">
        <v>89</v>
      </c>
      <c r="L345" s="3">
        <v>89</v>
      </c>
      <c r="M345" s="3">
        <v>1</v>
      </c>
      <c r="N345" s="3">
        <v>1</v>
      </c>
      <c r="O345" s="3" t="s">
        <v>35</v>
      </c>
      <c r="P345" s="3" t="s">
        <v>245</v>
      </c>
      <c r="Q345" s="3" t="str">
        <f t="shared" si="50"/>
        <v>334-2025-12-31</v>
      </c>
      <c r="R345" s="3">
        <v>0</v>
      </c>
      <c r="S345" s="3">
        <v>1</v>
      </c>
      <c r="T345" s="3" t="s">
        <v>31</v>
      </c>
      <c r="U345" s="3" t="s">
        <v>37</v>
      </c>
      <c r="V345" s="3" t="s">
        <v>130</v>
      </c>
      <c r="W345" s="3" t="s">
        <v>60</v>
      </c>
      <c r="X345" s="3" t="s">
        <v>100</v>
      </c>
      <c r="Y345" s="3" t="s">
        <v>586</v>
      </c>
      <c r="Z345" s="3" t="s">
        <v>134</v>
      </c>
      <c r="AA345" s="3" t="s">
        <v>250</v>
      </c>
      <c r="AB345" s="3" t="s">
        <v>43</v>
      </c>
      <c r="AC345" s="3" t="s">
        <v>66</v>
      </c>
      <c r="AD345" s="3">
        <v>0</v>
      </c>
    </row>
    <row r="346" spans="1:30" x14ac:dyDescent="0.3">
      <c r="A346" s="3">
        <v>335</v>
      </c>
      <c r="B346" s="3" t="s">
        <v>252</v>
      </c>
      <c r="C346" s="3" t="s">
        <v>130</v>
      </c>
      <c r="D346" s="3" t="s">
        <v>66</v>
      </c>
      <c r="E346" s="3" t="s">
        <v>32</v>
      </c>
      <c r="F346" s="12">
        <v>45291</v>
      </c>
      <c r="G346" s="3">
        <v>2023</v>
      </c>
      <c r="H346" s="3" t="s">
        <v>44</v>
      </c>
      <c r="I346" s="3" t="s">
        <v>49</v>
      </c>
      <c r="J346" s="3">
        <v>2</v>
      </c>
      <c r="K346" s="3">
        <v>80</v>
      </c>
      <c r="L346" s="3">
        <v>93.85</v>
      </c>
      <c r="M346" s="3">
        <v>1.173125</v>
      </c>
      <c r="N346" s="3">
        <v>1.173125</v>
      </c>
      <c r="O346" s="3" t="s">
        <v>58</v>
      </c>
      <c r="P346" s="3" t="s">
        <v>58</v>
      </c>
      <c r="Q346" s="3" t="str">
        <f t="shared" si="50"/>
        <v>335-2023-12-31</v>
      </c>
      <c r="R346" s="3">
        <v>0</v>
      </c>
      <c r="S346" s="3">
        <v>0</v>
      </c>
      <c r="T346" s="3" t="s">
        <v>31</v>
      </c>
      <c r="U346" s="3" t="s">
        <v>37</v>
      </c>
      <c r="V346" s="3" t="s">
        <v>130</v>
      </c>
      <c r="W346" s="3" t="s">
        <v>60</v>
      </c>
      <c r="X346" s="3" t="s">
        <v>100</v>
      </c>
      <c r="Y346" s="3" t="s">
        <v>586</v>
      </c>
      <c r="Z346" s="3" t="s">
        <v>134</v>
      </c>
      <c r="AA346" s="3" t="s">
        <v>135</v>
      </c>
      <c r="AB346" s="3" t="s">
        <v>43</v>
      </c>
      <c r="AC346" s="3" t="s">
        <v>66</v>
      </c>
      <c r="AD346" s="3">
        <v>0</v>
      </c>
    </row>
    <row r="347" spans="1:30" x14ac:dyDescent="0.3">
      <c r="A347" s="3">
        <v>335</v>
      </c>
      <c r="B347" s="3" t="s">
        <v>252</v>
      </c>
      <c r="C347" s="3" t="s">
        <v>130</v>
      </c>
      <c r="D347" s="3" t="s">
        <v>66</v>
      </c>
      <c r="E347" s="3" t="s">
        <v>32</v>
      </c>
      <c r="F347" s="12">
        <v>45291</v>
      </c>
      <c r="G347" s="3">
        <v>2023</v>
      </c>
      <c r="H347" s="3" t="s">
        <v>44</v>
      </c>
      <c r="I347" s="3" t="s">
        <v>49</v>
      </c>
      <c r="J347" s="3"/>
      <c r="K347" s="3">
        <v>80</v>
      </c>
      <c r="L347" s="3">
        <v>93.85</v>
      </c>
      <c r="M347" s="3">
        <v>1.173125</v>
      </c>
      <c r="N347" s="3">
        <v>1.173125</v>
      </c>
      <c r="O347" s="3" t="s">
        <v>58</v>
      </c>
      <c r="P347" s="3" t="s">
        <v>58</v>
      </c>
      <c r="Q347" s="3" t="str">
        <f t="shared" si="50"/>
        <v>335-2023-12-31</v>
      </c>
      <c r="R347" s="3">
        <v>0</v>
      </c>
      <c r="S347" s="3">
        <v>0</v>
      </c>
      <c r="T347" s="3" t="s">
        <v>443</v>
      </c>
      <c r="U347" s="3" t="s">
        <v>37</v>
      </c>
      <c r="V347" s="3" t="s">
        <v>130</v>
      </c>
      <c r="W347" s="3" t="s">
        <v>60</v>
      </c>
      <c r="X347" s="3" t="s">
        <v>100</v>
      </c>
      <c r="Y347" s="3" t="s">
        <v>586</v>
      </c>
      <c r="Z347" s="3" t="s">
        <v>134</v>
      </c>
      <c r="AA347" s="3" t="s">
        <v>135</v>
      </c>
      <c r="AB347" s="3" t="s">
        <v>43</v>
      </c>
      <c r="AC347" s="3" t="s">
        <v>66</v>
      </c>
      <c r="AD347" s="3">
        <v>0</v>
      </c>
    </row>
    <row r="348" spans="1:30" x14ac:dyDescent="0.3">
      <c r="A348" s="3">
        <v>335</v>
      </c>
      <c r="B348" s="3" t="s">
        <v>252</v>
      </c>
      <c r="C348" s="3" t="s">
        <v>130</v>
      </c>
      <c r="D348" s="3" t="s">
        <v>66</v>
      </c>
      <c r="E348" s="3" t="s">
        <v>32</v>
      </c>
      <c r="F348" s="12">
        <v>45657</v>
      </c>
      <c r="G348" s="3">
        <v>2024</v>
      </c>
      <c r="H348" s="3" t="s">
        <v>44</v>
      </c>
      <c r="I348" s="3" t="s">
        <v>53</v>
      </c>
      <c r="J348" s="3">
        <v>2</v>
      </c>
      <c r="K348" s="3">
        <v>82</v>
      </c>
      <c r="L348" s="3">
        <v>80.95</v>
      </c>
      <c r="M348" s="3">
        <v>0.9871951219512195</v>
      </c>
      <c r="N348" s="3">
        <v>0.9871951219512195</v>
      </c>
      <c r="O348" s="3" t="s">
        <v>58</v>
      </c>
      <c r="P348" s="3" t="s">
        <v>58</v>
      </c>
      <c r="Q348" s="3" t="str">
        <f t="shared" si="50"/>
        <v>335-2024-12-31</v>
      </c>
      <c r="R348" s="3">
        <v>0</v>
      </c>
      <c r="S348" s="3">
        <v>0</v>
      </c>
      <c r="T348" s="3" t="s">
        <v>31</v>
      </c>
      <c r="U348" s="3" t="s">
        <v>37</v>
      </c>
      <c r="V348" s="3" t="s">
        <v>130</v>
      </c>
      <c r="W348" s="3" t="s">
        <v>60</v>
      </c>
      <c r="X348" s="3" t="s">
        <v>100</v>
      </c>
      <c r="Y348" s="3" t="s">
        <v>586</v>
      </c>
      <c r="Z348" s="3" t="s">
        <v>134</v>
      </c>
      <c r="AA348" s="3" t="s">
        <v>135</v>
      </c>
      <c r="AB348" s="3" t="s">
        <v>43</v>
      </c>
      <c r="AC348" s="3" t="s">
        <v>66</v>
      </c>
      <c r="AD348" s="3">
        <v>0</v>
      </c>
    </row>
    <row r="349" spans="1:30" x14ac:dyDescent="0.3">
      <c r="A349" s="3">
        <v>335</v>
      </c>
      <c r="B349" s="3" t="s">
        <v>252</v>
      </c>
      <c r="C349" s="3" t="s">
        <v>130</v>
      </c>
      <c r="D349" s="3" t="s">
        <v>66</v>
      </c>
      <c r="E349" s="3" t="s">
        <v>32</v>
      </c>
      <c r="F349" s="12">
        <v>45657</v>
      </c>
      <c r="G349" s="3">
        <v>2024</v>
      </c>
      <c r="H349" s="3" t="s">
        <v>44</v>
      </c>
      <c r="I349" s="3" t="s">
        <v>53</v>
      </c>
      <c r="J349" s="3"/>
      <c r="K349" s="3">
        <v>82</v>
      </c>
      <c r="L349" s="3">
        <v>80.95</v>
      </c>
      <c r="M349" s="3">
        <v>0.9871951219512195</v>
      </c>
      <c r="N349" s="3">
        <v>0.9871951219512195</v>
      </c>
      <c r="O349" s="3" t="s">
        <v>58</v>
      </c>
      <c r="P349" s="3" t="s">
        <v>58</v>
      </c>
      <c r="Q349" s="3" t="str">
        <f t="shared" si="50"/>
        <v>335-2024-12-31</v>
      </c>
      <c r="R349" s="3">
        <v>0</v>
      </c>
      <c r="S349" s="3">
        <v>0</v>
      </c>
      <c r="T349" s="3" t="s">
        <v>443</v>
      </c>
      <c r="U349" s="3" t="s">
        <v>37</v>
      </c>
      <c r="V349" s="3" t="s">
        <v>130</v>
      </c>
      <c r="W349" s="3" t="s">
        <v>60</v>
      </c>
      <c r="X349" s="3" t="s">
        <v>100</v>
      </c>
      <c r="Y349" s="3" t="s">
        <v>586</v>
      </c>
      <c r="Z349" s="3" t="s">
        <v>134</v>
      </c>
      <c r="AA349" s="3" t="s">
        <v>135</v>
      </c>
      <c r="AB349" s="3" t="s">
        <v>43</v>
      </c>
      <c r="AC349" s="3" t="s">
        <v>66</v>
      </c>
      <c r="AD349" s="3">
        <v>0</v>
      </c>
    </row>
    <row r="350" spans="1:30" x14ac:dyDescent="0.3">
      <c r="A350" s="3">
        <v>335</v>
      </c>
      <c r="B350" s="3" t="s">
        <v>252</v>
      </c>
      <c r="C350" s="3" t="s">
        <v>130</v>
      </c>
      <c r="D350" s="3" t="s">
        <v>66</v>
      </c>
      <c r="E350" s="3" t="s">
        <v>32</v>
      </c>
      <c r="F350" s="12">
        <v>46022</v>
      </c>
      <c r="G350" s="3">
        <v>2025</v>
      </c>
      <c r="H350" s="3" t="s">
        <v>44</v>
      </c>
      <c r="I350" s="3" t="s">
        <v>465</v>
      </c>
      <c r="J350" s="3"/>
      <c r="K350" s="3">
        <v>82</v>
      </c>
      <c r="L350" s="3">
        <v>80.95</v>
      </c>
      <c r="M350" s="3">
        <v>0.9871951219512195</v>
      </c>
      <c r="N350" s="3">
        <v>0.9871951219512195</v>
      </c>
      <c r="O350" s="3" t="s">
        <v>58</v>
      </c>
      <c r="P350" s="3" t="s">
        <v>58</v>
      </c>
      <c r="Q350" s="3" t="str">
        <f t="shared" si="50"/>
        <v>335-2025-12-31</v>
      </c>
      <c r="R350" s="3">
        <v>0</v>
      </c>
      <c r="S350" s="3">
        <v>0</v>
      </c>
      <c r="T350" s="3" t="s">
        <v>443</v>
      </c>
      <c r="U350" s="3" t="s">
        <v>37</v>
      </c>
      <c r="V350" s="3" t="s">
        <v>130</v>
      </c>
      <c r="W350" s="3" t="s">
        <v>60</v>
      </c>
      <c r="X350" s="3" t="s">
        <v>100</v>
      </c>
      <c r="Y350" s="3" t="s">
        <v>586</v>
      </c>
      <c r="Z350" s="3" t="s">
        <v>134</v>
      </c>
      <c r="AA350" s="3" t="s">
        <v>135</v>
      </c>
      <c r="AB350" s="3" t="s">
        <v>43</v>
      </c>
      <c r="AC350" s="3" t="s">
        <v>66</v>
      </c>
      <c r="AD350" s="3">
        <v>0</v>
      </c>
    </row>
    <row r="351" spans="1:30" x14ac:dyDescent="0.3">
      <c r="A351" s="3">
        <v>339</v>
      </c>
      <c r="B351" s="3" t="s">
        <v>482</v>
      </c>
      <c r="C351" s="3" t="s">
        <v>256</v>
      </c>
      <c r="D351" s="3" t="s">
        <v>66</v>
      </c>
      <c r="E351" s="3" t="s">
        <v>32</v>
      </c>
      <c r="F351" s="12">
        <v>44926</v>
      </c>
      <c r="G351" s="3">
        <v>2022</v>
      </c>
      <c r="H351" s="3" t="s">
        <v>44</v>
      </c>
      <c r="I351" s="3" t="s">
        <v>45</v>
      </c>
      <c r="J351" s="3">
        <v>2</v>
      </c>
      <c r="K351" s="3">
        <v>22</v>
      </c>
      <c r="L351" s="3">
        <v>21.6</v>
      </c>
      <c r="M351" s="3">
        <f>+L351/K351</f>
        <v>0.98181818181818192</v>
      </c>
      <c r="N351" s="3">
        <f>+L351/K351</f>
        <v>0.98181818181818192</v>
      </c>
      <c r="O351" s="3" t="s">
        <v>58</v>
      </c>
      <c r="P351" s="3" t="s">
        <v>58</v>
      </c>
      <c r="Q351" s="3" t="str">
        <f t="shared" si="50"/>
        <v>339-2022-12-31</v>
      </c>
      <c r="R351" s="3">
        <v>0</v>
      </c>
      <c r="S351" s="3">
        <v>1</v>
      </c>
      <c r="T351" s="3" t="s">
        <v>31</v>
      </c>
      <c r="U351" s="3" t="s">
        <v>37</v>
      </c>
      <c r="V351" s="3" t="s">
        <v>256</v>
      </c>
      <c r="W351" s="3" t="s">
        <v>73</v>
      </c>
      <c r="X351" s="3" t="s">
        <v>74</v>
      </c>
      <c r="Y351" s="3" t="s">
        <v>585</v>
      </c>
      <c r="Z351" s="3" t="s">
        <v>86</v>
      </c>
      <c r="AA351" s="3" t="s">
        <v>87</v>
      </c>
      <c r="AB351" s="3" t="s">
        <v>43</v>
      </c>
      <c r="AC351" s="3" t="s">
        <v>66</v>
      </c>
      <c r="AD351" s="3">
        <v>0</v>
      </c>
    </row>
    <row r="352" spans="1:30" x14ac:dyDescent="0.3">
      <c r="A352" s="3">
        <v>339</v>
      </c>
      <c r="B352" s="3" t="s">
        <v>482</v>
      </c>
      <c r="C352" s="3" t="s">
        <v>256</v>
      </c>
      <c r="D352" s="3" t="s">
        <v>66</v>
      </c>
      <c r="E352" s="3" t="s">
        <v>32</v>
      </c>
      <c r="F352" s="12">
        <v>44926</v>
      </c>
      <c r="G352" s="3">
        <v>2022</v>
      </c>
      <c r="H352" s="3" t="s">
        <v>44</v>
      </c>
      <c r="I352" s="3" t="s">
        <v>45</v>
      </c>
      <c r="J352" s="3"/>
      <c r="K352" s="3">
        <v>22</v>
      </c>
      <c r="L352" s="3">
        <v>21.6</v>
      </c>
      <c r="M352" s="3">
        <f>+L352/K352</f>
        <v>0.98181818181818192</v>
      </c>
      <c r="N352" s="3">
        <f>+L352/K352</f>
        <v>0.98181818181818192</v>
      </c>
      <c r="O352" s="3" t="s">
        <v>58</v>
      </c>
      <c r="P352" s="3" t="s">
        <v>58</v>
      </c>
      <c r="Q352" s="3" t="str">
        <f t="shared" si="50"/>
        <v>339-2022-12-31</v>
      </c>
      <c r="R352" s="3">
        <v>0</v>
      </c>
      <c r="S352" s="3">
        <v>1</v>
      </c>
      <c r="T352" s="3" t="s">
        <v>443</v>
      </c>
      <c r="U352" s="3" t="s">
        <v>37</v>
      </c>
      <c r="V352" s="3" t="s">
        <v>256</v>
      </c>
      <c r="W352" s="3" t="s">
        <v>73</v>
      </c>
      <c r="X352" s="3" t="s">
        <v>74</v>
      </c>
      <c r="Y352" s="3" t="s">
        <v>585</v>
      </c>
      <c r="Z352" s="3" t="s">
        <v>86</v>
      </c>
      <c r="AA352" s="3" t="s">
        <v>87</v>
      </c>
      <c r="AB352" s="3" t="s">
        <v>43</v>
      </c>
      <c r="AC352" s="3" t="s">
        <v>66</v>
      </c>
      <c r="AD352" s="3">
        <v>0</v>
      </c>
    </row>
    <row r="353" spans="1:30" x14ac:dyDescent="0.3">
      <c r="A353" s="3">
        <v>339</v>
      </c>
      <c r="B353" s="3" t="s">
        <v>482</v>
      </c>
      <c r="C353" s="3" t="s">
        <v>256</v>
      </c>
      <c r="D353" s="3" t="s">
        <v>66</v>
      </c>
      <c r="E353" s="3" t="s">
        <v>32</v>
      </c>
      <c r="F353" s="12">
        <v>45291</v>
      </c>
      <c r="G353" s="3">
        <v>2023</v>
      </c>
      <c r="H353" s="3" t="s">
        <v>44</v>
      </c>
      <c r="I353" s="3" t="s">
        <v>49</v>
      </c>
      <c r="J353" s="3">
        <v>2</v>
      </c>
      <c r="K353" s="3">
        <v>30</v>
      </c>
      <c r="L353" s="3">
        <v>28.57</v>
      </c>
      <c r="M353" s="3">
        <v>0.95233333333333337</v>
      </c>
      <c r="N353" s="3">
        <v>0.95233333333333337</v>
      </c>
      <c r="O353" s="3" t="s">
        <v>58</v>
      </c>
      <c r="P353" s="3" t="s">
        <v>58</v>
      </c>
      <c r="Q353" s="3" t="str">
        <f t="shared" si="50"/>
        <v>339-2023-12-31</v>
      </c>
      <c r="R353" s="3">
        <v>0</v>
      </c>
      <c r="S353" s="3">
        <v>1</v>
      </c>
      <c r="T353" s="3" t="s">
        <v>31</v>
      </c>
      <c r="U353" s="3" t="s">
        <v>37</v>
      </c>
      <c r="V353" s="3" t="s">
        <v>256</v>
      </c>
      <c r="W353" s="3" t="s">
        <v>73</v>
      </c>
      <c r="X353" s="3" t="s">
        <v>74</v>
      </c>
      <c r="Y353" s="3" t="s">
        <v>585</v>
      </c>
      <c r="Z353" s="3" t="s">
        <v>86</v>
      </c>
      <c r="AA353" s="3" t="s">
        <v>87</v>
      </c>
      <c r="AB353" s="3" t="s">
        <v>43</v>
      </c>
      <c r="AC353" s="3" t="s">
        <v>66</v>
      </c>
      <c r="AD353" s="3">
        <v>0</v>
      </c>
    </row>
    <row r="354" spans="1:30" x14ac:dyDescent="0.3">
      <c r="A354" s="3">
        <v>339</v>
      </c>
      <c r="B354" s="3" t="s">
        <v>482</v>
      </c>
      <c r="C354" s="3" t="s">
        <v>256</v>
      </c>
      <c r="D354" s="3" t="s">
        <v>66</v>
      </c>
      <c r="E354" s="3" t="s">
        <v>32</v>
      </c>
      <c r="F354" s="12">
        <v>45291</v>
      </c>
      <c r="G354" s="3">
        <v>2023</v>
      </c>
      <c r="H354" s="3" t="s">
        <v>44</v>
      </c>
      <c r="I354" s="3" t="s">
        <v>49</v>
      </c>
      <c r="J354" s="3"/>
      <c r="K354" s="3">
        <v>30</v>
      </c>
      <c r="L354" s="3">
        <v>28.57</v>
      </c>
      <c r="M354" s="3">
        <v>0.95233333333333337</v>
      </c>
      <c r="N354" s="3">
        <v>0.95233333333333337</v>
      </c>
      <c r="O354" s="3" t="s">
        <v>58</v>
      </c>
      <c r="P354" s="3" t="s">
        <v>58</v>
      </c>
      <c r="Q354" s="3" t="str">
        <f t="shared" si="50"/>
        <v>339-2023-12-31</v>
      </c>
      <c r="R354" s="3">
        <v>0</v>
      </c>
      <c r="S354" s="3">
        <v>1</v>
      </c>
      <c r="T354" s="3" t="s">
        <v>443</v>
      </c>
      <c r="U354" s="3" t="s">
        <v>37</v>
      </c>
      <c r="V354" s="3" t="s">
        <v>256</v>
      </c>
      <c r="W354" s="3" t="s">
        <v>73</v>
      </c>
      <c r="X354" s="3" t="s">
        <v>74</v>
      </c>
      <c r="Y354" s="3" t="s">
        <v>585</v>
      </c>
      <c r="Z354" s="3" t="s">
        <v>86</v>
      </c>
      <c r="AA354" s="3" t="s">
        <v>87</v>
      </c>
      <c r="AB354" s="3" t="s">
        <v>43</v>
      </c>
      <c r="AC354" s="3" t="s">
        <v>66</v>
      </c>
      <c r="AD354" s="3">
        <v>0</v>
      </c>
    </row>
    <row r="355" spans="1:30" x14ac:dyDescent="0.3">
      <c r="A355" s="3">
        <v>339</v>
      </c>
      <c r="B355" s="3" t="s">
        <v>482</v>
      </c>
      <c r="C355" s="3" t="s">
        <v>256</v>
      </c>
      <c r="D355" s="3" t="s">
        <v>66</v>
      </c>
      <c r="E355" s="3" t="s">
        <v>32</v>
      </c>
      <c r="F355" s="12">
        <v>45657</v>
      </c>
      <c r="G355" s="3">
        <v>2024</v>
      </c>
      <c r="H355" s="3" t="s">
        <v>44</v>
      </c>
      <c r="I355" s="3" t="s">
        <v>53</v>
      </c>
      <c r="J355" s="3">
        <v>2</v>
      </c>
      <c r="K355" s="3">
        <v>30</v>
      </c>
      <c r="L355" s="3">
        <v>30.3</v>
      </c>
      <c r="M355" s="3">
        <v>1.01</v>
      </c>
      <c r="N355" s="3">
        <v>1.01</v>
      </c>
      <c r="O355" s="3" t="s">
        <v>58</v>
      </c>
      <c r="P355" s="3" t="s">
        <v>58</v>
      </c>
      <c r="Q355" s="3" t="str">
        <f t="shared" si="50"/>
        <v>339-2024-12-31</v>
      </c>
      <c r="R355" s="3">
        <v>0</v>
      </c>
      <c r="S355" s="3">
        <v>1</v>
      </c>
      <c r="T355" s="3" t="s">
        <v>31</v>
      </c>
      <c r="U355" s="3" t="s">
        <v>37</v>
      </c>
      <c r="V355" s="3" t="s">
        <v>256</v>
      </c>
      <c r="W355" s="3" t="s">
        <v>73</v>
      </c>
      <c r="X355" s="3" t="s">
        <v>74</v>
      </c>
      <c r="Y355" s="3" t="s">
        <v>585</v>
      </c>
      <c r="Z355" s="3" t="s">
        <v>86</v>
      </c>
      <c r="AA355" s="3" t="s">
        <v>87</v>
      </c>
      <c r="AB355" s="3" t="s">
        <v>43</v>
      </c>
      <c r="AC355" s="3" t="s">
        <v>66</v>
      </c>
      <c r="AD355" s="3">
        <v>0</v>
      </c>
    </row>
    <row r="356" spans="1:30" x14ac:dyDescent="0.3">
      <c r="A356" s="3">
        <v>339</v>
      </c>
      <c r="B356" s="3" t="s">
        <v>482</v>
      </c>
      <c r="C356" s="3" t="s">
        <v>256</v>
      </c>
      <c r="D356" s="3" t="s">
        <v>66</v>
      </c>
      <c r="E356" s="3" t="s">
        <v>32</v>
      </c>
      <c r="F356" s="12">
        <v>45657</v>
      </c>
      <c r="G356" s="3">
        <v>2024</v>
      </c>
      <c r="H356" s="3" t="s">
        <v>44</v>
      </c>
      <c r="I356" s="3" t="s">
        <v>53</v>
      </c>
      <c r="J356" s="3"/>
      <c r="K356" s="3">
        <v>30</v>
      </c>
      <c r="L356" s="3">
        <v>30.3</v>
      </c>
      <c r="M356" s="3">
        <v>1.01</v>
      </c>
      <c r="N356" s="3">
        <v>1.01</v>
      </c>
      <c r="O356" s="3" t="s">
        <v>58</v>
      </c>
      <c r="P356" s="3" t="s">
        <v>58</v>
      </c>
      <c r="Q356" s="3" t="str">
        <f t="shared" si="50"/>
        <v>339-2024-12-31</v>
      </c>
      <c r="R356" s="3">
        <v>0</v>
      </c>
      <c r="S356" s="3">
        <v>1</v>
      </c>
      <c r="T356" s="3" t="s">
        <v>443</v>
      </c>
      <c r="U356" s="3" t="s">
        <v>37</v>
      </c>
      <c r="V356" s="3" t="s">
        <v>256</v>
      </c>
      <c r="W356" s="3" t="s">
        <v>73</v>
      </c>
      <c r="X356" s="3" t="s">
        <v>74</v>
      </c>
      <c r="Y356" s="3" t="s">
        <v>585</v>
      </c>
      <c r="Z356" s="3" t="s">
        <v>86</v>
      </c>
      <c r="AA356" s="3" t="s">
        <v>87</v>
      </c>
      <c r="AB356" s="3" t="s">
        <v>43</v>
      </c>
      <c r="AC356" s="3" t="s">
        <v>66</v>
      </c>
      <c r="AD356" s="3">
        <v>0</v>
      </c>
    </row>
    <row r="357" spans="1:30" x14ac:dyDescent="0.3">
      <c r="A357" s="3">
        <v>339</v>
      </c>
      <c r="B357" s="3" t="s">
        <v>482</v>
      </c>
      <c r="C357" s="3" t="s">
        <v>256</v>
      </c>
      <c r="D357" s="3" t="s">
        <v>66</v>
      </c>
      <c r="E357" s="3" t="s">
        <v>32</v>
      </c>
      <c r="F357" s="12">
        <v>45838</v>
      </c>
      <c r="G357" s="3">
        <v>2025</v>
      </c>
      <c r="H357" s="3" t="s">
        <v>33</v>
      </c>
      <c r="I357" s="3" t="s">
        <v>404</v>
      </c>
      <c r="J357" s="3">
        <v>1</v>
      </c>
      <c r="K357" s="3">
        <v>30</v>
      </c>
      <c r="L357" s="3">
        <v>33.299999999999997</v>
      </c>
      <c r="M357" s="3">
        <v>1.1100000000000001</v>
      </c>
      <c r="N357" s="3">
        <v>1.1100000000000001</v>
      </c>
      <c r="O357" s="3" t="s">
        <v>58</v>
      </c>
      <c r="P357" s="3" t="s">
        <v>58</v>
      </c>
      <c r="Q357" s="3" t="str">
        <f t="shared" si="50"/>
        <v>339-2025-06-30</v>
      </c>
      <c r="R357" s="3">
        <v>0</v>
      </c>
      <c r="S357" s="3">
        <v>1</v>
      </c>
      <c r="T357" s="3" t="s">
        <v>31</v>
      </c>
      <c r="U357" s="3" t="s">
        <v>37</v>
      </c>
      <c r="V357" s="3" t="s">
        <v>256</v>
      </c>
      <c r="W357" s="3" t="s">
        <v>73</v>
      </c>
      <c r="X357" s="3" t="s">
        <v>74</v>
      </c>
      <c r="Y357" s="3" t="s">
        <v>585</v>
      </c>
      <c r="Z357" s="3" t="s">
        <v>86</v>
      </c>
      <c r="AA357" s="3" t="s">
        <v>87</v>
      </c>
      <c r="AB357" s="3" t="s">
        <v>43</v>
      </c>
      <c r="AC357" s="3" t="s">
        <v>66</v>
      </c>
      <c r="AD357" s="3">
        <v>0</v>
      </c>
    </row>
    <row r="358" spans="1:30" x14ac:dyDescent="0.3">
      <c r="A358" s="3">
        <v>339</v>
      </c>
      <c r="B358" s="3" t="s">
        <v>482</v>
      </c>
      <c r="C358" s="3" t="s">
        <v>256</v>
      </c>
      <c r="D358" s="3" t="s">
        <v>66</v>
      </c>
      <c r="E358" s="3" t="s">
        <v>32</v>
      </c>
      <c r="F358" s="12">
        <v>45838</v>
      </c>
      <c r="G358" s="3">
        <v>2025</v>
      </c>
      <c r="H358" s="3" t="s">
        <v>33</v>
      </c>
      <c r="I358" s="3" t="s">
        <v>404</v>
      </c>
      <c r="J358" s="3"/>
      <c r="K358" s="3">
        <v>30</v>
      </c>
      <c r="L358" s="3">
        <v>33.299999999999997</v>
      </c>
      <c r="M358" s="3">
        <v>1.1100000000000001</v>
      </c>
      <c r="N358" s="3">
        <v>1.1100000000000001</v>
      </c>
      <c r="O358" s="3" t="s">
        <v>58</v>
      </c>
      <c r="P358" s="3" t="s">
        <v>58</v>
      </c>
      <c r="Q358" s="3" t="str">
        <f t="shared" si="50"/>
        <v>339-2025-06-30</v>
      </c>
      <c r="R358" s="3">
        <v>0</v>
      </c>
      <c r="S358" s="3">
        <v>1</v>
      </c>
      <c r="T358" s="3" t="s">
        <v>443</v>
      </c>
      <c r="U358" s="3" t="s">
        <v>37</v>
      </c>
      <c r="V358" s="3" t="s">
        <v>256</v>
      </c>
      <c r="W358" s="3" t="s">
        <v>73</v>
      </c>
      <c r="X358" s="3" t="s">
        <v>74</v>
      </c>
      <c r="Y358" s="3" t="s">
        <v>585</v>
      </c>
      <c r="Z358" s="3" t="s">
        <v>86</v>
      </c>
      <c r="AA358" s="3" t="s">
        <v>87</v>
      </c>
      <c r="AB358" s="3" t="s">
        <v>43</v>
      </c>
      <c r="AC358" s="3" t="s">
        <v>66</v>
      </c>
      <c r="AD358" s="3">
        <v>0</v>
      </c>
    </row>
    <row r="359" spans="1:30" x14ac:dyDescent="0.3">
      <c r="A359" s="3">
        <v>361</v>
      </c>
      <c r="B359" s="3" t="s">
        <v>479</v>
      </c>
      <c r="C359" s="3" t="s">
        <v>267</v>
      </c>
      <c r="D359" s="3" t="s">
        <v>66</v>
      </c>
      <c r="E359" s="3" t="s">
        <v>32</v>
      </c>
      <c r="F359" s="12">
        <v>44561</v>
      </c>
      <c r="G359" s="3">
        <f>YEAR(F359)</f>
        <v>2021</v>
      </c>
      <c r="H359" s="3" t="str">
        <f>PROPER(TEXT(F359,"mmmm"))</f>
        <v>Diciembre</v>
      </c>
      <c r="I359" s="3" t="str">
        <f>IF(H359="Junio",G359&amp;"-1",G359&amp;"-2")</f>
        <v>2021-2</v>
      </c>
      <c r="J359" s="3"/>
      <c r="K359" s="3"/>
      <c r="L359" s="3">
        <v>4.4000000000000004</v>
      </c>
      <c r="M359" s="3"/>
      <c r="N359" s="3"/>
      <c r="O359" s="3" t="s">
        <v>245</v>
      </c>
      <c r="P359" s="3" t="s">
        <v>245</v>
      </c>
      <c r="Q359" s="3" t="str">
        <f t="shared" si="50"/>
        <v>361-2021-12-31</v>
      </c>
      <c r="R359" s="3">
        <v>1</v>
      </c>
      <c r="S359" s="3">
        <v>2</v>
      </c>
      <c r="T359" s="3" t="s">
        <v>31</v>
      </c>
      <c r="U359" s="3" t="s">
        <v>37</v>
      </c>
      <c r="V359" s="3" t="s">
        <v>267</v>
      </c>
      <c r="W359" s="3" t="s">
        <v>145</v>
      </c>
      <c r="X359" s="3" t="s">
        <v>179</v>
      </c>
      <c r="Y359" s="3" t="s">
        <v>269</v>
      </c>
      <c r="Z359" s="3" t="s">
        <v>41</v>
      </c>
      <c r="AA359" s="3" t="s">
        <v>124</v>
      </c>
      <c r="AB359" s="3" t="s">
        <v>43</v>
      </c>
      <c r="AC359" s="3" t="s">
        <v>66</v>
      </c>
      <c r="AD359" s="3">
        <v>0</v>
      </c>
    </row>
    <row r="360" spans="1:30" x14ac:dyDescent="0.3">
      <c r="A360" s="3">
        <v>361</v>
      </c>
      <c r="B360" s="3" t="s">
        <v>479</v>
      </c>
      <c r="C360" s="3" t="s">
        <v>267</v>
      </c>
      <c r="D360" s="3" t="s">
        <v>66</v>
      </c>
      <c r="E360" s="3" t="s">
        <v>32</v>
      </c>
      <c r="F360" s="12">
        <v>45291</v>
      </c>
      <c r="G360" s="3">
        <v>2023</v>
      </c>
      <c r="H360" s="3" t="s">
        <v>44</v>
      </c>
      <c r="I360" s="3" t="s">
        <v>49</v>
      </c>
      <c r="J360" s="3">
        <v>2</v>
      </c>
      <c r="K360" s="3">
        <v>4.5</v>
      </c>
      <c r="L360" s="3">
        <v>4.5599999999999996</v>
      </c>
      <c r="M360" s="3">
        <v>1.013333333333333</v>
      </c>
      <c r="N360" s="3">
        <v>1.013333333333333</v>
      </c>
      <c r="O360" s="3" t="s">
        <v>245</v>
      </c>
      <c r="P360" s="3" t="s">
        <v>245</v>
      </c>
      <c r="Q360" s="3" t="str">
        <f t="shared" si="50"/>
        <v>361-2023-12-31</v>
      </c>
      <c r="R360" s="3">
        <v>2</v>
      </c>
      <c r="S360" s="3">
        <v>2</v>
      </c>
      <c r="T360" s="3" t="s">
        <v>31</v>
      </c>
      <c r="U360" s="3" t="s">
        <v>37</v>
      </c>
      <c r="V360" s="3" t="s">
        <v>267</v>
      </c>
      <c r="W360" s="3" t="s">
        <v>145</v>
      </c>
      <c r="X360" s="3" t="s">
        <v>179</v>
      </c>
      <c r="Y360" s="3" t="s">
        <v>269</v>
      </c>
      <c r="Z360" s="3" t="s">
        <v>41</v>
      </c>
      <c r="AA360" s="3" t="s">
        <v>124</v>
      </c>
      <c r="AB360" s="3" t="s">
        <v>43</v>
      </c>
      <c r="AC360" s="3" t="s">
        <v>66</v>
      </c>
      <c r="AD360" s="3">
        <v>0</v>
      </c>
    </row>
    <row r="361" spans="1:30" x14ac:dyDescent="0.3">
      <c r="A361" s="3">
        <v>361</v>
      </c>
      <c r="B361" s="3" t="s">
        <v>479</v>
      </c>
      <c r="C361" s="3" t="s">
        <v>267</v>
      </c>
      <c r="D361" s="3" t="s">
        <v>66</v>
      </c>
      <c r="E361" s="3" t="s">
        <v>32</v>
      </c>
      <c r="F361" s="12">
        <v>45291</v>
      </c>
      <c r="G361" s="3">
        <v>2023</v>
      </c>
      <c r="H361" s="3" t="s">
        <v>44</v>
      </c>
      <c r="I361" s="3" t="s">
        <v>49</v>
      </c>
      <c r="J361" s="3"/>
      <c r="K361" s="3">
        <v>4.5</v>
      </c>
      <c r="L361" s="3">
        <v>4.5599999999999996</v>
      </c>
      <c r="M361" s="3">
        <v>1.013333333333333</v>
      </c>
      <c r="N361" s="3">
        <v>1.013333333333333</v>
      </c>
      <c r="O361" s="3" t="s">
        <v>245</v>
      </c>
      <c r="P361" s="3" t="s">
        <v>245</v>
      </c>
      <c r="Q361" s="3" t="str">
        <f t="shared" si="50"/>
        <v>361-2023-12-31</v>
      </c>
      <c r="R361" s="3">
        <v>2</v>
      </c>
      <c r="S361" s="3">
        <v>2</v>
      </c>
      <c r="T361" s="3" t="s">
        <v>443</v>
      </c>
      <c r="U361" s="3" t="s">
        <v>37</v>
      </c>
      <c r="V361" s="3" t="s">
        <v>267</v>
      </c>
      <c r="W361" s="3" t="s">
        <v>145</v>
      </c>
      <c r="X361" s="3" t="s">
        <v>179</v>
      </c>
      <c r="Y361" s="3" t="s">
        <v>269</v>
      </c>
      <c r="Z361" s="3" t="s">
        <v>41</v>
      </c>
      <c r="AA361" s="3" t="s">
        <v>124</v>
      </c>
      <c r="AB361" s="3" t="s">
        <v>43</v>
      </c>
      <c r="AC361" s="3" t="s">
        <v>66</v>
      </c>
      <c r="AD361" s="3">
        <v>0</v>
      </c>
    </row>
    <row r="362" spans="1:30" x14ac:dyDescent="0.3">
      <c r="A362" s="3">
        <v>361</v>
      </c>
      <c r="B362" s="3" t="s">
        <v>479</v>
      </c>
      <c r="C362" s="3" t="s">
        <v>267</v>
      </c>
      <c r="D362" s="3" t="s">
        <v>66</v>
      </c>
      <c r="E362" s="3" t="s">
        <v>32</v>
      </c>
      <c r="F362" s="12">
        <v>46022</v>
      </c>
      <c r="G362" s="3">
        <v>2025</v>
      </c>
      <c r="H362" s="3" t="s">
        <v>44</v>
      </c>
      <c r="I362" s="3" t="s">
        <v>465</v>
      </c>
      <c r="J362" s="3">
        <v>2</v>
      </c>
      <c r="K362" s="3">
        <v>4.5999999999999996</v>
      </c>
      <c r="L362" s="3">
        <v>4.78</v>
      </c>
      <c r="M362" s="3">
        <f>L362/K362</f>
        <v>1.0391304347826089</v>
      </c>
      <c r="N362" s="3">
        <v>1.013333333333333</v>
      </c>
      <c r="O362" s="3" t="s">
        <v>245</v>
      </c>
      <c r="P362" s="3" t="s">
        <v>245</v>
      </c>
      <c r="Q362" s="3" t="str">
        <f t="shared" si="50"/>
        <v>361-2025-12-31</v>
      </c>
      <c r="R362" s="3">
        <v>1</v>
      </c>
      <c r="S362" s="3">
        <v>2</v>
      </c>
      <c r="T362" s="3" t="s">
        <v>31</v>
      </c>
      <c r="U362" s="3" t="s">
        <v>37</v>
      </c>
      <c r="V362" s="3" t="s">
        <v>267</v>
      </c>
      <c r="W362" s="3" t="s">
        <v>145</v>
      </c>
      <c r="X362" s="3" t="s">
        <v>179</v>
      </c>
      <c r="Y362" s="3" t="s">
        <v>269</v>
      </c>
      <c r="Z362" s="3" t="s">
        <v>41</v>
      </c>
      <c r="AA362" s="3" t="s">
        <v>124</v>
      </c>
      <c r="AB362" s="3" t="s">
        <v>43</v>
      </c>
      <c r="AC362" s="3" t="s">
        <v>66</v>
      </c>
      <c r="AD362" s="3">
        <v>0</v>
      </c>
    </row>
    <row r="363" spans="1:30" x14ac:dyDescent="0.3">
      <c r="A363" s="3">
        <v>361</v>
      </c>
      <c r="B363" s="3" t="s">
        <v>479</v>
      </c>
      <c r="C363" s="3" t="s">
        <v>267</v>
      </c>
      <c r="D363" s="3" t="s">
        <v>66</v>
      </c>
      <c r="E363" s="3" t="s">
        <v>32</v>
      </c>
      <c r="F363" s="12">
        <v>46022</v>
      </c>
      <c r="G363" s="3">
        <v>2025</v>
      </c>
      <c r="H363" s="3" t="s">
        <v>44</v>
      </c>
      <c r="I363" s="3" t="s">
        <v>465</v>
      </c>
      <c r="J363" s="3"/>
      <c r="K363" s="3">
        <v>4.5</v>
      </c>
      <c r="L363" s="3">
        <v>4.78</v>
      </c>
      <c r="M363" s="3">
        <f>L363/K363</f>
        <v>1.0622222222222222</v>
      </c>
      <c r="N363" s="3">
        <v>1.013333333333333</v>
      </c>
      <c r="O363" s="3" t="s">
        <v>245</v>
      </c>
      <c r="P363" s="3" t="s">
        <v>245</v>
      </c>
      <c r="Q363" s="3" t="str">
        <f t="shared" si="50"/>
        <v>361-2025-12-31</v>
      </c>
      <c r="R363" s="3">
        <v>1</v>
      </c>
      <c r="S363" s="3">
        <v>2</v>
      </c>
      <c r="T363" s="3" t="s">
        <v>443</v>
      </c>
      <c r="U363" s="3" t="s">
        <v>37</v>
      </c>
      <c r="V363" s="3" t="s">
        <v>267</v>
      </c>
      <c r="W363" s="3" t="s">
        <v>145</v>
      </c>
      <c r="X363" s="3" t="s">
        <v>179</v>
      </c>
      <c r="Y363" s="3" t="s">
        <v>269</v>
      </c>
      <c r="Z363" s="3" t="s">
        <v>41</v>
      </c>
      <c r="AA363" s="3" t="s">
        <v>124</v>
      </c>
      <c r="AB363" s="3" t="s">
        <v>43</v>
      </c>
      <c r="AC363" s="3" t="s">
        <v>66</v>
      </c>
      <c r="AD363" s="3">
        <v>0</v>
      </c>
    </row>
    <row r="364" spans="1:30" x14ac:dyDescent="0.3">
      <c r="A364" s="3">
        <v>364</v>
      </c>
      <c r="B364" s="3" t="s">
        <v>271</v>
      </c>
      <c r="C364" s="3" t="s">
        <v>267</v>
      </c>
      <c r="D364" s="3" t="s">
        <v>31</v>
      </c>
      <c r="E364" s="3" t="s">
        <v>171</v>
      </c>
      <c r="F364" s="12">
        <v>45107</v>
      </c>
      <c r="G364" s="3">
        <v>2023</v>
      </c>
      <c r="H364" s="3" t="s">
        <v>33</v>
      </c>
      <c r="I364" s="3" t="s">
        <v>47</v>
      </c>
      <c r="J364" s="3">
        <v>1</v>
      </c>
      <c r="K364" s="3"/>
      <c r="L364" s="3">
        <v>30173</v>
      </c>
      <c r="M364" s="3"/>
      <c r="N364" s="3"/>
      <c r="O364" s="3" t="s">
        <v>131</v>
      </c>
      <c r="P364" s="3" t="s">
        <v>35</v>
      </c>
      <c r="Q364" s="3" t="str">
        <f t="shared" si="50"/>
        <v>364-2023-06-30</v>
      </c>
      <c r="R364" s="3">
        <v>0</v>
      </c>
      <c r="S364" s="3">
        <v>0</v>
      </c>
      <c r="T364" s="3" t="s">
        <v>31</v>
      </c>
      <c r="U364" s="3" t="s">
        <v>37</v>
      </c>
      <c r="V364" s="3" t="s">
        <v>267</v>
      </c>
      <c r="W364" s="3" t="s">
        <v>145</v>
      </c>
      <c r="X364" s="3" t="s">
        <v>179</v>
      </c>
      <c r="Y364" s="3" t="s">
        <v>273</v>
      </c>
      <c r="Z364" s="3" t="s">
        <v>274</v>
      </c>
      <c r="AA364" s="3" t="s">
        <v>275</v>
      </c>
      <c r="AB364" s="3" t="s">
        <v>78</v>
      </c>
      <c r="AC364" s="3" t="s">
        <v>66</v>
      </c>
      <c r="AD364" s="3">
        <v>0</v>
      </c>
    </row>
    <row r="365" spans="1:30" x14ac:dyDescent="0.3">
      <c r="A365" s="3">
        <v>364</v>
      </c>
      <c r="B365" s="3" t="s">
        <v>271</v>
      </c>
      <c r="C365" s="3" t="s">
        <v>267</v>
      </c>
      <c r="D365" s="3" t="s">
        <v>31</v>
      </c>
      <c r="E365" s="3" t="s">
        <v>171</v>
      </c>
      <c r="F365" s="12">
        <v>45291</v>
      </c>
      <c r="G365" s="3">
        <v>2023</v>
      </c>
      <c r="H365" s="3" t="s">
        <v>44</v>
      </c>
      <c r="I365" s="3" t="s">
        <v>49</v>
      </c>
      <c r="J365" s="3">
        <v>2</v>
      </c>
      <c r="K365" s="3"/>
      <c r="L365" s="3">
        <v>48277</v>
      </c>
      <c r="M365" s="3"/>
      <c r="N365" s="3"/>
      <c r="O365" s="3" t="s">
        <v>131</v>
      </c>
      <c r="P365" s="3" t="s">
        <v>35</v>
      </c>
      <c r="Q365" s="3" t="str">
        <f t="shared" si="50"/>
        <v>364-2023-12-31</v>
      </c>
      <c r="R365" s="3">
        <v>0</v>
      </c>
      <c r="S365" s="3">
        <v>0</v>
      </c>
      <c r="T365" s="3" t="s">
        <v>31</v>
      </c>
      <c r="U365" s="3" t="s">
        <v>37</v>
      </c>
      <c r="V365" s="3" t="s">
        <v>267</v>
      </c>
      <c r="W365" s="3" t="s">
        <v>145</v>
      </c>
      <c r="X365" s="3" t="s">
        <v>179</v>
      </c>
      <c r="Y365" s="3" t="s">
        <v>273</v>
      </c>
      <c r="Z365" s="3" t="s">
        <v>274</v>
      </c>
      <c r="AA365" s="3" t="s">
        <v>275</v>
      </c>
      <c r="AB365" s="3" t="s">
        <v>78</v>
      </c>
      <c r="AC365" s="3" t="s">
        <v>66</v>
      </c>
      <c r="AD365" s="3">
        <v>0</v>
      </c>
    </row>
    <row r="366" spans="1:30" x14ac:dyDescent="0.3">
      <c r="A366" s="3">
        <v>364</v>
      </c>
      <c r="B366" s="3" t="s">
        <v>271</v>
      </c>
      <c r="C366" s="3" t="s">
        <v>267</v>
      </c>
      <c r="D366" s="3" t="s">
        <v>31</v>
      </c>
      <c r="E366" s="3" t="s">
        <v>171</v>
      </c>
      <c r="F366" s="12">
        <v>45291</v>
      </c>
      <c r="G366" s="3">
        <v>2023</v>
      </c>
      <c r="H366" s="3" t="s">
        <v>44</v>
      </c>
      <c r="I366" s="3" t="s">
        <v>49</v>
      </c>
      <c r="J366" s="3"/>
      <c r="K366" s="3"/>
      <c r="L366" s="3">
        <v>78450</v>
      </c>
      <c r="M366" s="3"/>
      <c r="N366" s="3"/>
      <c r="O366" s="3" t="s">
        <v>284</v>
      </c>
      <c r="P366" s="3" t="s">
        <v>35</v>
      </c>
      <c r="Q366" s="3" t="str">
        <f t="shared" si="50"/>
        <v>364-2023-12-31</v>
      </c>
      <c r="R366" s="3">
        <v>0</v>
      </c>
      <c r="S366" s="3">
        <v>0</v>
      </c>
      <c r="T366" s="3" t="s">
        <v>443</v>
      </c>
      <c r="U366" s="3" t="s">
        <v>37</v>
      </c>
      <c r="V366" s="3" t="s">
        <v>267</v>
      </c>
      <c r="W366" s="3" t="s">
        <v>145</v>
      </c>
      <c r="X366" s="3" t="s">
        <v>179</v>
      </c>
      <c r="Y366" s="3" t="s">
        <v>273</v>
      </c>
      <c r="Z366" s="3" t="s">
        <v>274</v>
      </c>
      <c r="AA366" s="3" t="s">
        <v>275</v>
      </c>
      <c r="AB366" s="3" t="s">
        <v>78</v>
      </c>
      <c r="AC366" s="3" t="s">
        <v>66</v>
      </c>
      <c r="AD366" s="3">
        <v>0</v>
      </c>
    </row>
    <row r="367" spans="1:30" x14ac:dyDescent="0.3">
      <c r="A367" s="3">
        <v>364</v>
      </c>
      <c r="B367" s="3" t="s">
        <v>271</v>
      </c>
      <c r="C367" s="3" t="s">
        <v>267</v>
      </c>
      <c r="D367" s="3" t="s">
        <v>31</v>
      </c>
      <c r="E367" s="3" t="s">
        <v>171</v>
      </c>
      <c r="F367" s="12">
        <v>45473</v>
      </c>
      <c r="G367" s="3">
        <v>2024</v>
      </c>
      <c r="H367" s="3" t="s">
        <v>33</v>
      </c>
      <c r="I367" s="3" t="s">
        <v>51</v>
      </c>
      <c r="J367" s="3">
        <v>1</v>
      </c>
      <c r="K367" s="3">
        <v>31694</v>
      </c>
      <c r="L367" s="3">
        <v>42069</v>
      </c>
      <c r="M367" s="3">
        <f>+L367/K367</f>
        <v>1.3273490250520603</v>
      </c>
      <c r="N367" s="3">
        <f>+L367/K367</f>
        <v>1.3273490250520603</v>
      </c>
      <c r="O367" s="3" t="s">
        <v>35</v>
      </c>
      <c r="P367" s="3" t="s">
        <v>35</v>
      </c>
      <c r="Q367" s="3" t="str">
        <f t="shared" si="50"/>
        <v>364-2024-06-30</v>
      </c>
      <c r="R367" s="3">
        <v>0</v>
      </c>
      <c r="S367" s="3">
        <v>0</v>
      </c>
      <c r="T367" s="3" t="s">
        <v>31</v>
      </c>
      <c r="U367" s="3" t="s">
        <v>37</v>
      </c>
      <c r="V367" s="3" t="s">
        <v>267</v>
      </c>
      <c r="W367" s="3" t="s">
        <v>145</v>
      </c>
      <c r="X367" s="3" t="s">
        <v>179</v>
      </c>
      <c r="Y367" s="3" t="s">
        <v>273</v>
      </c>
      <c r="Z367" s="3" t="s">
        <v>274</v>
      </c>
      <c r="AA367" s="3" t="s">
        <v>275</v>
      </c>
      <c r="AB367" s="3" t="s">
        <v>78</v>
      </c>
      <c r="AC367" s="3" t="s">
        <v>66</v>
      </c>
      <c r="AD367" s="3">
        <v>0</v>
      </c>
    </row>
    <row r="368" spans="1:30" x14ac:dyDescent="0.3">
      <c r="A368" s="3">
        <v>364</v>
      </c>
      <c r="B368" s="3" t="s">
        <v>271</v>
      </c>
      <c r="C368" s="3" t="s">
        <v>267</v>
      </c>
      <c r="D368" s="3" t="s">
        <v>31</v>
      </c>
      <c r="E368" s="3" t="s">
        <v>171</v>
      </c>
      <c r="F368" s="12">
        <v>45657</v>
      </c>
      <c r="G368" s="3">
        <v>2024</v>
      </c>
      <c r="H368" s="3" t="s">
        <v>44</v>
      </c>
      <c r="I368" s="3" t="s">
        <v>53</v>
      </c>
      <c r="J368" s="3">
        <v>2</v>
      </c>
      <c r="K368" s="3">
        <v>47541</v>
      </c>
      <c r="L368" s="3">
        <v>46635</v>
      </c>
      <c r="M368" s="3">
        <f t="shared" ref="M368:M371" si="51">+L368/K368</f>
        <v>0.98094276519214996</v>
      </c>
      <c r="N368" s="3">
        <f t="shared" ref="N368:N371" si="52">+L368/K368</f>
        <v>0.98094276519214996</v>
      </c>
      <c r="O368" s="3" t="s">
        <v>35</v>
      </c>
      <c r="P368" s="3" t="s">
        <v>35</v>
      </c>
      <c r="Q368" s="3" t="str">
        <f t="shared" si="50"/>
        <v>364-2024-12-31</v>
      </c>
      <c r="R368" s="3">
        <v>0</v>
      </c>
      <c r="S368" s="3">
        <v>0</v>
      </c>
      <c r="T368" s="3" t="s">
        <v>31</v>
      </c>
      <c r="U368" s="3" t="s">
        <v>37</v>
      </c>
      <c r="V368" s="3" t="s">
        <v>267</v>
      </c>
      <c r="W368" s="3" t="s">
        <v>145</v>
      </c>
      <c r="X368" s="3" t="s">
        <v>179</v>
      </c>
      <c r="Y368" s="3" t="s">
        <v>273</v>
      </c>
      <c r="Z368" s="3" t="s">
        <v>274</v>
      </c>
      <c r="AA368" s="3" t="s">
        <v>275</v>
      </c>
      <c r="AB368" s="3" t="s">
        <v>78</v>
      </c>
      <c r="AC368" s="3" t="s">
        <v>66</v>
      </c>
      <c r="AD368" s="3">
        <v>0</v>
      </c>
    </row>
    <row r="369" spans="1:30" x14ac:dyDescent="0.3">
      <c r="A369" s="3">
        <v>364</v>
      </c>
      <c r="B369" s="3" t="s">
        <v>271</v>
      </c>
      <c r="C369" s="3" t="s">
        <v>267</v>
      </c>
      <c r="D369" s="3" t="s">
        <v>31</v>
      </c>
      <c r="E369" s="3" t="s">
        <v>171</v>
      </c>
      <c r="F369" s="12">
        <v>45657</v>
      </c>
      <c r="G369" s="3">
        <v>2024</v>
      </c>
      <c r="H369" s="3" t="s">
        <v>44</v>
      </c>
      <c r="I369" s="3" t="s">
        <v>53</v>
      </c>
      <c r="J369" s="3"/>
      <c r="K369" s="3">
        <v>79235</v>
      </c>
      <c r="L369" s="3">
        <v>88704</v>
      </c>
      <c r="M369" s="3">
        <f t="shared" si="51"/>
        <v>1.119505269136114</v>
      </c>
      <c r="N369" s="3">
        <f t="shared" si="52"/>
        <v>1.119505269136114</v>
      </c>
      <c r="O369" s="3" t="s">
        <v>35</v>
      </c>
      <c r="P369" s="3" t="s">
        <v>35</v>
      </c>
      <c r="Q369" s="3" t="str">
        <f t="shared" si="50"/>
        <v>364-2024-12-31</v>
      </c>
      <c r="R369" s="3">
        <v>0</v>
      </c>
      <c r="S369" s="3">
        <v>0</v>
      </c>
      <c r="T369" s="3" t="s">
        <v>443</v>
      </c>
      <c r="U369" s="3" t="s">
        <v>37</v>
      </c>
      <c r="V369" s="3" t="s">
        <v>267</v>
      </c>
      <c r="W369" s="3" t="s">
        <v>145</v>
      </c>
      <c r="X369" s="3" t="s">
        <v>179</v>
      </c>
      <c r="Y369" s="3" t="s">
        <v>273</v>
      </c>
      <c r="Z369" s="3" t="s">
        <v>274</v>
      </c>
      <c r="AA369" s="3" t="s">
        <v>275</v>
      </c>
      <c r="AB369" s="3" t="s">
        <v>78</v>
      </c>
      <c r="AC369" s="3" t="s">
        <v>66</v>
      </c>
      <c r="AD369" s="3">
        <v>0</v>
      </c>
    </row>
    <row r="370" spans="1:30" x14ac:dyDescent="0.3">
      <c r="A370" s="3">
        <v>364</v>
      </c>
      <c r="B370" s="3" t="s">
        <v>271</v>
      </c>
      <c r="C370" s="3" t="s">
        <v>267</v>
      </c>
      <c r="D370" s="3" t="s">
        <v>31</v>
      </c>
      <c r="E370" s="3" t="s">
        <v>171</v>
      </c>
      <c r="F370" s="12">
        <v>45838</v>
      </c>
      <c r="G370" s="3">
        <v>2025</v>
      </c>
      <c r="H370" s="3" t="s">
        <v>33</v>
      </c>
      <c r="I370" s="3" t="s">
        <v>404</v>
      </c>
      <c r="J370" s="3">
        <v>1</v>
      </c>
      <c r="K370" s="3">
        <v>33279</v>
      </c>
      <c r="L370" s="3">
        <v>31244</v>
      </c>
      <c r="M370" s="3">
        <f t="shared" si="51"/>
        <v>0.93885032603143126</v>
      </c>
      <c r="N370" s="3">
        <f t="shared" si="52"/>
        <v>0.93885032603143126</v>
      </c>
      <c r="O370" s="3" t="s">
        <v>35</v>
      </c>
      <c r="P370" s="3" t="s">
        <v>35</v>
      </c>
      <c r="Q370" s="3" t="str">
        <f t="shared" si="50"/>
        <v>364-2025-06-30</v>
      </c>
      <c r="R370" s="3">
        <v>0</v>
      </c>
      <c r="S370" s="3">
        <v>0</v>
      </c>
      <c r="T370" s="3" t="s">
        <v>31</v>
      </c>
      <c r="U370" s="3" t="s">
        <v>37</v>
      </c>
      <c r="V370" s="3" t="s">
        <v>267</v>
      </c>
      <c r="W370" s="3" t="s">
        <v>145</v>
      </c>
      <c r="X370" s="3" t="s">
        <v>179</v>
      </c>
      <c r="Y370" s="3" t="s">
        <v>273</v>
      </c>
      <c r="Z370" s="3" t="s">
        <v>274</v>
      </c>
      <c r="AA370" s="3" t="s">
        <v>275</v>
      </c>
      <c r="AB370" s="3" t="s">
        <v>78</v>
      </c>
      <c r="AC370" s="3" t="s">
        <v>66</v>
      </c>
      <c r="AD370" s="3">
        <v>0</v>
      </c>
    </row>
    <row r="371" spans="1:30" x14ac:dyDescent="0.3">
      <c r="A371" s="3">
        <v>364</v>
      </c>
      <c r="B371" s="3" t="s">
        <v>271</v>
      </c>
      <c r="C371" s="3" t="s">
        <v>267</v>
      </c>
      <c r="D371" s="3" t="s">
        <v>31</v>
      </c>
      <c r="E371" s="3" t="s">
        <v>171</v>
      </c>
      <c r="F371" s="12">
        <v>46022</v>
      </c>
      <c r="G371" s="3">
        <v>2025</v>
      </c>
      <c r="H371" s="3" t="s">
        <v>44</v>
      </c>
      <c r="I371" s="3" t="s">
        <v>465</v>
      </c>
      <c r="J371" s="3">
        <v>2</v>
      </c>
      <c r="K371" s="3">
        <v>49918</v>
      </c>
      <c r="L371" s="3">
        <v>38989</v>
      </c>
      <c r="M371" s="3">
        <f t="shared" si="51"/>
        <v>0.78106093994150405</v>
      </c>
      <c r="N371" s="3">
        <f t="shared" si="52"/>
        <v>0.78106093994150405</v>
      </c>
      <c r="O371" s="3" t="s">
        <v>35</v>
      </c>
      <c r="P371" s="3" t="s">
        <v>35</v>
      </c>
      <c r="Q371" s="3" t="str">
        <f t="shared" si="50"/>
        <v>364-2025-12-31</v>
      </c>
      <c r="R371" s="3">
        <v>0</v>
      </c>
      <c r="S371" s="3">
        <v>0</v>
      </c>
      <c r="T371" s="3" t="s">
        <v>31</v>
      </c>
      <c r="U371" s="3" t="s">
        <v>37</v>
      </c>
      <c r="V371" s="3" t="s">
        <v>267</v>
      </c>
      <c r="W371" s="3" t="s">
        <v>145</v>
      </c>
      <c r="X371" s="3" t="s">
        <v>179</v>
      </c>
      <c r="Y371" s="3" t="s">
        <v>273</v>
      </c>
      <c r="Z371" s="3" t="s">
        <v>274</v>
      </c>
      <c r="AA371" s="3" t="s">
        <v>275</v>
      </c>
      <c r="AB371" s="3" t="s">
        <v>78</v>
      </c>
      <c r="AC371" s="3" t="s">
        <v>66</v>
      </c>
      <c r="AD371" s="3">
        <v>0</v>
      </c>
    </row>
    <row r="372" spans="1:30" x14ac:dyDescent="0.3">
      <c r="A372" s="3">
        <v>367</v>
      </c>
      <c r="B372" s="3" t="s">
        <v>481</v>
      </c>
      <c r="C372" s="3" t="s">
        <v>267</v>
      </c>
      <c r="D372" s="3" t="s">
        <v>66</v>
      </c>
      <c r="E372" s="3" t="s">
        <v>32</v>
      </c>
      <c r="F372" s="12">
        <v>44926</v>
      </c>
      <c r="G372" s="3">
        <v>2022</v>
      </c>
      <c r="H372" s="3" t="s">
        <v>44</v>
      </c>
      <c r="I372" s="3" t="s">
        <v>45</v>
      </c>
      <c r="J372" s="3"/>
      <c r="K372" s="3">
        <v>5.7</v>
      </c>
      <c r="L372" s="3">
        <v>6.7</v>
      </c>
      <c r="M372" s="3">
        <f t="shared" ref="M372:M377" si="53">+L372/K372</f>
        <v>1.1754385964912282</v>
      </c>
      <c r="N372" s="3">
        <f>+L372/K372</f>
        <v>1.1754385964912282</v>
      </c>
      <c r="O372" s="3" t="s">
        <v>58</v>
      </c>
      <c r="P372" s="3" t="s">
        <v>58</v>
      </c>
      <c r="Q372" s="3" t="str">
        <f t="shared" si="50"/>
        <v>367-2022-12-31</v>
      </c>
      <c r="R372" s="3">
        <v>1</v>
      </c>
      <c r="S372" s="3">
        <v>1</v>
      </c>
      <c r="T372" s="3" t="s">
        <v>443</v>
      </c>
      <c r="U372" s="3" t="s">
        <v>37</v>
      </c>
      <c r="V372" s="3" t="s">
        <v>267</v>
      </c>
      <c r="W372" s="3" t="s">
        <v>145</v>
      </c>
      <c r="X372" s="3" t="s">
        <v>179</v>
      </c>
      <c r="Y372" s="3" t="s">
        <v>281</v>
      </c>
      <c r="Z372" s="3" t="s">
        <v>41</v>
      </c>
      <c r="AA372" s="3" t="s">
        <v>42</v>
      </c>
      <c r="AB372" s="3" t="s">
        <v>43</v>
      </c>
      <c r="AC372" s="3" t="s">
        <v>66</v>
      </c>
      <c r="AD372" s="3">
        <v>0</v>
      </c>
    </row>
    <row r="373" spans="1:30" x14ac:dyDescent="0.3">
      <c r="A373" s="3">
        <v>367</v>
      </c>
      <c r="B373" s="3" t="s">
        <v>481</v>
      </c>
      <c r="C373" s="3" t="s">
        <v>267</v>
      </c>
      <c r="D373" s="3" t="s">
        <v>66</v>
      </c>
      <c r="E373" s="3" t="s">
        <v>32</v>
      </c>
      <c r="F373" s="12">
        <v>45291</v>
      </c>
      <c r="G373" s="3">
        <v>2023</v>
      </c>
      <c r="H373" s="3" t="s">
        <v>44</v>
      </c>
      <c r="I373" s="3" t="s">
        <v>49</v>
      </c>
      <c r="J373" s="3">
        <v>2</v>
      </c>
      <c r="K373" s="3">
        <v>5</v>
      </c>
      <c r="L373" s="3">
        <v>6.25</v>
      </c>
      <c r="M373" s="3">
        <f t="shared" si="53"/>
        <v>1.25</v>
      </c>
      <c r="N373" s="3">
        <f t="shared" ref="N373:N377" si="54">+L373/K373</f>
        <v>1.25</v>
      </c>
      <c r="O373" s="3" t="s">
        <v>58</v>
      </c>
      <c r="P373" s="3" t="s">
        <v>58</v>
      </c>
      <c r="Q373" s="3" t="str">
        <f t="shared" si="50"/>
        <v>367-2023-12-31</v>
      </c>
      <c r="R373" s="3">
        <v>2</v>
      </c>
      <c r="S373" s="3">
        <v>2</v>
      </c>
      <c r="T373" s="3" t="s">
        <v>31</v>
      </c>
      <c r="U373" s="3" t="s">
        <v>37</v>
      </c>
      <c r="V373" s="3" t="s">
        <v>267</v>
      </c>
      <c r="W373" s="3" t="s">
        <v>145</v>
      </c>
      <c r="X373" s="3" t="s">
        <v>179</v>
      </c>
      <c r="Y373" s="3" t="s">
        <v>281</v>
      </c>
      <c r="Z373" s="3" t="s">
        <v>41</v>
      </c>
      <c r="AA373" s="3" t="s">
        <v>42</v>
      </c>
      <c r="AB373" s="3" t="s">
        <v>43</v>
      </c>
      <c r="AC373" s="3" t="s">
        <v>66</v>
      </c>
      <c r="AD373" s="3">
        <v>0</v>
      </c>
    </row>
    <row r="374" spans="1:30" x14ac:dyDescent="0.3">
      <c r="A374" s="3">
        <v>367</v>
      </c>
      <c r="B374" s="3" t="s">
        <v>481</v>
      </c>
      <c r="C374" s="3" t="s">
        <v>267</v>
      </c>
      <c r="D374" s="3" t="s">
        <v>66</v>
      </c>
      <c r="E374" s="3" t="s">
        <v>32</v>
      </c>
      <c r="F374" s="12">
        <v>45291</v>
      </c>
      <c r="G374" s="3">
        <v>2023</v>
      </c>
      <c r="H374" s="3" t="s">
        <v>44</v>
      </c>
      <c r="I374" s="3" t="s">
        <v>49</v>
      </c>
      <c r="J374" s="3"/>
      <c r="K374" s="3">
        <v>5</v>
      </c>
      <c r="L374" s="3">
        <v>6.25</v>
      </c>
      <c r="M374" s="3">
        <f t="shared" si="53"/>
        <v>1.25</v>
      </c>
      <c r="N374" s="3">
        <f t="shared" si="54"/>
        <v>1.25</v>
      </c>
      <c r="O374" s="3" t="s">
        <v>58</v>
      </c>
      <c r="P374" s="3" t="s">
        <v>58</v>
      </c>
      <c r="Q374" s="3" t="str">
        <f t="shared" si="50"/>
        <v>367-2023-12-31</v>
      </c>
      <c r="R374" s="3">
        <v>0</v>
      </c>
      <c r="S374" s="3">
        <v>2</v>
      </c>
      <c r="T374" s="3" t="s">
        <v>443</v>
      </c>
      <c r="U374" s="3" t="s">
        <v>37</v>
      </c>
      <c r="V374" s="3" t="s">
        <v>267</v>
      </c>
      <c r="W374" s="3" t="s">
        <v>145</v>
      </c>
      <c r="X374" s="3" t="s">
        <v>179</v>
      </c>
      <c r="Y374" s="3" t="s">
        <v>281</v>
      </c>
      <c r="Z374" s="3" t="s">
        <v>41</v>
      </c>
      <c r="AA374" s="3" t="s">
        <v>42</v>
      </c>
      <c r="AB374" s="3" t="s">
        <v>43</v>
      </c>
      <c r="AC374" s="3" t="s">
        <v>66</v>
      </c>
      <c r="AD374" s="3">
        <v>0</v>
      </c>
    </row>
    <row r="375" spans="1:30" x14ac:dyDescent="0.3">
      <c r="A375" s="3">
        <v>367</v>
      </c>
      <c r="B375" s="3" t="s">
        <v>481</v>
      </c>
      <c r="C375" s="3" t="s">
        <v>267</v>
      </c>
      <c r="D375" s="3" t="s">
        <v>66</v>
      </c>
      <c r="E375" s="3" t="s">
        <v>32</v>
      </c>
      <c r="F375" s="12">
        <v>45657</v>
      </c>
      <c r="G375" s="3">
        <v>2024</v>
      </c>
      <c r="H375" s="3" t="s">
        <v>44</v>
      </c>
      <c r="I375" s="3" t="s">
        <v>53</v>
      </c>
      <c r="J375" s="3">
        <v>2</v>
      </c>
      <c r="K375" s="3">
        <v>5</v>
      </c>
      <c r="L375" s="3">
        <v>4.96</v>
      </c>
      <c r="M375" s="3">
        <f t="shared" si="53"/>
        <v>0.99199999999999999</v>
      </c>
      <c r="N375" s="3">
        <f t="shared" si="54"/>
        <v>0.99199999999999999</v>
      </c>
      <c r="O375" s="3" t="s">
        <v>58</v>
      </c>
      <c r="P375" s="3" t="s">
        <v>58</v>
      </c>
      <c r="Q375" s="3" t="str">
        <f t="shared" si="50"/>
        <v>367-2024-12-31</v>
      </c>
      <c r="R375" s="3">
        <v>2</v>
      </c>
      <c r="S375" s="3">
        <v>2</v>
      </c>
      <c r="T375" s="3" t="s">
        <v>31</v>
      </c>
      <c r="U375" s="3" t="s">
        <v>37</v>
      </c>
      <c r="V375" s="3" t="s">
        <v>267</v>
      </c>
      <c r="W375" s="3" t="s">
        <v>145</v>
      </c>
      <c r="X375" s="3" t="s">
        <v>179</v>
      </c>
      <c r="Y375" s="3" t="s">
        <v>281</v>
      </c>
      <c r="Z375" s="3" t="s">
        <v>41</v>
      </c>
      <c r="AA375" s="3" t="s">
        <v>42</v>
      </c>
      <c r="AB375" s="3" t="s">
        <v>43</v>
      </c>
      <c r="AC375" s="3" t="s">
        <v>66</v>
      </c>
      <c r="AD375" s="3">
        <v>0</v>
      </c>
    </row>
    <row r="376" spans="1:30" x14ac:dyDescent="0.3">
      <c r="A376" s="3">
        <v>367</v>
      </c>
      <c r="B376" s="3" t="s">
        <v>481</v>
      </c>
      <c r="C376" s="3" t="s">
        <v>267</v>
      </c>
      <c r="D376" s="3" t="s">
        <v>66</v>
      </c>
      <c r="E376" s="3" t="s">
        <v>32</v>
      </c>
      <c r="F376" s="12">
        <v>45657</v>
      </c>
      <c r="G376" s="3">
        <v>2024</v>
      </c>
      <c r="H376" s="3" t="s">
        <v>44</v>
      </c>
      <c r="I376" s="3" t="s">
        <v>53</v>
      </c>
      <c r="J376" s="3"/>
      <c r="K376" s="3">
        <v>5</v>
      </c>
      <c r="L376" s="3">
        <v>4.96</v>
      </c>
      <c r="M376" s="3">
        <f t="shared" si="53"/>
        <v>0.99199999999999999</v>
      </c>
      <c r="N376" s="3">
        <f t="shared" si="54"/>
        <v>0.99199999999999999</v>
      </c>
      <c r="O376" s="3" t="s">
        <v>58</v>
      </c>
      <c r="P376" s="3" t="s">
        <v>58</v>
      </c>
      <c r="Q376" s="3" t="str">
        <f t="shared" si="50"/>
        <v>367-2024-12-31</v>
      </c>
      <c r="R376" s="3">
        <v>0</v>
      </c>
      <c r="S376" s="3">
        <v>2</v>
      </c>
      <c r="T376" s="3" t="s">
        <v>443</v>
      </c>
      <c r="U376" s="3" t="s">
        <v>37</v>
      </c>
      <c r="V376" s="3" t="s">
        <v>267</v>
      </c>
      <c r="W376" s="3" t="s">
        <v>145</v>
      </c>
      <c r="X376" s="3" t="s">
        <v>179</v>
      </c>
      <c r="Y376" s="3" t="s">
        <v>281</v>
      </c>
      <c r="Z376" s="3" t="s">
        <v>41</v>
      </c>
      <c r="AA376" s="3" t="s">
        <v>42</v>
      </c>
      <c r="AB376" s="3" t="s">
        <v>43</v>
      </c>
      <c r="AC376" s="3" t="s">
        <v>66</v>
      </c>
      <c r="AD376" s="3">
        <v>0</v>
      </c>
    </row>
    <row r="377" spans="1:30" x14ac:dyDescent="0.3">
      <c r="A377" s="3">
        <v>367</v>
      </c>
      <c r="B377" s="3" t="s">
        <v>481</v>
      </c>
      <c r="C377" s="3" t="s">
        <v>267</v>
      </c>
      <c r="D377" s="3" t="s">
        <v>66</v>
      </c>
      <c r="E377" s="3" t="s">
        <v>32</v>
      </c>
      <c r="F377" s="12">
        <v>46022</v>
      </c>
      <c r="G377" s="3">
        <v>2025</v>
      </c>
      <c r="H377" s="3" t="s">
        <v>44</v>
      </c>
      <c r="I377" s="3" t="s">
        <v>465</v>
      </c>
      <c r="J377" s="3">
        <v>2</v>
      </c>
      <c r="K377" s="3">
        <v>5</v>
      </c>
      <c r="L377" s="3">
        <v>3.82</v>
      </c>
      <c r="M377" s="3">
        <f t="shared" si="53"/>
        <v>0.76400000000000001</v>
      </c>
      <c r="N377" s="3">
        <f t="shared" si="54"/>
        <v>0.76400000000000001</v>
      </c>
      <c r="O377" s="3" t="s">
        <v>58</v>
      </c>
      <c r="P377" s="3" t="s">
        <v>58</v>
      </c>
      <c r="Q377" s="3" t="str">
        <f t="shared" si="50"/>
        <v>367-2025-12-31</v>
      </c>
      <c r="R377" s="3">
        <v>1</v>
      </c>
      <c r="S377" s="3">
        <v>2</v>
      </c>
      <c r="T377" s="3" t="s">
        <v>31</v>
      </c>
      <c r="U377" s="3" t="s">
        <v>37</v>
      </c>
      <c r="V377" s="3" t="s">
        <v>267</v>
      </c>
      <c r="W377" s="3" t="s">
        <v>145</v>
      </c>
      <c r="X377" s="3" t="s">
        <v>179</v>
      </c>
      <c r="Y377" s="3" t="s">
        <v>281</v>
      </c>
      <c r="Z377" s="3" t="s">
        <v>41</v>
      </c>
      <c r="AA377" s="3" t="s">
        <v>42</v>
      </c>
      <c r="AB377" s="3" t="s">
        <v>43</v>
      </c>
      <c r="AC377" s="3" t="s">
        <v>66</v>
      </c>
      <c r="AD377" s="3">
        <v>0</v>
      </c>
    </row>
    <row r="378" spans="1:30" x14ac:dyDescent="0.3">
      <c r="A378" s="3">
        <v>369</v>
      </c>
      <c r="B378" s="3" t="s">
        <v>283</v>
      </c>
      <c r="C378" s="3" t="s">
        <v>267</v>
      </c>
      <c r="D378" s="3" t="s">
        <v>31</v>
      </c>
      <c r="E378" s="3" t="s">
        <v>32</v>
      </c>
      <c r="F378" s="12">
        <v>45107</v>
      </c>
      <c r="G378" s="3">
        <v>2023</v>
      </c>
      <c r="H378" s="3" t="s">
        <v>33</v>
      </c>
      <c r="I378" s="3" t="s">
        <v>47</v>
      </c>
      <c r="J378" s="3">
        <v>1</v>
      </c>
      <c r="K378" s="3"/>
      <c r="L378" s="3">
        <v>78</v>
      </c>
      <c r="M378" s="3"/>
      <c r="N378" s="3"/>
      <c r="O378" s="3" t="s">
        <v>284</v>
      </c>
      <c r="P378" s="3" t="s">
        <v>35</v>
      </c>
      <c r="Q378" s="3" t="str">
        <f t="shared" si="50"/>
        <v>369-2023-06-30</v>
      </c>
      <c r="R378" s="3">
        <v>0</v>
      </c>
      <c r="S378" s="3">
        <v>0</v>
      </c>
      <c r="T378" s="3" t="s">
        <v>31</v>
      </c>
      <c r="U378" s="3" t="s">
        <v>37</v>
      </c>
      <c r="V378" s="3" t="s">
        <v>267</v>
      </c>
      <c r="W378" s="3" t="s">
        <v>145</v>
      </c>
      <c r="X378" s="3" t="s">
        <v>179</v>
      </c>
      <c r="Y378" s="3" t="s">
        <v>273</v>
      </c>
      <c r="Z378" s="3" t="s">
        <v>41</v>
      </c>
      <c r="AA378" s="3" t="s">
        <v>42</v>
      </c>
      <c r="AB378" s="3" t="s">
        <v>78</v>
      </c>
      <c r="AC378" s="3" t="s">
        <v>66</v>
      </c>
      <c r="AD378" s="3">
        <v>0</v>
      </c>
    </row>
    <row r="379" spans="1:30" x14ac:dyDescent="0.3">
      <c r="A379" s="3">
        <v>369</v>
      </c>
      <c r="B379" s="3" t="s">
        <v>283</v>
      </c>
      <c r="C379" s="3" t="s">
        <v>267</v>
      </c>
      <c r="D379" s="3" t="s">
        <v>31</v>
      </c>
      <c r="E379" s="3" t="s">
        <v>32</v>
      </c>
      <c r="F379" s="12">
        <v>45291</v>
      </c>
      <c r="G379" s="3">
        <v>2023</v>
      </c>
      <c r="H379" s="3" t="s">
        <v>44</v>
      </c>
      <c r="I379" s="3" t="s">
        <v>49</v>
      </c>
      <c r="J379" s="3">
        <v>2</v>
      </c>
      <c r="K379" s="3"/>
      <c r="L379" s="3">
        <v>96</v>
      </c>
      <c r="M379" s="3"/>
      <c r="N379" s="3"/>
      <c r="O379" s="3" t="s">
        <v>284</v>
      </c>
      <c r="P379" s="3" t="s">
        <v>35</v>
      </c>
      <c r="Q379" s="3" t="str">
        <f t="shared" si="50"/>
        <v>369-2023-12-31</v>
      </c>
      <c r="R379" s="3">
        <v>0</v>
      </c>
      <c r="S379" s="3">
        <v>0</v>
      </c>
      <c r="T379" s="3" t="s">
        <v>31</v>
      </c>
      <c r="U379" s="3" t="s">
        <v>37</v>
      </c>
      <c r="V379" s="3" t="s">
        <v>267</v>
      </c>
      <c r="W379" s="3" t="s">
        <v>145</v>
      </c>
      <c r="X379" s="3" t="s">
        <v>179</v>
      </c>
      <c r="Y379" s="3" t="s">
        <v>273</v>
      </c>
      <c r="Z379" s="3" t="s">
        <v>41</v>
      </c>
      <c r="AA379" s="3" t="s">
        <v>42</v>
      </c>
      <c r="AB379" s="3" t="s">
        <v>78</v>
      </c>
      <c r="AC379" s="3" t="s">
        <v>66</v>
      </c>
      <c r="AD379" s="3">
        <v>0</v>
      </c>
    </row>
    <row r="380" spans="1:30" x14ac:dyDescent="0.3">
      <c r="A380" s="3">
        <v>369</v>
      </c>
      <c r="B380" s="3" t="s">
        <v>283</v>
      </c>
      <c r="C380" s="3" t="s">
        <v>267</v>
      </c>
      <c r="D380" s="3" t="s">
        <v>31</v>
      </c>
      <c r="E380" s="3" t="s">
        <v>32</v>
      </c>
      <c r="F380" s="12">
        <v>45291</v>
      </c>
      <c r="G380" s="3">
        <v>2023</v>
      </c>
      <c r="H380" s="3" t="s">
        <v>44</v>
      </c>
      <c r="I380" s="3" t="s">
        <v>49</v>
      </c>
      <c r="J380" s="3"/>
      <c r="K380" s="3"/>
      <c r="L380" s="3">
        <v>174</v>
      </c>
      <c r="M380" s="3"/>
      <c r="N380" s="3"/>
      <c r="O380" s="3" t="s">
        <v>284</v>
      </c>
      <c r="P380" s="3" t="s">
        <v>35</v>
      </c>
      <c r="Q380" s="3" t="str">
        <f t="shared" si="50"/>
        <v>369-2023-12-31</v>
      </c>
      <c r="R380" s="3">
        <v>0</v>
      </c>
      <c r="S380" s="3">
        <v>0</v>
      </c>
      <c r="T380" s="3" t="s">
        <v>443</v>
      </c>
      <c r="U380" s="3" t="s">
        <v>37</v>
      </c>
      <c r="V380" s="3" t="s">
        <v>267</v>
      </c>
      <c r="W380" s="3" t="s">
        <v>145</v>
      </c>
      <c r="X380" s="3" t="s">
        <v>179</v>
      </c>
      <c r="Y380" s="3" t="s">
        <v>273</v>
      </c>
      <c r="Z380" s="3" t="s">
        <v>41</v>
      </c>
      <c r="AA380" s="3" t="s">
        <v>42</v>
      </c>
      <c r="AB380" s="3" t="s">
        <v>78</v>
      </c>
      <c r="AC380" s="3" t="s">
        <v>66</v>
      </c>
      <c r="AD380" s="3">
        <v>0</v>
      </c>
    </row>
    <row r="381" spans="1:30" x14ac:dyDescent="0.3">
      <c r="A381" s="3">
        <v>369</v>
      </c>
      <c r="B381" s="3" t="s">
        <v>283</v>
      </c>
      <c r="C381" s="3" t="s">
        <v>267</v>
      </c>
      <c r="D381" s="3" t="s">
        <v>31</v>
      </c>
      <c r="E381" s="3" t="s">
        <v>32</v>
      </c>
      <c r="F381" s="12">
        <v>45473</v>
      </c>
      <c r="G381" s="3">
        <v>2024</v>
      </c>
      <c r="H381" s="3" t="s">
        <v>33</v>
      </c>
      <c r="I381" s="3" t="s">
        <v>51</v>
      </c>
      <c r="J381" s="3">
        <v>1</v>
      </c>
      <c r="K381" s="3">
        <v>80</v>
      </c>
      <c r="L381" s="3">
        <v>61</v>
      </c>
      <c r="M381" s="3">
        <f>+L381/K381</f>
        <v>0.76249999999999996</v>
      </c>
      <c r="N381" s="3">
        <f t="shared" ref="N381:N386" si="55">+L381/K381</f>
        <v>0.76249999999999996</v>
      </c>
      <c r="O381" s="3" t="s">
        <v>35</v>
      </c>
      <c r="P381" s="3" t="s">
        <v>35</v>
      </c>
      <c r="Q381" s="3" t="str">
        <f t="shared" si="50"/>
        <v>369-2024-06-30</v>
      </c>
      <c r="R381" s="3">
        <v>0</v>
      </c>
      <c r="S381" s="3">
        <v>0</v>
      </c>
      <c r="T381" s="3" t="s">
        <v>31</v>
      </c>
      <c r="U381" s="3" t="s">
        <v>37</v>
      </c>
      <c r="V381" s="3" t="s">
        <v>267</v>
      </c>
      <c r="W381" s="3" t="s">
        <v>145</v>
      </c>
      <c r="X381" s="3" t="s">
        <v>179</v>
      </c>
      <c r="Y381" s="3" t="s">
        <v>273</v>
      </c>
      <c r="Z381" s="3" t="s">
        <v>41</v>
      </c>
      <c r="AA381" s="3" t="s">
        <v>42</v>
      </c>
      <c r="AB381" s="3" t="s">
        <v>78</v>
      </c>
      <c r="AC381" s="3" t="s">
        <v>66</v>
      </c>
      <c r="AD381" s="3">
        <v>0</v>
      </c>
    </row>
    <row r="382" spans="1:30" x14ac:dyDescent="0.3">
      <c r="A382" s="3">
        <v>369</v>
      </c>
      <c r="B382" s="3" t="s">
        <v>283</v>
      </c>
      <c r="C382" s="3" t="s">
        <v>267</v>
      </c>
      <c r="D382" s="3" t="s">
        <v>31</v>
      </c>
      <c r="E382" s="3" t="s">
        <v>32</v>
      </c>
      <c r="F382" s="12">
        <v>45657</v>
      </c>
      <c r="G382" s="3">
        <v>2024</v>
      </c>
      <c r="H382" s="3" t="s">
        <v>44</v>
      </c>
      <c r="I382" s="3" t="s">
        <v>53</v>
      </c>
      <c r="J382" s="3">
        <v>2</v>
      </c>
      <c r="K382" s="3">
        <v>108</v>
      </c>
      <c r="L382" s="3">
        <v>77</v>
      </c>
      <c r="M382" s="3">
        <f t="shared" ref="M382:M385" si="56">+L382/K382</f>
        <v>0.71296296296296291</v>
      </c>
      <c r="N382" s="3">
        <f t="shared" si="55"/>
        <v>0.71296296296296291</v>
      </c>
      <c r="O382" s="3" t="s">
        <v>35</v>
      </c>
      <c r="P382" s="3" t="s">
        <v>35</v>
      </c>
      <c r="Q382" s="3" t="str">
        <f t="shared" si="50"/>
        <v>369-2024-12-31</v>
      </c>
      <c r="R382" s="3">
        <v>0</v>
      </c>
      <c r="S382" s="3">
        <v>0</v>
      </c>
      <c r="T382" s="3" t="s">
        <v>31</v>
      </c>
      <c r="U382" s="3" t="s">
        <v>37</v>
      </c>
      <c r="V382" s="3" t="s">
        <v>267</v>
      </c>
      <c r="W382" s="3" t="s">
        <v>145</v>
      </c>
      <c r="X382" s="3" t="s">
        <v>179</v>
      </c>
      <c r="Y382" s="3" t="s">
        <v>273</v>
      </c>
      <c r="Z382" s="3" t="s">
        <v>41</v>
      </c>
      <c r="AA382" s="3" t="s">
        <v>42</v>
      </c>
      <c r="AB382" s="3" t="s">
        <v>78</v>
      </c>
      <c r="AC382" s="3" t="s">
        <v>66</v>
      </c>
      <c r="AD382" s="3">
        <v>0</v>
      </c>
    </row>
    <row r="383" spans="1:30" x14ac:dyDescent="0.3">
      <c r="A383" s="3">
        <v>369</v>
      </c>
      <c r="B383" s="3" t="s">
        <v>283</v>
      </c>
      <c r="C383" s="3" t="s">
        <v>267</v>
      </c>
      <c r="D383" s="3" t="s">
        <v>31</v>
      </c>
      <c r="E383" s="3" t="s">
        <v>32</v>
      </c>
      <c r="F383" s="12">
        <v>45657</v>
      </c>
      <c r="G383" s="3">
        <v>2024</v>
      </c>
      <c r="H383" s="3" t="s">
        <v>44</v>
      </c>
      <c r="I383" s="3" t="s">
        <v>53</v>
      </c>
      <c r="J383" s="3"/>
      <c r="K383" s="3">
        <v>188</v>
      </c>
      <c r="L383" s="3">
        <v>138</v>
      </c>
      <c r="M383" s="3">
        <f t="shared" si="56"/>
        <v>0.73404255319148937</v>
      </c>
      <c r="N383" s="3">
        <f t="shared" si="55"/>
        <v>0.73404255319148937</v>
      </c>
      <c r="O383" s="3" t="s">
        <v>35</v>
      </c>
      <c r="P383" s="3" t="s">
        <v>35</v>
      </c>
      <c r="Q383" s="3" t="str">
        <f t="shared" si="50"/>
        <v>369-2024-12-31</v>
      </c>
      <c r="R383" s="3">
        <v>0</v>
      </c>
      <c r="S383" s="3">
        <v>0</v>
      </c>
      <c r="T383" s="3" t="s">
        <v>443</v>
      </c>
      <c r="U383" s="3" t="s">
        <v>37</v>
      </c>
      <c r="V383" s="3" t="s">
        <v>267</v>
      </c>
      <c r="W383" s="3" t="s">
        <v>145</v>
      </c>
      <c r="X383" s="3" t="s">
        <v>179</v>
      </c>
      <c r="Y383" s="3" t="s">
        <v>273</v>
      </c>
      <c r="Z383" s="3" t="s">
        <v>41</v>
      </c>
      <c r="AA383" s="3" t="s">
        <v>42</v>
      </c>
      <c r="AB383" s="3" t="s">
        <v>78</v>
      </c>
      <c r="AC383" s="3" t="s">
        <v>66</v>
      </c>
      <c r="AD383" s="3">
        <v>0</v>
      </c>
    </row>
    <row r="384" spans="1:30" x14ac:dyDescent="0.3">
      <c r="A384" s="3">
        <v>369</v>
      </c>
      <c r="B384" s="3" t="s">
        <v>283</v>
      </c>
      <c r="C384" s="3" t="s">
        <v>267</v>
      </c>
      <c r="D384" s="3" t="s">
        <v>31</v>
      </c>
      <c r="E384" s="3" t="s">
        <v>32</v>
      </c>
      <c r="F384" s="12">
        <v>45838</v>
      </c>
      <c r="G384" s="3">
        <v>2025</v>
      </c>
      <c r="H384" s="3" t="s">
        <v>33</v>
      </c>
      <c r="I384" s="3" t="s">
        <v>404</v>
      </c>
      <c r="J384" s="3">
        <v>1</v>
      </c>
      <c r="K384" s="3">
        <v>81</v>
      </c>
      <c r="L384" s="3">
        <v>72</v>
      </c>
      <c r="M384" s="3">
        <f t="shared" si="56"/>
        <v>0.88888888888888884</v>
      </c>
      <c r="N384" s="3">
        <f t="shared" si="55"/>
        <v>0.88888888888888884</v>
      </c>
      <c r="O384" s="3" t="s">
        <v>35</v>
      </c>
      <c r="P384" s="3" t="s">
        <v>35</v>
      </c>
      <c r="Q384" s="3" t="str">
        <f t="shared" si="50"/>
        <v>369-2025-06-30</v>
      </c>
      <c r="R384" s="3">
        <v>0</v>
      </c>
      <c r="S384" s="3">
        <v>0</v>
      </c>
      <c r="T384" s="3" t="s">
        <v>31</v>
      </c>
      <c r="U384" s="3" t="s">
        <v>37</v>
      </c>
      <c r="V384" s="3" t="s">
        <v>267</v>
      </c>
      <c r="W384" s="3" t="s">
        <v>145</v>
      </c>
      <c r="X384" s="3" t="s">
        <v>179</v>
      </c>
      <c r="Y384" s="3" t="s">
        <v>273</v>
      </c>
      <c r="Z384" s="3" t="s">
        <v>41</v>
      </c>
      <c r="AA384" s="3" t="s">
        <v>42</v>
      </c>
      <c r="AB384" s="3" t="s">
        <v>78</v>
      </c>
      <c r="AC384" s="3" t="s">
        <v>66</v>
      </c>
      <c r="AD384" s="3">
        <v>0</v>
      </c>
    </row>
    <row r="385" spans="1:30" x14ac:dyDescent="0.3">
      <c r="A385" s="3">
        <v>369</v>
      </c>
      <c r="B385" s="3" t="s">
        <v>283</v>
      </c>
      <c r="C385" s="3" t="s">
        <v>267</v>
      </c>
      <c r="D385" s="3" t="s">
        <v>31</v>
      </c>
      <c r="E385" s="3" t="s">
        <v>32</v>
      </c>
      <c r="F385" s="12">
        <v>46022</v>
      </c>
      <c r="G385" s="3">
        <v>2025</v>
      </c>
      <c r="H385" s="3" t="s">
        <v>44</v>
      </c>
      <c r="I385" s="3" t="s">
        <v>465</v>
      </c>
      <c r="J385" s="3">
        <v>2</v>
      </c>
      <c r="K385" s="3">
        <f>98+11</f>
        <v>109</v>
      </c>
      <c r="L385" s="3">
        <f>94+24</f>
        <v>118</v>
      </c>
      <c r="M385" s="3">
        <f t="shared" si="56"/>
        <v>1.0825688073394495</v>
      </c>
      <c r="N385" s="3">
        <f t="shared" si="55"/>
        <v>1.0825688073394495</v>
      </c>
      <c r="O385" s="3" t="s">
        <v>35</v>
      </c>
      <c r="P385" s="3" t="s">
        <v>35</v>
      </c>
      <c r="Q385" s="3" t="str">
        <f t="shared" si="50"/>
        <v>369-2025-12-31</v>
      </c>
      <c r="R385" s="3">
        <v>0</v>
      </c>
      <c r="S385" s="3">
        <v>0</v>
      </c>
      <c r="T385" s="3" t="s">
        <v>31</v>
      </c>
      <c r="U385" s="3" t="s">
        <v>37</v>
      </c>
      <c r="V385" s="3" t="s">
        <v>267</v>
      </c>
      <c r="W385" s="3" t="s">
        <v>145</v>
      </c>
      <c r="X385" s="3" t="s">
        <v>179</v>
      </c>
      <c r="Y385" s="3" t="s">
        <v>273</v>
      </c>
      <c r="Z385" s="3" t="s">
        <v>41</v>
      </c>
      <c r="AA385" s="3" t="s">
        <v>42</v>
      </c>
      <c r="AB385" s="3" t="s">
        <v>78</v>
      </c>
      <c r="AC385" s="3" t="s">
        <v>66</v>
      </c>
      <c r="AD385" s="3">
        <v>0</v>
      </c>
    </row>
    <row r="386" spans="1:30" x14ac:dyDescent="0.3">
      <c r="A386" s="3">
        <v>376</v>
      </c>
      <c r="B386" s="3" t="s">
        <v>473</v>
      </c>
      <c r="C386" s="3" t="s">
        <v>142</v>
      </c>
      <c r="D386" s="3" t="s">
        <v>31</v>
      </c>
      <c r="E386" s="3" t="s">
        <v>32</v>
      </c>
      <c r="F386" s="12">
        <v>44925</v>
      </c>
      <c r="G386" s="3">
        <v>2022</v>
      </c>
      <c r="H386" s="3" t="s">
        <v>44</v>
      </c>
      <c r="I386" s="3" t="s">
        <v>45</v>
      </c>
      <c r="J386" s="3">
        <v>2</v>
      </c>
      <c r="K386" s="3">
        <v>16064</v>
      </c>
      <c r="L386" s="3">
        <v>24140</v>
      </c>
      <c r="M386" s="3">
        <f>+L386/K386</f>
        <v>1.5027390438247012</v>
      </c>
      <c r="N386" s="3">
        <f t="shared" si="55"/>
        <v>1.5027390438247012</v>
      </c>
      <c r="O386" s="3" t="s">
        <v>143</v>
      </c>
      <c r="P386" s="3" t="s">
        <v>143</v>
      </c>
      <c r="Q386" s="3" t="str">
        <f t="shared" si="50"/>
        <v>376-2022-12-30</v>
      </c>
      <c r="R386" s="3">
        <v>0</v>
      </c>
      <c r="S386" s="3">
        <v>0</v>
      </c>
      <c r="T386" s="3" t="s">
        <v>31</v>
      </c>
      <c r="U386" s="3" t="s">
        <v>37</v>
      </c>
      <c r="V386" s="3" t="s">
        <v>142</v>
      </c>
      <c r="W386" s="3" t="s">
        <v>145</v>
      </c>
      <c r="X386" s="3" t="s">
        <v>146</v>
      </c>
      <c r="Y386" s="3" t="s">
        <v>147</v>
      </c>
      <c r="Z386" s="3" t="s">
        <v>63</v>
      </c>
      <c r="AA386" s="3" t="s">
        <v>148</v>
      </c>
      <c r="AB386" s="3" t="s">
        <v>78</v>
      </c>
      <c r="AC386" s="3" t="s">
        <v>66</v>
      </c>
      <c r="AD386" s="3">
        <v>0</v>
      </c>
    </row>
    <row r="387" spans="1:30" x14ac:dyDescent="0.3">
      <c r="A387" s="3">
        <v>376</v>
      </c>
      <c r="B387" s="3" t="s">
        <v>473</v>
      </c>
      <c r="C387" s="3" t="s">
        <v>142</v>
      </c>
      <c r="D387" s="3" t="s">
        <v>31</v>
      </c>
      <c r="E387" s="3" t="s">
        <v>32</v>
      </c>
      <c r="F387" s="12">
        <v>44925</v>
      </c>
      <c r="G387" s="3">
        <v>2022</v>
      </c>
      <c r="H387" s="3" t="s">
        <v>44</v>
      </c>
      <c r="I387" s="3" t="s">
        <v>45</v>
      </c>
      <c r="J387" s="3"/>
      <c r="K387" s="3">
        <v>16064</v>
      </c>
      <c r="L387" s="3">
        <v>24140</v>
      </c>
      <c r="M387" s="3">
        <f t="shared" ref="M387:M393" si="57">+L387/K387</f>
        <v>1.5027390438247012</v>
      </c>
      <c r="N387" s="3">
        <f t="shared" ref="N387:N393" si="58">+L387/K387</f>
        <v>1.5027390438247012</v>
      </c>
      <c r="O387" s="3" t="s">
        <v>143</v>
      </c>
      <c r="P387" s="3" t="s">
        <v>143</v>
      </c>
      <c r="Q387" s="3" t="str">
        <f t="shared" ref="Q387:Q450" si="59">A387&amp;"-"&amp;YEAR(F387)&amp;"-"&amp;IF(LEN(MONTH(F387))=1,"0"&amp;MONTH(F387),MONTH(F387))&amp;"-"&amp;IF(LEN(DAY(F387))=1,"0"&amp;DAY(F387),DAY(F387))</f>
        <v>376-2022-12-30</v>
      </c>
      <c r="R387" s="3">
        <v>0</v>
      </c>
      <c r="S387" s="3">
        <v>0</v>
      </c>
      <c r="T387" s="3" t="s">
        <v>443</v>
      </c>
      <c r="U387" s="3" t="s">
        <v>37</v>
      </c>
      <c r="V387" s="3" t="s">
        <v>142</v>
      </c>
      <c r="W387" s="3" t="s">
        <v>145</v>
      </c>
      <c r="X387" s="3" t="s">
        <v>146</v>
      </c>
      <c r="Y387" s="3" t="s">
        <v>147</v>
      </c>
      <c r="Z387" s="3" t="s">
        <v>63</v>
      </c>
      <c r="AA387" s="3" t="s">
        <v>148</v>
      </c>
      <c r="AB387" s="3" t="s">
        <v>78</v>
      </c>
      <c r="AC387" s="3" t="s">
        <v>66</v>
      </c>
      <c r="AD387" s="3">
        <v>0</v>
      </c>
    </row>
    <row r="388" spans="1:30" x14ac:dyDescent="0.3">
      <c r="A388" s="3">
        <v>376</v>
      </c>
      <c r="B388" s="3" t="s">
        <v>473</v>
      </c>
      <c r="C388" s="3" t="s">
        <v>142</v>
      </c>
      <c r="D388" s="3" t="s">
        <v>31</v>
      </c>
      <c r="E388" s="3" t="s">
        <v>32</v>
      </c>
      <c r="F388" s="12">
        <v>45291</v>
      </c>
      <c r="G388" s="3">
        <v>2023</v>
      </c>
      <c r="H388" s="3" t="s">
        <v>44</v>
      </c>
      <c r="I388" s="3" t="s">
        <v>49</v>
      </c>
      <c r="J388" s="3">
        <v>2</v>
      </c>
      <c r="K388" s="3">
        <v>26073.47270271854</v>
      </c>
      <c r="L388" s="3">
        <v>26403.087925999898</v>
      </c>
      <c r="M388" s="3">
        <f t="shared" si="57"/>
        <v>1.0126417845079374</v>
      </c>
      <c r="N388" s="3">
        <f t="shared" si="58"/>
        <v>1.0126417845079374</v>
      </c>
      <c r="O388" s="3" t="s">
        <v>143</v>
      </c>
      <c r="P388" s="3" t="s">
        <v>143</v>
      </c>
      <c r="Q388" s="3" t="str">
        <f t="shared" si="59"/>
        <v>376-2023-12-31</v>
      </c>
      <c r="R388" s="3">
        <v>0</v>
      </c>
      <c r="S388" s="3">
        <v>0</v>
      </c>
      <c r="T388" s="3" t="s">
        <v>31</v>
      </c>
      <c r="U388" s="3" t="s">
        <v>37</v>
      </c>
      <c r="V388" s="3" t="s">
        <v>142</v>
      </c>
      <c r="W388" s="3" t="s">
        <v>145</v>
      </c>
      <c r="X388" s="3" t="s">
        <v>146</v>
      </c>
      <c r="Y388" s="3" t="s">
        <v>147</v>
      </c>
      <c r="Z388" s="3" t="s">
        <v>63</v>
      </c>
      <c r="AA388" s="3" t="s">
        <v>148</v>
      </c>
      <c r="AB388" s="3" t="s">
        <v>78</v>
      </c>
      <c r="AC388" s="3" t="s">
        <v>66</v>
      </c>
      <c r="AD388" s="3">
        <v>0</v>
      </c>
    </row>
    <row r="389" spans="1:30" x14ac:dyDescent="0.3">
      <c r="A389" s="3">
        <v>376</v>
      </c>
      <c r="B389" s="3" t="s">
        <v>473</v>
      </c>
      <c r="C389" s="3" t="s">
        <v>142</v>
      </c>
      <c r="D389" s="3" t="s">
        <v>31</v>
      </c>
      <c r="E389" s="3" t="s">
        <v>32</v>
      </c>
      <c r="F389" s="12">
        <v>45291</v>
      </c>
      <c r="G389" s="3">
        <v>2023</v>
      </c>
      <c r="H389" s="3" t="s">
        <v>44</v>
      </c>
      <c r="I389" s="3" t="s">
        <v>49</v>
      </c>
      <c r="J389" s="3"/>
      <c r="K389" s="3">
        <v>26073.47270271854</v>
      </c>
      <c r="L389" s="3">
        <v>26403.087925999949</v>
      </c>
      <c r="M389" s="3">
        <f t="shared" si="57"/>
        <v>1.0126417845079394</v>
      </c>
      <c r="N389" s="3">
        <f t="shared" si="58"/>
        <v>1.0126417845079394</v>
      </c>
      <c r="O389" s="3" t="s">
        <v>143</v>
      </c>
      <c r="P389" s="3" t="s">
        <v>143</v>
      </c>
      <c r="Q389" s="3" t="str">
        <f t="shared" si="59"/>
        <v>376-2023-12-31</v>
      </c>
      <c r="R389" s="3">
        <v>0</v>
      </c>
      <c r="S389" s="3">
        <v>0</v>
      </c>
      <c r="T389" s="3" t="s">
        <v>443</v>
      </c>
      <c r="U389" s="3" t="s">
        <v>37</v>
      </c>
      <c r="V389" s="3" t="s">
        <v>142</v>
      </c>
      <c r="W389" s="3" t="s">
        <v>145</v>
      </c>
      <c r="X389" s="3" t="s">
        <v>146</v>
      </c>
      <c r="Y389" s="3" t="s">
        <v>147</v>
      </c>
      <c r="Z389" s="3" t="s">
        <v>63</v>
      </c>
      <c r="AA389" s="3" t="s">
        <v>148</v>
      </c>
      <c r="AB389" s="3" t="s">
        <v>78</v>
      </c>
      <c r="AC389" s="3" t="s">
        <v>66</v>
      </c>
      <c r="AD389" s="3">
        <v>0</v>
      </c>
    </row>
    <row r="390" spans="1:30" x14ac:dyDescent="0.3">
      <c r="A390" s="3">
        <v>376</v>
      </c>
      <c r="B390" s="3" t="s">
        <v>473</v>
      </c>
      <c r="C390" s="3" t="s">
        <v>142</v>
      </c>
      <c r="D390" s="3" t="s">
        <v>31</v>
      </c>
      <c r="E390" s="3" t="s">
        <v>32</v>
      </c>
      <c r="F390" s="12">
        <v>45657</v>
      </c>
      <c r="G390" s="3">
        <v>2024</v>
      </c>
      <c r="H390" s="3" t="s">
        <v>44</v>
      </c>
      <c r="I390" s="3" t="s">
        <v>53</v>
      </c>
      <c r="J390" s="3">
        <v>2</v>
      </c>
      <c r="K390" s="3">
        <v>27010.108280834509</v>
      </c>
      <c r="L390" s="3">
        <v>29467.922112</v>
      </c>
      <c r="M390" s="3">
        <f t="shared" si="57"/>
        <v>1.0909960747143497</v>
      </c>
      <c r="N390" s="3">
        <f t="shared" si="58"/>
        <v>1.0909960747143497</v>
      </c>
      <c r="O390" s="3" t="s">
        <v>143</v>
      </c>
      <c r="P390" s="3" t="s">
        <v>143</v>
      </c>
      <c r="Q390" s="3" t="str">
        <f t="shared" si="59"/>
        <v>376-2024-12-31</v>
      </c>
      <c r="R390" s="3">
        <v>0</v>
      </c>
      <c r="S390" s="3">
        <v>0</v>
      </c>
      <c r="T390" s="3" t="s">
        <v>31</v>
      </c>
      <c r="U390" s="3" t="s">
        <v>37</v>
      </c>
      <c r="V390" s="3" t="s">
        <v>142</v>
      </c>
      <c r="W390" s="3" t="s">
        <v>145</v>
      </c>
      <c r="X390" s="3" t="s">
        <v>146</v>
      </c>
      <c r="Y390" s="3" t="s">
        <v>147</v>
      </c>
      <c r="Z390" s="3" t="s">
        <v>63</v>
      </c>
      <c r="AA390" s="3" t="s">
        <v>148</v>
      </c>
      <c r="AB390" s="3" t="s">
        <v>78</v>
      </c>
      <c r="AC390" s="3" t="s">
        <v>66</v>
      </c>
      <c r="AD390" s="3">
        <v>0</v>
      </c>
    </row>
    <row r="391" spans="1:30" x14ac:dyDescent="0.3">
      <c r="A391" s="3">
        <v>376</v>
      </c>
      <c r="B391" s="3" t="s">
        <v>473</v>
      </c>
      <c r="C391" s="3" t="s">
        <v>142</v>
      </c>
      <c r="D391" s="3" t="s">
        <v>31</v>
      </c>
      <c r="E391" s="3" t="s">
        <v>32</v>
      </c>
      <c r="F391" s="12">
        <v>45657</v>
      </c>
      <c r="G391" s="3">
        <v>2024</v>
      </c>
      <c r="H391" s="3" t="s">
        <v>44</v>
      </c>
      <c r="I391" s="3" t="s">
        <v>53</v>
      </c>
      <c r="J391" s="3"/>
      <c r="K391" s="3">
        <v>27010.108280834509</v>
      </c>
      <c r="L391" s="3">
        <v>29467.922112</v>
      </c>
      <c r="M391" s="3">
        <f t="shared" si="57"/>
        <v>1.0909960747143497</v>
      </c>
      <c r="N391" s="3">
        <f t="shared" si="58"/>
        <v>1.0909960747143497</v>
      </c>
      <c r="O391" s="3" t="s">
        <v>143</v>
      </c>
      <c r="P391" s="3" t="s">
        <v>143</v>
      </c>
      <c r="Q391" s="3" t="str">
        <f t="shared" si="59"/>
        <v>376-2024-12-31</v>
      </c>
      <c r="R391" s="3">
        <v>0</v>
      </c>
      <c r="S391" s="3">
        <v>0</v>
      </c>
      <c r="T391" s="3" t="s">
        <v>443</v>
      </c>
      <c r="U391" s="3" t="s">
        <v>37</v>
      </c>
      <c r="V391" s="3" t="s">
        <v>142</v>
      </c>
      <c r="W391" s="3" t="s">
        <v>145</v>
      </c>
      <c r="X391" s="3" t="s">
        <v>146</v>
      </c>
      <c r="Y391" s="3" t="s">
        <v>147</v>
      </c>
      <c r="Z391" s="3" t="s">
        <v>63</v>
      </c>
      <c r="AA391" s="3" t="s">
        <v>148</v>
      </c>
      <c r="AB391" s="3" t="s">
        <v>78</v>
      </c>
      <c r="AC391" s="3" t="s">
        <v>66</v>
      </c>
      <c r="AD391" s="3">
        <v>0</v>
      </c>
    </row>
    <row r="392" spans="1:30" x14ac:dyDescent="0.3">
      <c r="A392" s="3">
        <v>376</v>
      </c>
      <c r="B392" s="3" t="s">
        <v>473</v>
      </c>
      <c r="C392" s="3" t="s">
        <v>142</v>
      </c>
      <c r="D392" s="3" t="s">
        <v>31</v>
      </c>
      <c r="E392" s="3" t="s">
        <v>32</v>
      </c>
      <c r="F392" s="12">
        <v>46022</v>
      </c>
      <c r="G392" s="3">
        <v>2025</v>
      </c>
      <c r="H392" s="3" t="s">
        <v>44</v>
      </c>
      <c r="I392" s="3" t="s">
        <v>465</v>
      </c>
      <c r="J392" s="3">
        <v>2</v>
      </c>
      <c r="K392" s="3">
        <v>32126.483745582696</v>
      </c>
      <c r="L392" s="3">
        <f>32126882709.8297/1000000</f>
        <v>32126.882709829701</v>
      </c>
      <c r="M392" s="3">
        <f t="shared" si="57"/>
        <v>1.0000124185469585</v>
      </c>
      <c r="N392" s="3">
        <f t="shared" si="58"/>
        <v>1.0000124185469585</v>
      </c>
      <c r="O392" s="3" t="s">
        <v>143</v>
      </c>
      <c r="P392" s="3" t="s">
        <v>143</v>
      </c>
      <c r="Q392" s="3" t="str">
        <f t="shared" si="59"/>
        <v>376-2025-12-31</v>
      </c>
      <c r="R392" s="3">
        <v>0</v>
      </c>
      <c r="S392" s="3">
        <v>0</v>
      </c>
      <c r="T392" s="3" t="s">
        <v>31</v>
      </c>
      <c r="U392" s="3" t="s">
        <v>37</v>
      </c>
      <c r="V392" s="3" t="s">
        <v>142</v>
      </c>
      <c r="W392" s="3" t="s">
        <v>145</v>
      </c>
      <c r="X392" s="3" t="s">
        <v>146</v>
      </c>
      <c r="Y392" s="3" t="s">
        <v>147</v>
      </c>
      <c r="Z392" s="3" t="s">
        <v>63</v>
      </c>
      <c r="AA392" s="3" t="s">
        <v>148</v>
      </c>
      <c r="AB392" s="3" t="s">
        <v>78</v>
      </c>
      <c r="AC392" s="3" t="s">
        <v>66</v>
      </c>
      <c r="AD392" s="3">
        <v>0</v>
      </c>
    </row>
    <row r="393" spans="1:30" x14ac:dyDescent="0.3">
      <c r="A393" s="3">
        <v>376</v>
      </c>
      <c r="B393" s="3" t="s">
        <v>473</v>
      </c>
      <c r="C393" s="3" t="s">
        <v>142</v>
      </c>
      <c r="D393" s="3" t="s">
        <v>31</v>
      </c>
      <c r="E393" s="3" t="s">
        <v>32</v>
      </c>
      <c r="F393" s="12">
        <v>46022</v>
      </c>
      <c r="G393" s="3">
        <v>2025</v>
      </c>
      <c r="H393" s="3" t="s">
        <v>44</v>
      </c>
      <c r="I393" s="3" t="s">
        <v>465</v>
      </c>
      <c r="J393" s="3"/>
      <c r="K393" s="3">
        <v>32126.483745582696</v>
      </c>
      <c r="L393" s="3">
        <f>32126882709.8297/1000000</f>
        <v>32126.882709829701</v>
      </c>
      <c r="M393" s="3">
        <f t="shared" si="57"/>
        <v>1.0000124185469585</v>
      </c>
      <c r="N393" s="3">
        <f t="shared" si="58"/>
        <v>1.0000124185469585</v>
      </c>
      <c r="O393" s="3" t="s">
        <v>143</v>
      </c>
      <c r="P393" s="3" t="s">
        <v>143</v>
      </c>
      <c r="Q393" s="3" t="str">
        <f t="shared" si="59"/>
        <v>376-2025-12-31</v>
      </c>
      <c r="R393" s="3">
        <v>0</v>
      </c>
      <c r="S393" s="3">
        <v>0</v>
      </c>
      <c r="T393" s="3" t="s">
        <v>443</v>
      </c>
      <c r="U393" s="3" t="s">
        <v>37</v>
      </c>
      <c r="V393" s="3" t="s">
        <v>142</v>
      </c>
      <c r="W393" s="3" t="s">
        <v>145</v>
      </c>
      <c r="X393" s="3" t="s">
        <v>146</v>
      </c>
      <c r="Y393" s="3" t="s">
        <v>147</v>
      </c>
      <c r="Z393" s="3" t="s">
        <v>63</v>
      </c>
      <c r="AA393" s="3" t="s">
        <v>148</v>
      </c>
      <c r="AB393" s="3" t="s">
        <v>78</v>
      </c>
      <c r="AC393" s="3" t="s">
        <v>66</v>
      </c>
      <c r="AD393" s="3">
        <v>0</v>
      </c>
    </row>
    <row r="394" spans="1:30" x14ac:dyDescent="0.3">
      <c r="A394" s="3">
        <v>377</v>
      </c>
      <c r="B394" s="3" t="s">
        <v>296</v>
      </c>
      <c r="C394" s="3" t="s">
        <v>142</v>
      </c>
      <c r="D394" s="3" t="s">
        <v>31</v>
      </c>
      <c r="E394" s="3" t="s">
        <v>32</v>
      </c>
      <c r="F394" s="12">
        <v>45291</v>
      </c>
      <c r="G394" s="3">
        <v>2023</v>
      </c>
      <c r="H394" s="3" t="s">
        <v>44</v>
      </c>
      <c r="I394" s="3" t="s">
        <v>49</v>
      </c>
      <c r="J394" s="3">
        <v>2</v>
      </c>
      <c r="K394" s="3">
        <v>12518.005306706251</v>
      </c>
      <c r="L394" s="3">
        <v>7607.1384189999999</v>
      </c>
      <c r="M394" s="3">
        <v>1.3</v>
      </c>
      <c r="N394" s="3">
        <v>1.6455603430904591</v>
      </c>
      <c r="O394" s="3" t="s">
        <v>143</v>
      </c>
      <c r="P394" s="3" t="s">
        <v>143</v>
      </c>
      <c r="Q394" s="3" t="str">
        <f t="shared" si="59"/>
        <v>377-2023-12-31</v>
      </c>
      <c r="R394" s="3">
        <v>0</v>
      </c>
      <c r="S394" s="3">
        <v>0</v>
      </c>
      <c r="T394" s="3" t="s">
        <v>31</v>
      </c>
      <c r="U394" s="3" t="s">
        <v>37</v>
      </c>
      <c r="V394" s="3" t="s">
        <v>142</v>
      </c>
      <c r="W394" s="3" t="s">
        <v>145</v>
      </c>
      <c r="X394" s="3" t="s">
        <v>146</v>
      </c>
      <c r="Y394" s="3" t="s">
        <v>147</v>
      </c>
      <c r="Z394" s="3" t="s">
        <v>63</v>
      </c>
      <c r="AA394" s="3" t="s">
        <v>148</v>
      </c>
      <c r="AB394" s="3" t="s">
        <v>78</v>
      </c>
      <c r="AC394" s="3" t="s">
        <v>66</v>
      </c>
      <c r="AD394" s="3">
        <v>0</v>
      </c>
    </row>
    <row r="395" spans="1:30" x14ac:dyDescent="0.3">
      <c r="A395" s="3">
        <v>377</v>
      </c>
      <c r="B395" s="3" t="s">
        <v>296</v>
      </c>
      <c r="C395" s="3" t="s">
        <v>142</v>
      </c>
      <c r="D395" s="3" t="s">
        <v>31</v>
      </c>
      <c r="E395" s="3" t="s">
        <v>32</v>
      </c>
      <c r="F395" s="12">
        <v>45291</v>
      </c>
      <c r="G395" s="3">
        <v>2023</v>
      </c>
      <c r="H395" s="3" t="s">
        <v>44</v>
      </c>
      <c r="I395" s="3" t="s">
        <v>49</v>
      </c>
      <c r="J395" s="3"/>
      <c r="K395" s="3">
        <v>12518.005306706251</v>
      </c>
      <c r="L395" s="3">
        <v>7607.138418999999</v>
      </c>
      <c r="M395" s="3">
        <v>1.3</v>
      </c>
      <c r="N395" s="3">
        <v>1.64556034309046</v>
      </c>
      <c r="O395" s="3" t="s">
        <v>143</v>
      </c>
      <c r="P395" s="3" t="s">
        <v>143</v>
      </c>
      <c r="Q395" s="3" t="str">
        <f t="shared" si="59"/>
        <v>377-2023-12-31</v>
      </c>
      <c r="R395" s="3">
        <v>0</v>
      </c>
      <c r="S395" s="3">
        <v>0</v>
      </c>
      <c r="T395" s="3" t="s">
        <v>443</v>
      </c>
      <c r="U395" s="3" t="s">
        <v>37</v>
      </c>
      <c r="V395" s="3" t="s">
        <v>142</v>
      </c>
      <c r="W395" s="3" t="s">
        <v>145</v>
      </c>
      <c r="X395" s="3" t="s">
        <v>146</v>
      </c>
      <c r="Y395" s="3" t="s">
        <v>147</v>
      </c>
      <c r="Z395" s="3" t="s">
        <v>63</v>
      </c>
      <c r="AA395" s="3" t="s">
        <v>148</v>
      </c>
      <c r="AB395" s="3" t="s">
        <v>78</v>
      </c>
      <c r="AC395" s="3" t="s">
        <v>66</v>
      </c>
      <c r="AD395" s="3">
        <v>0</v>
      </c>
    </row>
    <row r="396" spans="1:30" x14ac:dyDescent="0.3">
      <c r="A396" s="3">
        <v>377</v>
      </c>
      <c r="B396" s="3" t="s">
        <v>296</v>
      </c>
      <c r="C396" s="3" t="s">
        <v>142</v>
      </c>
      <c r="D396" s="3" t="s">
        <v>31</v>
      </c>
      <c r="E396" s="3" t="s">
        <v>32</v>
      </c>
      <c r="F396" s="12">
        <v>45657</v>
      </c>
      <c r="G396" s="3">
        <v>2024</v>
      </c>
      <c r="H396" s="3" t="s">
        <v>44</v>
      </c>
      <c r="I396" s="3" t="s">
        <v>53</v>
      </c>
      <c r="J396" s="3">
        <v>2</v>
      </c>
      <c r="K396" s="3">
        <v>9557.1950106811255</v>
      </c>
      <c r="L396" s="3">
        <v>11947.626618</v>
      </c>
      <c r="M396" s="3">
        <v>1.2501185342192269</v>
      </c>
      <c r="N396" s="3">
        <v>1.2501185342192269</v>
      </c>
      <c r="O396" s="3" t="s">
        <v>143</v>
      </c>
      <c r="P396" s="3" t="s">
        <v>143</v>
      </c>
      <c r="Q396" s="3" t="str">
        <f t="shared" si="59"/>
        <v>377-2024-12-31</v>
      </c>
      <c r="R396" s="3">
        <v>0</v>
      </c>
      <c r="S396" s="3">
        <v>0</v>
      </c>
      <c r="T396" s="3" t="s">
        <v>31</v>
      </c>
      <c r="U396" s="3" t="s">
        <v>37</v>
      </c>
      <c r="V396" s="3" t="s">
        <v>142</v>
      </c>
      <c r="W396" s="3" t="s">
        <v>145</v>
      </c>
      <c r="X396" s="3" t="s">
        <v>146</v>
      </c>
      <c r="Y396" s="3" t="s">
        <v>147</v>
      </c>
      <c r="Z396" s="3" t="s">
        <v>63</v>
      </c>
      <c r="AA396" s="3" t="s">
        <v>148</v>
      </c>
      <c r="AB396" s="3" t="s">
        <v>78</v>
      </c>
      <c r="AC396" s="3" t="s">
        <v>66</v>
      </c>
      <c r="AD396" s="3">
        <v>0</v>
      </c>
    </row>
    <row r="397" spans="1:30" x14ac:dyDescent="0.3">
      <c r="A397" s="3">
        <v>377</v>
      </c>
      <c r="B397" s="3" t="s">
        <v>296</v>
      </c>
      <c r="C397" s="3" t="s">
        <v>142</v>
      </c>
      <c r="D397" s="3" t="s">
        <v>31</v>
      </c>
      <c r="E397" s="3" t="s">
        <v>32</v>
      </c>
      <c r="F397" s="12">
        <v>45657</v>
      </c>
      <c r="G397" s="3">
        <v>2024</v>
      </c>
      <c r="H397" s="3" t="s">
        <v>44</v>
      </c>
      <c r="I397" s="3" t="s">
        <v>53</v>
      </c>
      <c r="J397" s="3"/>
      <c r="K397" s="3">
        <v>9557.1950106811255</v>
      </c>
      <c r="L397" s="3">
        <v>11947.626618</v>
      </c>
      <c r="M397" s="3">
        <v>1.2501185342192269</v>
      </c>
      <c r="N397" s="3">
        <v>1.2501185342192269</v>
      </c>
      <c r="O397" s="3" t="s">
        <v>143</v>
      </c>
      <c r="P397" s="3" t="s">
        <v>143</v>
      </c>
      <c r="Q397" s="3" t="str">
        <f t="shared" si="59"/>
        <v>377-2024-12-31</v>
      </c>
      <c r="R397" s="3">
        <v>0</v>
      </c>
      <c r="S397" s="3">
        <v>0</v>
      </c>
      <c r="T397" s="3" t="s">
        <v>443</v>
      </c>
      <c r="U397" s="3" t="s">
        <v>37</v>
      </c>
      <c r="V397" s="3" t="s">
        <v>142</v>
      </c>
      <c r="W397" s="3" t="s">
        <v>145</v>
      </c>
      <c r="X397" s="3" t="s">
        <v>146</v>
      </c>
      <c r="Y397" s="3" t="s">
        <v>147</v>
      </c>
      <c r="Z397" s="3" t="s">
        <v>63</v>
      </c>
      <c r="AA397" s="3" t="s">
        <v>148</v>
      </c>
      <c r="AB397" s="3" t="s">
        <v>78</v>
      </c>
      <c r="AC397" s="3" t="s">
        <v>66</v>
      </c>
      <c r="AD397" s="3">
        <v>0</v>
      </c>
    </row>
    <row r="398" spans="1:30" x14ac:dyDescent="0.3">
      <c r="A398" s="3">
        <v>377</v>
      </c>
      <c r="B398" s="3" t="s">
        <v>296</v>
      </c>
      <c r="C398" s="3" t="s">
        <v>142</v>
      </c>
      <c r="D398" s="3" t="s">
        <v>31</v>
      </c>
      <c r="E398" s="3" t="s">
        <v>32</v>
      </c>
      <c r="F398" s="12">
        <v>46022</v>
      </c>
      <c r="G398" s="3">
        <v>2025</v>
      </c>
      <c r="H398" s="3" t="s">
        <v>44</v>
      </c>
      <c r="I398" s="3" t="s">
        <v>465</v>
      </c>
      <c r="J398" s="3">
        <v>2</v>
      </c>
      <c r="K398" s="3"/>
      <c r="L398" s="3">
        <v>10285.243493</v>
      </c>
      <c r="M398" s="3"/>
      <c r="N398" s="3"/>
      <c r="O398" s="3" t="s">
        <v>143</v>
      </c>
      <c r="P398" s="3" t="s">
        <v>143</v>
      </c>
      <c r="Q398" s="3" t="str">
        <f t="shared" si="59"/>
        <v>377-2025-12-31</v>
      </c>
      <c r="R398" s="3">
        <v>0</v>
      </c>
      <c r="S398" s="3">
        <v>0</v>
      </c>
      <c r="T398" s="3" t="s">
        <v>31</v>
      </c>
      <c r="U398" s="3" t="s">
        <v>37</v>
      </c>
      <c r="V398" s="3" t="s">
        <v>142</v>
      </c>
      <c r="W398" s="3" t="s">
        <v>145</v>
      </c>
      <c r="X398" s="3" t="s">
        <v>146</v>
      </c>
      <c r="Y398" s="3" t="s">
        <v>147</v>
      </c>
      <c r="Z398" s="3" t="s">
        <v>63</v>
      </c>
      <c r="AA398" s="3" t="s">
        <v>148</v>
      </c>
      <c r="AB398" s="3" t="s">
        <v>78</v>
      </c>
      <c r="AC398" s="3" t="s">
        <v>66</v>
      </c>
      <c r="AD398" s="3">
        <v>0</v>
      </c>
    </row>
    <row r="399" spans="1:30" x14ac:dyDescent="0.3">
      <c r="A399" s="3">
        <v>379</v>
      </c>
      <c r="B399" s="3" t="s">
        <v>301</v>
      </c>
      <c r="C399" s="3" t="s">
        <v>302</v>
      </c>
      <c r="D399" s="3" t="s">
        <v>31</v>
      </c>
      <c r="E399" s="3" t="s">
        <v>32</v>
      </c>
      <c r="F399" s="12">
        <v>43281</v>
      </c>
      <c r="G399" s="3">
        <f t="shared" ref="G399:G410" si="60">YEAR(F399)</f>
        <v>2018</v>
      </c>
      <c r="H399" s="3" t="str">
        <f t="shared" ref="H399:H410" si="61">PROPER(TEXT(F399,"mmmm"))</f>
        <v>Junio</v>
      </c>
      <c r="I399" s="3" t="str">
        <f t="shared" ref="I399:I410" si="62">IF(H399="Junio",G399&amp;"-1",G399&amp;"-2")</f>
        <v>2018-1</v>
      </c>
      <c r="J399" s="3">
        <v>1</v>
      </c>
      <c r="K399" s="3"/>
      <c r="L399" s="11">
        <v>11960</v>
      </c>
      <c r="M399" s="3"/>
      <c r="N399" s="3"/>
      <c r="O399" s="3" t="s">
        <v>35</v>
      </c>
      <c r="P399" s="3" t="s">
        <v>35</v>
      </c>
      <c r="Q399" s="3" t="str">
        <f t="shared" si="59"/>
        <v>379-2018-06-30</v>
      </c>
      <c r="R399" s="3">
        <v>0</v>
      </c>
      <c r="S399" s="3">
        <v>0</v>
      </c>
      <c r="T399" s="3" t="s">
        <v>31</v>
      </c>
      <c r="U399" s="3" t="s">
        <v>37</v>
      </c>
      <c r="V399" s="3" t="s">
        <v>302</v>
      </c>
      <c r="W399" s="3" t="s">
        <v>38</v>
      </c>
      <c r="X399" s="3" t="s">
        <v>39</v>
      </c>
      <c r="Y399" s="3" t="s">
        <v>40</v>
      </c>
      <c r="Z399" s="3" t="s">
        <v>41</v>
      </c>
      <c r="AA399" s="3" t="s">
        <v>42</v>
      </c>
      <c r="AB399" s="3" t="s">
        <v>78</v>
      </c>
      <c r="AC399" s="3" t="s">
        <v>31</v>
      </c>
      <c r="AD399" s="3">
        <v>0</v>
      </c>
    </row>
    <row r="400" spans="1:30" x14ac:dyDescent="0.3">
      <c r="A400" s="3">
        <v>379</v>
      </c>
      <c r="B400" s="3" t="s">
        <v>301</v>
      </c>
      <c r="C400" s="3" t="s">
        <v>302</v>
      </c>
      <c r="D400" s="3" t="s">
        <v>31</v>
      </c>
      <c r="E400" s="3" t="s">
        <v>32</v>
      </c>
      <c r="F400" s="12">
        <v>43465</v>
      </c>
      <c r="G400" s="3">
        <f t="shared" si="60"/>
        <v>2018</v>
      </c>
      <c r="H400" s="3" t="str">
        <f t="shared" si="61"/>
        <v>Diciembre</v>
      </c>
      <c r="I400" s="3" t="str">
        <f t="shared" si="62"/>
        <v>2018-2</v>
      </c>
      <c r="J400" s="3"/>
      <c r="K400" s="3"/>
      <c r="L400" s="3">
        <v>22872</v>
      </c>
      <c r="M400" s="3"/>
      <c r="N400" s="3"/>
      <c r="O400" s="3" t="s">
        <v>35</v>
      </c>
      <c r="P400" s="3" t="s">
        <v>35</v>
      </c>
      <c r="Q400" s="3" t="str">
        <f t="shared" si="59"/>
        <v>379-2018-12-31</v>
      </c>
      <c r="R400" s="3">
        <v>0</v>
      </c>
      <c r="S400" s="3">
        <v>0</v>
      </c>
      <c r="T400" s="3" t="s">
        <v>443</v>
      </c>
      <c r="U400" s="3" t="s">
        <v>37</v>
      </c>
      <c r="V400" s="3" t="s">
        <v>302</v>
      </c>
      <c r="W400" s="3" t="s">
        <v>38</v>
      </c>
      <c r="X400" s="3" t="s">
        <v>39</v>
      </c>
      <c r="Y400" s="3" t="s">
        <v>40</v>
      </c>
      <c r="Z400" s="3" t="s">
        <v>41</v>
      </c>
      <c r="AA400" s="3" t="s">
        <v>42</v>
      </c>
      <c r="AB400" s="3" t="s">
        <v>78</v>
      </c>
      <c r="AC400" s="3" t="s">
        <v>31</v>
      </c>
      <c r="AD400" s="3">
        <v>0</v>
      </c>
    </row>
    <row r="401" spans="1:30" x14ac:dyDescent="0.3">
      <c r="A401" s="3">
        <v>379</v>
      </c>
      <c r="B401" s="3" t="s">
        <v>301</v>
      </c>
      <c r="C401" s="3" t="s">
        <v>302</v>
      </c>
      <c r="D401" s="3" t="s">
        <v>31</v>
      </c>
      <c r="E401" s="3" t="s">
        <v>32</v>
      </c>
      <c r="F401" s="12">
        <v>43465</v>
      </c>
      <c r="G401" s="3">
        <f t="shared" si="60"/>
        <v>2018</v>
      </c>
      <c r="H401" s="3" t="str">
        <f t="shared" si="61"/>
        <v>Diciembre</v>
      </c>
      <c r="I401" s="3" t="str">
        <f t="shared" si="62"/>
        <v>2018-2</v>
      </c>
      <c r="J401" s="3">
        <v>2</v>
      </c>
      <c r="K401" s="3"/>
      <c r="L401" s="11">
        <v>10912</v>
      </c>
      <c r="M401" s="3"/>
      <c r="N401" s="3"/>
      <c r="O401" s="3" t="s">
        <v>35</v>
      </c>
      <c r="P401" s="3" t="s">
        <v>35</v>
      </c>
      <c r="Q401" s="3" t="str">
        <f t="shared" si="59"/>
        <v>379-2018-12-31</v>
      </c>
      <c r="R401" s="3">
        <v>0</v>
      </c>
      <c r="S401" s="3">
        <v>0</v>
      </c>
      <c r="T401" s="3" t="s">
        <v>31</v>
      </c>
      <c r="U401" s="3" t="s">
        <v>37</v>
      </c>
      <c r="V401" s="3" t="s">
        <v>302</v>
      </c>
      <c r="W401" s="3" t="s">
        <v>38</v>
      </c>
      <c r="X401" s="3" t="s">
        <v>39</v>
      </c>
      <c r="Y401" s="3" t="s">
        <v>40</v>
      </c>
      <c r="Z401" s="3" t="s">
        <v>41</v>
      </c>
      <c r="AA401" s="3" t="s">
        <v>42</v>
      </c>
      <c r="AB401" s="3" t="s">
        <v>78</v>
      </c>
      <c r="AC401" s="3" t="s">
        <v>31</v>
      </c>
      <c r="AD401" s="3">
        <v>0</v>
      </c>
    </row>
    <row r="402" spans="1:30" x14ac:dyDescent="0.3">
      <c r="A402" s="3">
        <v>379</v>
      </c>
      <c r="B402" s="3" t="s">
        <v>301</v>
      </c>
      <c r="C402" s="3" t="s">
        <v>302</v>
      </c>
      <c r="D402" s="3" t="s">
        <v>31</v>
      </c>
      <c r="E402" s="3" t="s">
        <v>32</v>
      </c>
      <c r="F402" s="12">
        <v>43646</v>
      </c>
      <c r="G402" s="3">
        <f t="shared" si="60"/>
        <v>2019</v>
      </c>
      <c r="H402" s="3" t="str">
        <f t="shared" si="61"/>
        <v>Junio</v>
      </c>
      <c r="I402" s="3" t="str">
        <f t="shared" si="62"/>
        <v>2019-1</v>
      </c>
      <c r="J402" s="3">
        <v>1</v>
      </c>
      <c r="K402" s="3"/>
      <c r="L402" s="11">
        <v>12993</v>
      </c>
      <c r="M402" s="3"/>
      <c r="N402" s="3"/>
      <c r="O402" s="3" t="s">
        <v>35</v>
      </c>
      <c r="P402" s="3" t="s">
        <v>35</v>
      </c>
      <c r="Q402" s="3" t="str">
        <f t="shared" si="59"/>
        <v>379-2019-06-30</v>
      </c>
      <c r="R402" s="3">
        <v>0</v>
      </c>
      <c r="S402" s="3">
        <v>0</v>
      </c>
      <c r="T402" s="3" t="s">
        <v>31</v>
      </c>
      <c r="U402" s="3" t="s">
        <v>37</v>
      </c>
      <c r="V402" s="3" t="s">
        <v>302</v>
      </c>
      <c r="W402" s="3" t="s">
        <v>38</v>
      </c>
      <c r="X402" s="3" t="s">
        <v>39</v>
      </c>
      <c r="Y402" s="3" t="s">
        <v>40</v>
      </c>
      <c r="Z402" s="3" t="s">
        <v>41</v>
      </c>
      <c r="AA402" s="3" t="s">
        <v>42</v>
      </c>
      <c r="AB402" s="3" t="s">
        <v>78</v>
      </c>
      <c r="AC402" s="3" t="s">
        <v>31</v>
      </c>
      <c r="AD402" s="3">
        <v>0</v>
      </c>
    </row>
    <row r="403" spans="1:30" x14ac:dyDescent="0.3">
      <c r="A403" s="3">
        <v>379</v>
      </c>
      <c r="B403" s="3" t="s">
        <v>301</v>
      </c>
      <c r="C403" s="3" t="s">
        <v>302</v>
      </c>
      <c r="D403" s="3" t="s">
        <v>31</v>
      </c>
      <c r="E403" s="3" t="s">
        <v>32</v>
      </c>
      <c r="F403" s="12">
        <v>43830</v>
      </c>
      <c r="G403" s="3">
        <f t="shared" si="60"/>
        <v>2019</v>
      </c>
      <c r="H403" s="3" t="str">
        <f t="shared" si="61"/>
        <v>Diciembre</v>
      </c>
      <c r="I403" s="3" t="str">
        <f t="shared" si="62"/>
        <v>2019-2</v>
      </c>
      <c r="J403" s="3">
        <v>2</v>
      </c>
      <c r="K403" s="3"/>
      <c r="L403" s="11">
        <v>9616</v>
      </c>
      <c r="M403" s="3"/>
      <c r="N403" s="3"/>
      <c r="O403" s="3" t="s">
        <v>35</v>
      </c>
      <c r="P403" s="3" t="s">
        <v>35</v>
      </c>
      <c r="Q403" s="3" t="str">
        <f t="shared" si="59"/>
        <v>379-2019-12-31</v>
      </c>
      <c r="R403" s="3">
        <v>0</v>
      </c>
      <c r="S403" s="3">
        <v>0</v>
      </c>
      <c r="T403" s="3" t="s">
        <v>31</v>
      </c>
      <c r="U403" s="3" t="s">
        <v>37</v>
      </c>
      <c r="V403" s="3" t="s">
        <v>302</v>
      </c>
      <c r="W403" s="3" t="s">
        <v>38</v>
      </c>
      <c r="X403" s="3" t="s">
        <v>39</v>
      </c>
      <c r="Y403" s="3" t="s">
        <v>40</v>
      </c>
      <c r="Z403" s="3" t="s">
        <v>41</v>
      </c>
      <c r="AA403" s="3" t="s">
        <v>42</v>
      </c>
      <c r="AB403" s="3" t="s">
        <v>78</v>
      </c>
      <c r="AC403" s="3" t="s">
        <v>31</v>
      </c>
      <c r="AD403" s="3">
        <v>0</v>
      </c>
    </row>
    <row r="404" spans="1:30" x14ac:dyDescent="0.3">
      <c r="A404" s="3">
        <v>379</v>
      </c>
      <c r="B404" s="3" t="s">
        <v>301</v>
      </c>
      <c r="C404" s="3" t="s">
        <v>302</v>
      </c>
      <c r="D404" s="3" t="s">
        <v>31</v>
      </c>
      <c r="E404" s="3" t="s">
        <v>32</v>
      </c>
      <c r="F404" s="12">
        <v>43830</v>
      </c>
      <c r="G404" s="3">
        <f t="shared" si="60"/>
        <v>2019</v>
      </c>
      <c r="H404" s="3" t="str">
        <f t="shared" si="61"/>
        <v>Diciembre</v>
      </c>
      <c r="I404" s="3" t="str">
        <f t="shared" si="62"/>
        <v>2019-2</v>
      </c>
      <c r="J404" s="3"/>
      <c r="K404" s="3"/>
      <c r="L404" s="3">
        <v>22609</v>
      </c>
      <c r="M404" s="3"/>
      <c r="N404" s="3"/>
      <c r="O404" s="3" t="s">
        <v>35</v>
      </c>
      <c r="P404" s="3" t="s">
        <v>35</v>
      </c>
      <c r="Q404" s="3" t="str">
        <f t="shared" si="59"/>
        <v>379-2019-12-31</v>
      </c>
      <c r="R404" s="3">
        <v>0</v>
      </c>
      <c r="S404" s="3">
        <v>0</v>
      </c>
      <c r="T404" s="3" t="s">
        <v>443</v>
      </c>
      <c r="U404" s="3" t="s">
        <v>37</v>
      </c>
      <c r="V404" s="3" t="s">
        <v>302</v>
      </c>
      <c r="W404" s="3" t="s">
        <v>38</v>
      </c>
      <c r="X404" s="3" t="s">
        <v>39</v>
      </c>
      <c r="Y404" s="3" t="s">
        <v>40</v>
      </c>
      <c r="Z404" s="3" t="s">
        <v>41</v>
      </c>
      <c r="AA404" s="3" t="s">
        <v>42</v>
      </c>
      <c r="AB404" s="3" t="s">
        <v>78</v>
      </c>
      <c r="AC404" s="3" t="s">
        <v>31</v>
      </c>
      <c r="AD404" s="3">
        <v>0</v>
      </c>
    </row>
    <row r="405" spans="1:30" x14ac:dyDescent="0.3">
      <c r="A405" s="3">
        <v>379</v>
      </c>
      <c r="B405" s="3" t="s">
        <v>301</v>
      </c>
      <c r="C405" s="3" t="s">
        <v>302</v>
      </c>
      <c r="D405" s="3" t="s">
        <v>31</v>
      </c>
      <c r="E405" s="3" t="s">
        <v>32</v>
      </c>
      <c r="F405" s="12">
        <v>44012</v>
      </c>
      <c r="G405" s="3">
        <f t="shared" si="60"/>
        <v>2020</v>
      </c>
      <c r="H405" s="3" t="str">
        <f t="shared" si="61"/>
        <v>Junio</v>
      </c>
      <c r="I405" s="3" t="str">
        <f t="shared" si="62"/>
        <v>2020-1</v>
      </c>
      <c r="J405" s="3">
        <v>1</v>
      </c>
      <c r="K405" s="3"/>
      <c r="L405" s="11">
        <v>11830</v>
      </c>
      <c r="M405" s="3"/>
      <c r="N405" s="3"/>
      <c r="O405" s="3" t="s">
        <v>35</v>
      </c>
      <c r="P405" s="3" t="s">
        <v>35</v>
      </c>
      <c r="Q405" s="3" t="str">
        <f t="shared" si="59"/>
        <v>379-2020-06-30</v>
      </c>
      <c r="R405" s="3">
        <v>0</v>
      </c>
      <c r="S405" s="3">
        <v>0</v>
      </c>
      <c r="T405" s="3" t="s">
        <v>31</v>
      </c>
      <c r="U405" s="3" t="s">
        <v>37</v>
      </c>
      <c r="V405" s="3" t="s">
        <v>302</v>
      </c>
      <c r="W405" s="3" t="s">
        <v>38</v>
      </c>
      <c r="X405" s="3" t="s">
        <v>39</v>
      </c>
      <c r="Y405" s="3" t="s">
        <v>40</v>
      </c>
      <c r="Z405" s="3" t="s">
        <v>41</v>
      </c>
      <c r="AA405" s="3" t="s">
        <v>42</v>
      </c>
      <c r="AB405" s="3" t="s">
        <v>78</v>
      </c>
      <c r="AC405" s="3" t="s">
        <v>31</v>
      </c>
      <c r="AD405" s="3">
        <v>0</v>
      </c>
    </row>
    <row r="406" spans="1:30" x14ac:dyDescent="0.3">
      <c r="A406" s="3">
        <v>379</v>
      </c>
      <c r="B406" s="3" t="s">
        <v>301</v>
      </c>
      <c r="C406" s="3" t="s">
        <v>302</v>
      </c>
      <c r="D406" s="3" t="s">
        <v>31</v>
      </c>
      <c r="E406" s="3" t="s">
        <v>32</v>
      </c>
      <c r="F406" s="12">
        <v>44196</v>
      </c>
      <c r="G406" s="3">
        <f t="shared" si="60"/>
        <v>2020</v>
      </c>
      <c r="H406" s="3" t="str">
        <f t="shared" si="61"/>
        <v>Diciembre</v>
      </c>
      <c r="I406" s="3" t="str">
        <f t="shared" si="62"/>
        <v>2020-2</v>
      </c>
      <c r="J406" s="3">
        <v>2</v>
      </c>
      <c r="K406" s="3"/>
      <c r="L406" s="11">
        <v>10182</v>
      </c>
      <c r="M406" s="3"/>
      <c r="N406" s="3"/>
      <c r="O406" s="3" t="s">
        <v>35</v>
      </c>
      <c r="P406" s="3" t="s">
        <v>35</v>
      </c>
      <c r="Q406" s="3" t="str">
        <f t="shared" si="59"/>
        <v>379-2020-12-31</v>
      </c>
      <c r="R406" s="3">
        <v>0</v>
      </c>
      <c r="S406" s="3">
        <v>0</v>
      </c>
      <c r="T406" s="3" t="s">
        <v>31</v>
      </c>
      <c r="U406" s="3" t="s">
        <v>37</v>
      </c>
      <c r="V406" s="3" t="s">
        <v>302</v>
      </c>
      <c r="W406" s="3" t="s">
        <v>38</v>
      </c>
      <c r="X406" s="3" t="s">
        <v>39</v>
      </c>
      <c r="Y406" s="3" t="s">
        <v>40</v>
      </c>
      <c r="Z406" s="3" t="s">
        <v>41</v>
      </c>
      <c r="AA406" s="3" t="s">
        <v>42</v>
      </c>
      <c r="AB406" s="3" t="s">
        <v>78</v>
      </c>
      <c r="AC406" s="3" t="s">
        <v>31</v>
      </c>
      <c r="AD406" s="3">
        <v>0</v>
      </c>
    </row>
    <row r="407" spans="1:30" x14ac:dyDescent="0.3">
      <c r="A407" s="3">
        <v>379</v>
      </c>
      <c r="B407" s="3" t="s">
        <v>301</v>
      </c>
      <c r="C407" s="3" t="s">
        <v>302</v>
      </c>
      <c r="D407" s="3" t="s">
        <v>31</v>
      </c>
      <c r="E407" s="3" t="s">
        <v>32</v>
      </c>
      <c r="F407" s="12">
        <v>44196</v>
      </c>
      <c r="G407" s="3">
        <f t="shared" si="60"/>
        <v>2020</v>
      </c>
      <c r="H407" s="3" t="str">
        <f t="shared" si="61"/>
        <v>Diciembre</v>
      </c>
      <c r="I407" s="3" t="str">
        <f t="shared" si="62"/>
        <v>2020-2</v>
      </c>
      <c r="J407" s="3"/>
      <c r="K407" s="3"/>
      <c r="L407" s="3">
        <v>22012</v>
      </c>
      <c r="M407" s="3"/>
      <c r="N407" s="3"/>
      <c r="O407" s="3" t="s">
        <v>35</v>
      </c>
      <c r="P407" s="3" t="s">
        <v>35</v>
      </c>
      <c r="Q407" s="3" t="str">
        <f t="shared" si="59"/>
        <v>379-2020-12-31</v>
      </c>
      <c r="R407" s="3">
        <v>0</v>
      </c>
      <c r="S407" s="3">
        <v>0</v>
      </c>
      <c r="T407" s="3" t="s">
        <v>443</v>
      </c>
      <c r="U407" s="3" t="s">
        <v>37</v>
      </c>
      <c r="V407" s="3" t="s">
        <v>302</v>
      </c>
      <c r="W407" s="3" t="s">
        <v>38</v>
      </c>
      <c r="X407" s="3" t="s">
        <v>39</v>
      </c>
      <c r="Y407" s="3" t="s">
        <v>40</v>
      </c>
      <c r="Z407" s="3" t="s">
        <v>41</v>
      </c>
      <c r="AA407" s="3" t="s">
        <v>42</v>
      </c>
      <c r="AB407" s="3" t="s">
        <v>78</v>
      </c>
      <c r="AC407" s="3" t="s">
        <v>31</v>
      </c>
      <c r="AD407" s="3">
        <v>0</v>
      </c>
    </row>
    <row r="408" spans="1:30" x14ac:dyDescent="0.3">
      <c r="A408" s="3">
        <v>379</v>
      </c>
      <c r="B408" s="3" t="s">
        <v>301</v>
      </c>
      <c r="C408" s="3" t="s">
        <v>302</v>
      </c>
      <c r="D408" s="3" t="s">
        <v>31</v>
      </c>
      <c r="E408" s="3" t="s">
        <v>32</v>
      </c>
      <c r="F408" s="12">
        <v>44377</v>
      </c>
      <c r="G408" s="3">
        <f t="shared" si="60"/>
        <v>2021</v>
      </c>
      <c r="H408" s="3" t="str">
        <f t="shared" si="61"/>
        <v>Junio</v>
      </c>
      <c r="I408" s="3" t="str">
        <f t="shared" si="62"/>
        <v>2021-1</v>
      </c>
      <c r="J408" s="3">
        <v>1</v>
      </c>
      <c r="K408" s="3"/>
      <c r="L408" s="11">
        <v>10300</v>
      </c>
      <c r="M408" s="3"/>
      <c r="N408" s="3"/>
      <c r="O408" s="3" t="s">
        <v>35</v>
      </c>
      <c r="P408" s="3" t="s">
        <v>35</v>
      </c>
      <c r="Q408" s="3" t="str">
        <f t="shared" si="59"/>
        <v>379-2021-06-30</v>
      </c>
      <c r="R408" s="3">
        <v>0</v>
      </c>
      <c r="S408" s="3">
        <v>0</v>
      </c>
      <c r="T408" s="3" t="s">
        <v>31</v>
      </c>
      <c r="U408" s="3" t="s">
        <v>37</v>
      </c>
      <c r="V408" s="3" t="s">
        <v>302</v>
      </c>
      <c r="W408" s="3" t="s">
        <v>38</v>
      </c>
      <c r="X408" s="3" t="s">
        <v>39</v>
      </c>
      <c r="Y408" s="3" t="s">
        <v>40</v>
      </c>
      <c r="Z408" s="3" t="s">
        <v>41</v>
      </c>
      <c r="AA408" s="3" t="s">
        <v>42</v>
      </c>
      <c r="AB408" s="3" t="s">
        <v>78</v>
      </c>
      <c r="AC408" s="3" t="s">
        <v>31</v>
      </c>
      <c r="AD408" s="3">
        <v>0</v>
      </c>
    </row>
    <row r="409" spans="1:30" x14ac:dyDescent="0.3">
      <c r="A409" s="3">
        <v>379</v>
      </c>
      <c r="B409" s="3" t="s">
        <v>301</v>
      </c>
      <c r="C409" s="3" t="s">
        <v>302</v>
      </c>
      <c r="D409" s="3" t="s">
        <v>31</v>
      </c>
      <c r="E409" s="3" t="s">
        <v>32</v>
      </c>
      <c r="F409" s="12">
        <v>44561</v>
      </c>
      <c r="G409" s="3">
        <f t="shared" si="60"/>
        <v>2021</v>
      </c>
      <c r="H409" s="3" t="str">
        <f t="shared" si="61"/>
        <v>Diciembre</v>
      </c>
      <c r="I409" s="3" t="str">
        <f t="shared" si="62"/>
        <v>2021-2</v>
      </c>
      <c r="J409" s="3">
        <v>2</v>
      </c>
      <c r="K409" s="3"/>
      <c r="L409" s="11">
        <v>8229</v>
      </c>
      <c r="M409" s="3"/>
      <c r="N409" s="3"/>
      <c r="O409" s="3" t="s">
        <v>35</v>
      </c>
      <c r="P409" s="3" t="s">
        <v>35</v>
      </c>
      <c r="Q409" s="3" t="str">
        <f t="shared" si="59"/>
        <v>379-2021-12-31</v>
      </c>
      <c r="R409" s="3">
        <v>0</v>
      </c>
      <c r="S409" s="3">
        <v>0</v>
      </c>
      <c r="T409" s="3" t="s">
        <v>31</v>
      </c>
      <c r="U409" s="3" t="s">
        <v>37</v>
      </c>
      <c r="V409" s="3" t="s">
        <v>302</v>
      </c>
      <c r="W409" s="3" t="s">
        <v>38</v>
      </c>
      <c r="X409" s="3" t="s">
        <v>39</v>
      </c>
      <c r="Y409" s="3" t="s">
        <v>40</v>
      </c>
      <c r="Z409" s="3" t="s">
        <v>41</v>
      </c>
      <c r="AA409" s="3" t="s">
        <v>42</v>
      </c>
      <c r="AB409" s="3" t="s">
        <v>78</v>
      </c>
      <c r="AC409" s="3" t="s">
        <v>31</v>
      </c>
      <c r="AD409" s="3">
        <v>0</v>
      </c>
    </row>
    <row r="410" spans="1:30" x14ac:dyDescent="0.3">
      <c r="A410" s="3">
        <v>379</v>
      </c>
      <c r="B410" s="3" t="s">
        <v>301</v>
      </c>
      <c r="C410" s="3" t="s">
        <v>302</v>
      </c>
      <c r="D410" s="3" t="s">
        <v>31</v>
      </c>
      <c r="E410" s="3" t="s">
        <v>32</v>
      </c>
      <c r="F410" s="12">
        <v>44561</v>
      </c>
      <c r="G410" s="3">
        <f t="shared" si="60"/>
        <v>2021</v>
      </c>
      <c r="H410" s="3" t="str">
        <f t="shared" si="61"/>
        <v>Diciembre</v>
      </c>
      <c r="I410" s="3" t="str">
        <f t="shared" si="62"/>
        <v>2021-2</v>
      </c>
      <c r="J410" s="3"/>
      <c r="K410" s="3"/>
      <c r="L410" s="3">
        <v>18529</v>
      </c>
      <c r="M410" s="3"/>
      <c r="N410" s="3"/>
      <c r="O410" s="3" t="s">
        <v>35</v>
      </c>
      <c r="P410" s="3" t="s">
        <v>35</v>
      </c>
      <c r="Q410" s="3" t="str">
        <f t="shared" si="59"/>
        <v>379-2021-12-31</v>
      </c>
      <c r="R410" s="3">
        <v>0</v>
      </c>
      <c r="S410" s="3">
        <v>0</v>
      </c>
      <c r="T410" s="3" t="s">
        <v>443</v>
      </c>
      <c r="U410" s="3" t="s">
        <v>37</v>
      </c>
      <c r="V410" s="3" t="s">
        <v>302</v>
      </c>
      <c r="W410" s="3" t="s">
        <v>38</v>
      </c>
      <c r="X410" s="3" t="s">
        <v>39</v>
      </c>
      <c r="Y410" s="3" t="s">
        <v>40</v>
      </c>
      <c r="Z410" s="3" t="s">
        <v>41</v>
      </c>
      <c r="AA410" s="3" t="s">
        <v>42</v>
      </c>
      <c r="AB410" s="3" t="s">
        <v>78</v>
      </c>
      <c r="AC410" s="3" t="s">
        <v>31</v>
      </c>
      <c r="AD410" s="3">
        <v>0</v>
      </c>
    </row>
    <row r="411" spans="1:30" x14ac:dyDescent="0.3">
      <c r="A411" s="3">
        <v>379</v>
      </c>
      <c r="B411" s="3" t="s">
        <v>301</v>
      </c>
      <c r="C411" s="3" t="s">
        <v>302</v>
      </c>
      <c r="D411" s="3" t="s">
        <v>31</v>
      </c>
      <c r="E411" s="3" t="s">
        <v>32</v>
      </c>
      <c r="F411" s="12">
        <v>44742</v>
      </c>
      <c r="G411" s="3">
        <v>2022</v>
      </c>
      <c r="H411" s="3" t="s">
        <v>33</v>
      </c>
      <c r="I411" s="3" t="s">
        <v>34</v>
      </c>
      <c r="J411" s="3">
        <v>1</v>
      </c>
      <c r="K411" s="3">
        <v>10808</v>
      </c>
      <c r="L411" s="3">
        <v>11012</v>
      </c>
      <c r="M411" s="3">
        <f>+L411/K411</f>
        <v>1.0188749074759438</v>
      </c>
      <c r="N411" s="3">
        <f>+L411/K411</f>
        <v>1.0188749074759438</v>
      </c>
      <c r="O411" s="3" t="s">
        <v>35</v>
      </c>
      <c r="P411" s="3" t="s">
        <v>35</v>
      </c>
      <c r="Q411" s="3" t="str">
        <f t="shared" si="59"/>
        <v>379-2022-06-30</v>
      </c>
      <c r="R411" s="3">
        <v>0</v>
      </c>
      <c r="S411" s="3">
        <v>0</v>
      </c>
      <c r="T411" s="3" t="s">
        <v>31</v>
      </c>
      <c r="U411" s="3" t="s">
        <v>37</v>
      </c>
      <c r="V411" s="3" t="s">
        <v>302</v>
      </c>
      <c r="W411" s="3" t="s">
        <v>38</v>
      </c>
      <c r="X411" s="3" t="s">
        <v>39</v>
      </c>
      <c r="Y411" s="3" t="s">
        <v>40</v>
      </c>
      <c r="Z411" s="3" t="s">
        <v>41</v>
      </c>
      <c r="AA411" s="3" t="s">
        <v>42</v>
      </c>
      <c r="AB411" s="3" t="s">
        <v>78</v>
      </c>
      <c r="AC411" s="3" t="s">
        <v>31</v>
      </c>
      <c r="AD411" s="3">
        <v>0</v>
      </c>
    </row>
    <row r="412" spans="1:30" x14ac:dyDescent="0.3">
      <c r="A412" s="3">
        <v>379</v>
      </c>
      <c r="B412" s="3" t="s">
        <v>301</v>
      </c>
      <c r="C412" s="3" t="s">
        <v>302</v>
      </c>
      <c r="D412" s="3" t="s">
        <v>31</v>
      </c>
      <c r="E412" s="3" t="s">
        <v>32</v>
      </c>
      <c r="F412" s="12">
        <v>44926</v>
      </c>
      <c r="G412" s="3">
        <v>2022</v>
      </c>
      <c r="H412" s="3" t="s">
        <v>44</v>
      </c>
      <c r="I412" s="3" t="s">
        <v>45</v>
      </c>
      <c r="J412" s="3">
        <v>2</v>
      </c>
      <c r="K412" s="3">
        <v>9192</v>
      </c>
      <c r="L412" s="3">
        <v>9578</v>
      </c>
      <c r="M412" s="3">
        <f t="shared" ref="M412:M421" si="63">+L412/K412</f>
        <v>1.0419930374238469</v>
      </c>
      <c r="N412" s="3">
        <f t="shared" ref="N412:N421" si="64">+L412/K412</f>
        <v>1.0419930374238469</v>
      </c>
      <c r="O412" s="3" t="s">
        <v>35</v>
      </c>
      <c r="P412" s="3" t="s">
        <v>35</v>
      </c>
      <c r="Q412" s="3" t="str">
        <f t="shared" si="59"/>
        <v>379-2022-12-31</v>
      </c>
      <c r="R412" s="3">
        <v>0</v>
      </c>
      <c r="S412" s="3">
        <v>0</v>
      </c>
      <c r="T412" s="3" t="s">
        <v>31</v>
      </c>
      <c r="U412" s="3" t="s">
        <v>37</v>
      </c>
      <c r="V412" s="3" t="s">
        <v>302</v>
      </c>
      <c r="W412" s="3" t="s">
        <v>38</v>
      </c>
      <c r="X412" s="3" t="s">
        <v>39</v>
      </c>
      <c r="Y412" s="3" t="s">
        <v>40</v>
      </c>
      <c r="Z412" s="3" t="s">
        <v>41</v>
      </c>
      <c r="AA412" s="3" t="s">
        <v>42</v>
      </c>
      <c r="AB412" s="3" t="s">
        <v>78</v>
      </c>
      <c r="AC412" s="3" t="s">
        <v>31</v>
      </c>
      <c r="AD412" s="3">
        <v>0</v>
      </c>
    </row>
    <row r="413" spans="1:30" x14ac:dyDescent="0.3">
      <c r="A413" s="3">
        <v>379</v>
      </c>
      <c r="B413" s="3" t="s">
        <v>301</v>
      </c>
      <c r="C413" s="3" t="s">
        <v>302</v>
      </c>
      <c r="D413" s="3" t="s">
        <v>31</v>
      </c>
      <c r="E413" s="3" t="s">
        <v>32</v>
      </c>
      <c r="F413" s="12">
        <v>44926</v>
      </c>
      <c r="G413" s="3">
        <v>2022</v>
      </c>
      <c r="H413" s="3" t="s">
        <v>44</v>
      </c>
      <c r="I413" s="3" t="s">
        <v>45</v>
      </c>
      <c r="J413" s="3"/>
      <c r="K413" s="3">
        <v>20000</v>
      </c>
      <c r="L413" s="3">
        <v>20590</v>
      </c>
      <c r="M413" s="3">
        <f t="shared" si="63"/>
        <v>1.0295000000000001</v>
      </c>
      <c r="N413" s="3">
        <f t="shared" si="64"/>
        <v>1.0295000000000001</v>
      </c>
      <c r="O413" s="3" t="s">
        <v>35</v>
      </c>
      <c r="P413" s="3" t="s">
        <v>35</v>
      </c>
      <c r="Q413" s="3" t="str">
        <f t="shared" si="59"/>
        <v>379-2022-12-31</v>
      </c>
      <c r="R413" s="3">
        <v>0</v>
      </c>
      <c r="S413" s="3">
        <v>0</v>
      </c>
      <c r="T413" s="3" t="s">
        <v>443</v>
      </c>
      <c r="U413" s="3" t="s">
        <v>37</v>
      </c>
      <c r="V413" s="3" t="s">
        <v>302</v>
      </c>
      <c r="W413" s="3" t="s">
        <v>38</v>
      </c>
      <c r="X413" s="3" t="s">
        <v>39</v>
      </c>
      <c r="Y413" s="3" t="s">
        <v>40</v>
      </c>
      <c r="Z413" s="3" t="s">
        <v>41</v>
      </c>
      <c r="AA413" s="3" t="s">
        <v>42</v>
      </c>
      <c r="AB413" s="3" t="s">
        <v>78</v>
      </c>
      <c r="AC413" s="3" t="s">
        <v>31</v>
      </c>
      <c r="AD413" s="3">
        <v>0</v>
      </c>
    </row>
    <row r="414" spans="1:30" x14ac:dyDescent="0.3">
      <c r="A414" s="3">
        <v>379</v>
      </c>
      <c r="B414" s="3" t="s">
        <v>301</v>
      </c>
      <c r="C414" s="3" t="s">
        <v>302</v>
      </c>
      <c r="D414" s="3" t="s">
        <v>31</v>
      </c>
      <c r="E414" s="3" t="s">
        <v>32</v>
      </c>
      <c r="F414" s="12">
        <v>45107</v>
      </c>
      <c r="G414" s="3">
        <v>2023</v>
      </c>
      <c r="H414" s="3" t="s">
        <v>33</v>
      </c>
      <c r="I414" s="3" t="s">
        <v>47</v>
      </c>
      <c r="J414" s="3">
        <v>1</v>
      </c>
      <c r="K414" s="3">
        <v>12130</v>
      </c>
      <c r="L414" s="3">
        <v>12382</v>
      </c>
      <c r="M414" s="3">
        <f t="shared" si="63"/>
        <v>1.0207749381698268</v>
      </c>
      <c r="N414" s="3">
        <f t="shared" si="64"/>
        <v>1.0207749381698268</v>
      </c>
      <c r="O414" s="3" t="s">
        <v>35</v>
      </c>
      <c r="P414" s="3" t="s">
        <v>35</v>
      </c>
      <c r="Q414" s="3" t="str">
        <f t="shared" si="59"/>
        <v>379-2023-06-30</v>
      </c>
      <c r="R414" s="3">
        <v>0</v>
      </c>
      <c r="S414" s="3">
        <v>0</v>
      </c>
      <c r="T414" s="3" t="s">
        <v>31</v>
      </c>
      <c r="U414" s="3" t="s">
        <v>37</v>
      </c>
      <c r="V414" s="3" t="s">
        <v>302</v>
      </c>
      <c r="W414" s="3" t="s">
        <v>38</v>
      </c>
      <c r="X414" s="3" t="s">
        <v>39</v>
      </c>
      <c r="Y414" s="3" t="s">
        <v>40</v>
      </c>
      <c r="Z414" s="3" t="s">
        <v>41</v>
      </c>
      <c r="AA414" s="3" t="s">
        <v>42</v>
      </c>
      <c r="AB414" s="3" t="s">
        <v>78</v>
      </c>
      <c r="AC414" s="3" t="s">
        <v>31</v>
      </c>
      <c r="AD414" s="3">
        <v>0</v>
      </c>
    </row>
    <row r="415" spans="1:30" x14ac:dyDescent="0.3">
      <c r="A415" s="3">
        <v>379</v>
      </c>
      <c r="B415" s="3" t="s">
        <v>301</v>
      </c>
      <c r="C415" s="3" t="s">
        <v>302</v>
      </c>
      <c r="D415" s="3" t="s">
        <v>31</v>
      </c>
      <c r="E415" s="3" t="s">
        <v>32</v>
      </c>
      <c r="F415" s="12">
        <v>45291</v>
      </c>
      <c r="G415" s="3">
        <v>2023</v>
      </c>
      <c r="H415" s="3" t="s">
        <v>44</v>
      </c>
      <c r="I415" s="3" t="s">
        <v>49</v>
      </c>
      <c r="J415" s="3">
        <v>2</v>
      </c>
      <c r="K415" s="3">
        <v>9876</v>
      </c>
      <c r="L415" s="3">
        <v>10605</v>
      </c>
      <c r="M415" s="3">
        <f t="shared" si="63"/>
        <v>1.0738153098420413</v>
      </c>
      <c r="N415" s="3">
        <f t="shared" si="64"/>
        <v>1.0738153098420413</v>
      </c>
      <c r="O415" s="3" t="s">
        <v>35</v>
      </c>
      <c r="P415" s="3" t="s">
        <v>35</v>
      </c>
      <c r="Q415" s="3" t="str">
        <f t="shared" si="59"/>
        <v>379-2023-12-31</v>
      </c>
      <c r="R415" s="3">
        <v>0</v>
      </c>
      <c r="S415" s="3">
        <v>0</v>
      </c>
      <c r="T415" s="3" t="s">
        <v>31</v>
      </c>
      <c r="U415" s="3" t="s">
        <v>37</v>
      </c>
      <c r="V415" s="3" t="s">
        <v>302</v>
      </c>
      <c r="W415" s="3" t="s">
        <v>38</v>
      </c>
      <c r="X415" s="3" t="s">
        <v>39</v>
      </c>
      <c r="Y415" s="3" t="s">
        <v>40</v>
      </c>
      <c r="Z415" s="3" t="s">
        <v>41</v>
      </c>
      <c r="AA415" s="3" t="s">
        <v>42</v>
      </c>
      <c r="AB415" s="3" t="s">
        <v>78</v>
      </c>
      <c r="AC415" s="3" t="s">
        <v>31</v>
      </c>
      <c r="AD415" s="3">
        <v>0</v>
      </c>
    </row>
    <row r="416" spans="1:30" x14ac:dyDescent="0.3">
      <c r="A416" s="3">
        <v>379</v>
      </c>
      <c r="B416" s="3" t="s">
        <v>301</v>
      </c>
      <c r="C416" s="3" t="s">
        <v>302</v>
      </c>
      <c r="D416" s="3" t="s">
        <v>31</v>
      </c>
      <c r="E416" s="3" t="s">
        <v>32</v>
      </c>
      <c r="F416" s="12">
        <v>45291</v>
      </c>
      <c r="G416" s="3">
        <v>2023</v>
      </c>
      <c r="H416" s="3" t="s">
        <v>44</v>
      </c>
      <c r="I416" s="3" t="s">
        <v>49</v>
      </c>
      <c r="J416" s="3"/>
      <c r="K416" s="3">
        <v>22006</v>
      </c>
      <c r="L416" s="3">
        <v>22987</v>
      </c>
      <c r="M416" s="3">
        <f t="shared" si="63"/>
        <v>1.0445787512496592</v>
      </c>
      <c r="N416" s="3">
        <f t="shared" si="64"/>
        <v>1.0445787512496592</v>
      </c>
      <c r="O416" s="3" t="s">
        <v>35</v>
      </c>
      <c r="P416" s="3" t="s">
        <v>35</v>
      </c>
      <c r="Q416" s="3" t="str">
        <f t="shared" si="59"/>
        <v>379-2023-12-31</v>
      </c>
      <c r="R416" s="3">
        <v>0</v>
      </c>
      <c r="S416" s="3">
        <v>0</v>
      </c>
      <c r="T416" s="3" t="s">
        <v>443</v>
      </c>
      <c r="U416" s="3" t="s">
        <v>37</v>
      </c>
      <c r="V416" s="3" t="s">
        <v>302</v>
      </c>
      <c r="W416" s="3" t="s">
        <v>38</v>
      </c>
      <c r="X416" s="3" t="s">
        <v>39</v>
      </c>
      <c r="Y416" s="3" t="s">
        <v>40</v>
      </c>
      <c r="Z416" s="3" t="s">
        <v>41</v>
      </c>
      <c r="AA416" s="3" t="s">
        <v>42</v>
      </c>
      <c r="AB416" s="3" t="s">
        <v>78</v>
      </c>
      <c r="AC416" s="3" t="s">
        <v>31</v>
      </c>
      <c r="AD416" s="3">
        <v>0</v>
      </c>
    </row>
    <row r="417" spans="1:30" x14ac:dyDescent="0.3">
      <c r="A417" s="3">
        <v>379</v>
      </c>
      <c r="B417" s="3" t="s">
        <v>301</v>
      </c>
      <c r="C417" s="3" t="s">
        <v>302</v>
      </c>
      <c r="D417" s="3" t="s">
        <v>31</v>
      </c>
      <c r="E417" s="3" t="s">
        <v>32</v>
      </c>
      <c r="F417" s="12">
        <v>45473</v>
      </c>
      <c r="G417" s="3">
        <v>2024</v>
      </c>
      <c r="H417" s="3" t="s">
        <v>33</v>
      </c>
      <c r="I417" s="3" t="s">
        <v>51</v>
      </c>
      <c r="J417" s="3">
        <v>1</v>
      </c>
      <c r="K417" s="3">
        <v>13590</v>
      </c>
      <c r="L417" s="3">
        <v>12987</v>
      </c>
      <c r="M417" s="3">
        <f t="shared" si="63"/>
        <v>0.95562913907284763</v>
      </c>
      <c r="N417" s="3">
        <f t="shared" si="64"/>
        <v>0.95562913907284763</v>
      </c>
      <c r="O417" s="3" t="s">
        <v>35</v>
      </c>
      <c r="P417" s="3" t="s">
        <v>35</v>
      </c>
      <c r="Q417" s="3" t="str">
        <f t="shared" si="59"/>
        <v>379-2024-06-30</v>
      </c>
      <c r="R417" s="3">
        <v>0</v>
      </c>
      <c r="S417" s="3">
        <v>0</v>
      </c>
      <c r="T417" s="3" t="s">
        <v>31</v>
      </c>
      <c r="U417" s="3" t="s">
        <v>37</v>
      </c>
      <c r="V417" s="3" t="s">
        <v>302</v>
      </c>
      <c r="W417" s="3" t="s">
        <v>38</v>
      </c>
      <c r="X417" s="3" t="s">
        <v>39</v>
      </c>
      <c r="Y417" s="3" t="s">
        <v>40</v>
      </c>
      <c r="Z417" s="3" t="s">
        <v>41</v>
      </c>
      <c r="AA417" s="3" t="s">
        <v>42</v>
      </c>
      <c r="AB417" s="3" t="s">
        <v>78</v>
      </c>
      <c r="AC417" s="3" t="s">
        <v>31</v>
      </c>
      <c r="AD417" s="3">
        <v>0</v>
      </c>
    </row>
    <row r="418" spans="1:30" x14ac:dyDescent="0.3">
      <c r="A418" s="3">
        <v>379</v>
      </c>
      <c r="B418" s="3" t="s">
        <v>301</v>
      </c>
      <c r="C418" s="3" t="s">
        <v>302</v>
      </c>
      <c r="D418" s="3" t="s">
        <v>31</v>
      </c>
      <c r="E418" s="3" t="s">
        <v>32</v>
      </c>
      <c r="F418" s="12">
        <v>45657</v>
      </c>
      <c r="G418" s="3">
        <v>2024</v>
      </c>
      <c r="H418" s="3" t="s">
        <v>44</v>
      </c>
      <c r="I418" s="3" t="s">
        <v>53</v>
      </c>
      <c r="J418" s="3">
        <v>2</v>
      </c>
      <c r="K418" s="3">
        <v>10675</v>
      </c>
      <c r="L418" s="3">
        <v>10569</v>
      </c>
      <c r="M418" s="3">
        <f t="shared" si="63"/>
        <v>0.99007025761124123</v>
      </c>
      <c r="N418" s="3">
        <f t="shared" si="64"/>
        <v>0.99007025761124123</v>
      </c>
      <c r="O418" s="3" t="s">
        <v>35</v>
      </c>
      <c r="P418" s="3" t="s">
        <v>35</v>
      </c>
      <c r="Q418" s="3" t="str">
        <f t="shared" si="59"/>
        <v>379-2024-12-31</v>
      </c>
      <c r="R418" s="3">
        <v>0</v>
      </c>
      <c r="S418" s="3">
        <v>0</v>
      </c>
      <c r="T418" s="3" t="s">
        <v>31</v>
      </c>
      <c r="U418" s="3" t="s">
        <v>37</v>
      </c>
      <c r="V418" s="3" t="s">
        <v>302</v>
      </c>
      <c r="W418" s="3" t="s">
        <v>38</v>
      </c>
      <c r="X418" s="3" t="s">
        <v>39</v>
      </c>
      <c r="Y418" s="3" t="s">
        <v>40</v>
      </c>
      <c r="Z418" s="3" t="s">
        <v>41</v>
      </c>
      <c r="AA418" s="3" t="s">
        <v>42</v>
      </c>
      <c r="AB418" s="3" t="s">
        <v>78</v>
      </c>
      <c r="AC418" s="3" t="s">
        <v>31</v>
      </c>
      <c r="AD418" s="3">
        <v>0</v>
      </c>
    </row>
    <row r="419" spans="1:30" x14ac:dyDescent="0.3">
      <c r="A419" s="3">
        <v>379</v>
      </c>
      <c r="B419" s="3" t="s">
        <v>301</v>
      </c>
      <c r="C419" s="3" t="s">
        <v>302</v>
      </c>
      <c r="D419" s="3" t="s">
        <v>31</v>
      </c>
      <c r="E419" s="3" t="s">
        <v>32</v>
      </c>
      <c r="F419" s="12">
        <v>45657</v>
      </c>
      <c r="G419" s="3">
        <v>2024</v>
      </c>
      <c r="H419" s="3" t="s">
        <v>44</v>
      </c>
      <c r="I419" s="3" t="s">
        <v>53</v>
      </c>
      <c r="J419" s="3"/>
      <c r="K419" s="3">
        <v>24265</v>
      </c>
      <c r="L419" s="3">
        <v>23556</v>
      </c>
      <c r="M419" s="3">
        <f t="shared" si="63"/>
        <v>0.97078096023078508</v>
      </c>
      <c r="N419" s="3">
        <f t="shared" si="64"/>
        <v>0.97078096023078508</v>
      </c>
      <c r="O419" s="3" t="s">
        <v>35</v>
      </c>
      <c r="P419" s="3" t="s">
        <v>35</v>
      </c>
      <c r="Q419" s="3" t="str">
        <f t="shared" si="59"/>
        <v>379-2024-12-31</v>
      </c>
      <c r="R419" s="3">
        <v>0</v>
      </c>
      <c r="S419" s="3">
        <v>0</v>
      </c>
      <c r="T419" s="3" t="s">
        <v>443</v>
      </c>
      <c r="U419" s="3" t="s">
        <v>37</v>
      </c>
      <c r="V419" s="3" t="s">
        <v>302</v>
      </c>
      <c r="W419" s="3" t="s">
        <v>38</v>
      </c>
      <c r="X419" s="3" t="s">
        <v>39</v>
      </c>
      <c r="Y419" s="3" t="s">
        <v>40</v>
      </c>
      <c r="Z419" s="3" t="s">
        <v>41</v>
      </c>
      <c r="AA419" s="3" t="s">
        <v>42</v>
      </c>
      <c r="AB419" s="3" t="s">
        <v>78</v>
      </c>
      <c r="AC419" s="3" t="s">
        <v>31</v>
      </c>
      <c r="AD419" s="3">
        <v>0</v>
      </c>
    </row>
    <row r="420" spans="1:30" x14ac:dyDescent="0.3">
      <c r="A420" s="3">
        <v>379</v>
      </c>
      <c r="B420" s="3" t="s">
        <v>301</v>
      </c>
      <c r="C420" s="3" t="s">
        <v>302</v>
      </c>
      <c r="D420" s="3" t="s">
        <v>31</v>
      </c>
      <c r="E420" s="3" t="s">
        <v>32</v>
      </c>
      <c r="F420" s="12">
        <v>45838</v>
      </c>
      <c r="G420" s="3">
        <v>2025</v>
      </c>
      <c r="H420" s="3" t="s">
        <v>33</v>
      </c>
      <c r="I420" s="3" t="s">
        <v>404</v>
      </c>
      <c r="J420" s="3">
        <v>1</v>
      </c>
      <c r="K420" s="3">
        <v>13609</v>
      </c>
      <c r="L420" s="3">
        <v>14141</v>
      </c>
      <c r="M420" s="3">
        <f t="shared" si="63"/>
        <v>1.0390917775001838</v>
      </c>
      <c r="N420" s="3">
        <f t="shared" si="64"/>
        <v>1.0390917775001838</v>
      </c>
      <c r="O420" s="3" t="s">
        <v>35</v>
      </c>
      <c r="P420" s="3" t="s">
        <v>35</v>
      </c>
      <c r="Q420" s="3" t="str">
        <f t="shared" si="59"/>
        <v>379-2025-06-30</v>
      </c>
      <c r="R420" s="3">
        <v>0</v>
      </c>
      <c r="S420" s="3">
        <v>0</v>
      </c>
      <c r="T420" s="3" t="s">
        <v>31</v>
      </c>
      <c r="U420" s="3" t="s">
        <v>37</v>
      </c>
      <c r="V420" s="3" t="s">
        <v>302</v>
      </c>
      <c r="W420" s="3" t="s">
        <v>38</v>
      </c>
      <c r="X420" s="3" t="s">
        <v>39</v>
      </c>
      <c r="Y420" s="3" t="s">
        <v>40</v>
      </c>
      <c r="Z420" s="3" t="s">
        <v>41</v>
      </c>
      <c r="AA420" s="3" t="s">
        <v>42</v>
      </c>
      <c r="AB420" s="3" t="s">
        <v>78</v>
      </c>
      <c r="AC420" s="3" t="s">
        <v>31</v>
      </c>
      <c r="AD420" s="3">
        <v>0</v>
      </c>
    </row>
    <row r="421" spans="1:30" x14ac:dyDescent="0.3">
      <c r="A421" s="3">
        <v>379</v>
      </c>
      <c r="B421" s="3" t="s">
        <v>301</v>
      </c>
      <c r="C421" s="3" t="s">
        <v>302</v>
      </c>
      <c r="D421" s="3" t="s">
        <v>31</v>
      </c>
      <c r="E421" s="3" t="s">
        <v>32</v>
      </c>
      <c r="F421" s="12">
        <v>46022</v>
      </c>
      <c r="G421" s="3">
        <f>YEAR(F421)</f>
        <v>2025</v>
      </c>
      <c r="H421" s="3" t="str">
        <f>PROPER(TEXT(F421,"mmmm"))</f>
        <v>Diciembre</v>
      </c>
      <c r="I421" s="3" t="str">
        <f>IF(H421="Junio",G421&amp;"-1",G421&amp;"-2")</f>
        <v>2025-2</v>
      </c>
      <c r="J421" s="3">
        <v>2</v>
      </c>
      <c r="K421" s="3">
        <v>11019</v>
      </c>
      <c r="L421" s="3">
        <v>11285</v>
      </c>
      <c r="M421" s="3">
        <f t="shared" si="63"/>
        <v>1.0241401216081314</v>
      </c>
      <c r="N421" s="3">
        <f t="shared" si="64"/>
        <v>1.0241401216081314</v>
      </c>
      <c r="O421" s="3" t="s">
        <v>35</v>
      </c>
      <c r="P421" s="3" t="s">
        <v>35</v>
      </c>
      <c r="Q421" s="3" t="str">
        <f t="shared" si="59"/>
        <v>379-2025-12-31</v>
      </c>
      <c r="R421" s="3">
        <v>0</v>
      </c>
      <c r="S421" s="3">
        <v>0</v>
      </c>
      <c r="T421" s="3" t="s">
        <v>31</v>
      </c>
      <c r="U421" s="3" t="s">
        <v>37</v>
      </c>
      <c r="V421" s="3" t="s">
        <v>302</v>
      </c>
      <c r="W421" s="3" t="s">
        <v>38</v>
      </c>
      <c r="X421" s="3" t="s">
        <v>39</v>
      </c>
      <c r="Y421" s="3" t="s">
        <v>40</v>
      </c>
      <c r="Z421" s="3" t="s">
        <v>41</v>
      </c>
      <c r="AA421" s="3" t="s">
        <v>42</v>
      </c>
      <c r="AB421" s="3" t="s">
        <v>78</v>
      </c>
      <c r="AC421" s="3" t="s">
        <v>31</v>
      </c>
      <c r="AD421" s="3">
        <v>0</v>
      </c>
    </row>
    <row r="422" spans="1:30" x14ac:dyDescent="0.3">
      <c r="A422" s="3">
        <v>385</v>
      </c>
      <c r="B422" s="3" t="s">
        <v>309</v>
      </c>
      <c r="C422" s="3" t="s">
        <v>310</v>
      </c>
      <c r="D422" s="3" t="s">
        <v>31</v>
      </c>
      <c r="E422" s="3" t="s">
        <v>32</v>
      </c>
      <c r="F422" s="12">
        <v>44926</v>
      </c>
      <c r="G422" s="3">
        <v>2022</v>
      </c>
      <c r="H422" s="3" t="s">
        <v>44</v>
      </c>
      <c r="I422" s="3" t="s">
        <v>45</v>
      </c>
      <c r="J422" s="3">
        <v>2</v>
      </c>
      <c r="K422" s="3">
        <v>13361</v>
      </c>
      <c r="L422" s="3">
        <v>10035.311890999999</v>
      </c>
      <c r="M422" s="3">
        <f>L422/K422</f>
        <v>0.75108988032332902</v>
      </c>
      <c r="N422" s="3">
        <f>L422/K422</f>
        <v>0.75108988032332902</v>
      </c>
      <c r="O422" s="3" t="s">
        <v>143</v>
      </c>
      <c r="P422" s="3" t="s">
        <v>143</v>
      </c>
      <c r="Q422" s="3" t="str">
        <f t="shared" si="59"/>
        <v>385-2022-12-31</v>
      </c>
      <c r="R422" s="3">
        <v>0</v>
      </c>
      <c r="S422" s="3">
        <v>0</v>
      </c>
      <c r="T422" s="3" t="s">
        <v>31</v>
      </c>
      <c r="U422" s="3" t="s">
        <v>37</v>
      </c>
      <c r="V422" s="3" t="s">
        <v>310</v>
      </c>
      <c r="W422" s="3" t="s">
        <v>312</v>
      </c>
      <c r="X422" s="3" t="s">
        <v>313</v>
      </c>
      <c r="Y422" s="3" t="s">
        <v>314</v>
      </c>
      <c r="Z422" s="3" t="s">
        <v>63</v>
      </c>
      <c r="AA422" s="3" t="s">
        <v>148</v>
      </c>
      <c r="AB422" s="3" t="s">
        <v>43</v>
      </c>
      <c r="AC422" s="3" t="s">
        <v>66</v>
      </c>
      <c r="AD422" s="3">
        <v>0</v>
      </c>
    </row>
    <row r="423" spans="1:30" x14ac:dyDescent="0.3">
      <c r="A423" s="3">
        <v>385</v>
      </c>
      <c r="B423" s="3" t="s">
        <v>309</v>
      </c>
      <c r="C423" s="3" t="s">
        <v>310</v>
      </c>
      <c r="D423" s="3" t="s">
        <v>31</v>
      </c>
      <c r="E423" s="3" t="s">
        <v>32</v>
      </c>
      <c r="F423" s="12">
        <v>44926</v>
      </c>
      <c r="G423" s="3">
        <v>2022</v>
      </c>
      <c r="H423" s="3" t="s">
        <v>44</v>
      </c>
      <c r="I423" s="3" t="s">
        <v>45</v>
      </c>
      <c r="J423" s="3"/>
      <c r="K423" s="3">
        <v>13361</v>
      </c>
      <c r="L423" s="3">
        <v>10035.311890999999</v>
      </c>
      <c r="M423" s="3">
        <f t="shared" ref="M423:M428" si="65">L423/K423</f>
        <v>0.75108988032332902</v>
      </c>
      <c r="N423" s="3">
        <f t="shared" ref="N423:N428" si="66">L423/K423</f>
        <v>0.75108988032332902</v>
      </c>
      <c r="O423" s="3" t="s">
        <v>143</v>
      </c>
      <c r="P423" s="3" t="s">
        <v>143</v>
      </c>
      <c r="Q423" s="3" t="str">
        <f t="shared" si="59"/>
        <v>385-2022-12-31</v>
      </c>
      <c r="R423" s="3">
        <v>0</v>
      </c>
      <c r="S423" s="3">
        <v>0</v>
      </c>
      <c r="T423" s="3" t="s">
        <v>443</v>
      </c>
      <c r="U423" s="3" t="s">
        <v>37</v>
      </c>
      <c r="V423" s="3" t="s">
        <v>310</v>
      </c>
      <c r="W423" s="3" t="s">
        <v>312</v>
      </c>
      <c r="X423" s="3" t="s">
        <v>313</v>
      </c>
      <c r="Y423" s="3" t="s">
        <v>314</v>
      </c>
      <c r="Z423" s="3" t="s">
        <v>63</v>
      </c>
      <c r="AA423" s="3" t="s">
        <v>148</v>
      </c>
      <c r="AB423" s="3" t="s">
        <v>43</v>
      </c>
      <c r="AC423" s="3" t="s">
        <v>66</v>
      </c>
      <c r="AD423" s="3">
        <v>0</v>
      </c>
    </row>
    <row r="424" spans="1:30" x14ac:dyDescent="0.3">
      <c r="A424" s="3">
        <v>385</v>
      </c>
      <c r="B424" s="3" t="s">
        <v>309</v>
      </c>
      <c r="C424" s="3" t="s">
        <v>310</v>
      </c>
      <c r="D424" s="3" t="s">
        <v>31</v>
      </c>
      <c r="E424" s="3" t="s">
        <v>32</v>
      </c>
      <c r="F424" s="12">
        <v>45291</v>
      </c>
      <c r="G424" s="3">
        <v>2023</v>
      </c>
      <c r="H424" s="3" t="s">
        <v>44</v>
      </c>
      <c r="I424" s="3" t="s">
        <v>49</v>
      </c>
      <c r="J424" s="3">
        <v>2</v>
      </c>
      <c r="K424" s="3">
        <v>14097.721</v>
      </c>
      <c r="L424" s="3">
        <v>17697.080526999998</v>
      </c>
      <c r="M424" s="3">
        <f t="shared" si="65"/>
        <v>1.2553149921891629</v>
      </c>
      <c r="N424" s="3">
        <f t="shared" si="66"/>
        <v>1.2553149921891629</v>
      </c>
      <c r="O424" s="3" t="s">
        <v>143</v>
      </c>
      <c r="P424" s="3" t="s">
        <v>143</v>
      </c>
      <c r="Q424" s="3" t="str">
        <f t="shared" si="59"/>
        <v>385-2023-12-31</v>
      </c>
      <c r="R424" s="3">
        <v>0</v>
      </c>
      <c r="S424" s="3">
        <v>0</v>
      </c>
      <c r="T424" s="3" t="s">
        <v>31</v>
      </c>
      <c r="U424" s="3" t="s">
        <v>37</v>
      </c>
      <c r="V424" s="3" t="s">
        <v>310</v>
      </c>
      <c r="W424" s="3" t="s">
        <v>312</v>
      </c>
      <c r="X424" s="3" t="s">
        <v>313</v>
      </c>
      <c r="Y424" s="3" t="s">
        <v>314</v>
      </c>
      <c r="Z424" s="3" t="s">
        <v>63</v>
      </c>
      <c r="AA424" s="3" t="s">
        <v>148</v>
      </c>
      <c r="AB424" s="3" t="s">
        <v>43</v>
      </c>
      <c r="AC424" s="3" t="s">
        <v>66</v>
      </c>
      <c r="AD424" s="3">
        <v>0</v>
      </c>
    </row>
    <row r="425" spans="1:30" x14ac:dyDescent="0.3">
      <c r="A425" s="3">
        <v>385</v>
      </c>
      <c r="B425" s="3" t="s">
        <v>309</v>
      </c>
      <c r="C425" s="3" t="s">
        <v>310</v>
      </c>
      <c r="D425" s="3" t="s">
        <v>31</v>
      </c>
      <c r="E425" s="3" t="s">
        <v>32</v>
      </c>
      <c r="F425" s="12">
        <v>45291</v>
      </c>
      <c r="G425" s="3">
        <v>2023</v>
      </c>
      <c r="H425" s="3" t="s">
        <v>44</v>
      </c>
      <c r="I425" s="3" t="s">
        <v>49</v>
      </c>
      <c r="J425" s="3"/>
      <c r="K425" s="3">
        <v>14097.721</v>
      </c>
      <c r="L425" s="3">
        <v>17697.080526999998</v>
      </c>
      <c r="M425" s="3">
        <f t="shared" si="65"/>
        <v>1.2553149921891629</v>
      </c>
      <c r="N425" s="3">
        <f t="shared" si="66"/>
        <v>1.2553149921891629</v>
      </c>
      <c r="O425" s="3" t="s">
        <v>143</v>
      </c>
      <c r="P425" s="3" t="s">
        <v>143</v>
      </c>
      <c r="Q425" s="3" t="str">
        <f t="shared" si="59"/>
        <v>385-2023-12-31</v>
      </c>
      <c r="R425" s="3">
        <v>0</v>
      </c>
      <c r="S425" s="3">
        <v>0</v>
      </c>
      <c r="T425" s="3" t="s">
        <v>443</v>
      </c>
      <c r="U425" s="3" t="s">
        <v>37</v>
      </c>
      <c r="V425" s="3" t="s">
        <v>310</v>
      </c>
      <c r="W425" s="3" t="s">
        <v>312</v>
      </c>
      <c r="X425" s="3" t="s">
        <v>313</v>
      </c>
      <c r="Y425" s="3" t="s">
        <v>314</v>
      </c>
      <c r="Z425" s="3" t="s">
        <v>63</v>
      </c>
      <c r="AA425" s="3" t="s">
        <v>148</v>
      </c>
      <c r="AB425" s="3" t="s">
        <v>43</v>
      </c>
      <c r="AC425" s="3" t="s">
        <v>66</v>
      </c>
      <c r="AD425" s="3">
        <v>0</v>
      </c>
    </row>
    <row r="426" spans="1:30" x14ac:dyDescent="0.3">
      <c r="A426" s="3">
        <v>385</v>
      </c>
      <c r="B426" s="3" t="s">
        <v>309</v>
      </c>
      <c r="C426" s="3" t="s">
        <v>310</v>
      </c>
      <c r="D426" s="3" t="s">
        <v>31</v>
      </c>
      <c r="E426" s="3" t="s">
        <v>32</v>
      </c>
      <c r="F426" s="12">
        <v>45657</v>
      </c>
      <c r="G426" s="3">
        <v>2024</v>
      </c>
      <c r="H426" s="3" t="s">
        <v>44</v>
      </c>
      <c r="I426" s="3" t="s">
        <v>53</v>
      </c>
      <c r="J426" s="3">
        <v>2</v>
      </c>
      <c r="K426" s="3">
        <v>15507.493100000003</v>
      </c>
      <c r="L426" s="3">
        <v>13243.138849000001</v>
      </c>
      <c r="M426" s="3">
        <f t="shared" si="65"/>
        <v>0.85398321724869886</v>
      </c>
      <c r="N426" s="3">
        <f t="shared" si="66"/>
        <v>0.85398321724869886</v>
      </c>
      <c r="O426" s="3" t="s">
        <v>143</v>
      </c>
      <c r="P426" s="3" t="s">
        <v>143</v>
      </c>
      <c r="Q426" s="3" t="str">
        <f t="shared" si="59"/>
        <v>385-2024-12-31</v>
      </c>
      <c r="R426" s="3">
        <v>0</v>
      </c>
      <c r="S426" s="3">
        <v>0</v>
      </c>
      <c r="T426" s="3" t="s">
        <v>31</v>
      </c>
      <c r="U426" s="3" t="s">
        <v>37</v>
      </c>
      <c r="V426" s="3" t="s">
        <v>310</v>
      </c>
      <c r="W426" s="3" t="s">
        <v>312</v>
      </c>
      <c r="X426" s="3" t="s">
        <v>313</v>
      </c>
      <c r="Y426" s="3" t="s">
        <v>314</v>
      </c>
      <c r="Z426" s="3" t="s">
        <v>63</v>
      </c>
      <c r="AA426" s="3" t="s">
        <v>148</v>
      </c>
      <c r="AB426" s="3" t="s">
        <v>43</v>
      </c>
      <c r="AC426" s="3" t="s">
        <v>66</v>
      </c>
      <c r="AD426" s="3">
        <v>0</v>
      </c>
    </row>
    <row r="427" spans="1:30" x14ac:dyDescent="0.3">
      <c r="A427" s="3">
        <v>385</v>
      </c>
      <c r="B427" s="3" t="s">
        <v>309</v>
      </c>
      <c r="C427" s="3" t="s">
        <v>310</v>
      </c>
      <c r="D427" s="3" t="s">
        <v>31</v>
      </c>
      <c r="E427" s="3" t="s">
        <v>32</v>
      </c>
      <c r="F427" s="12">
        <v>45657</v>
      </c>
      <c r="G427" s="3">
        <v>2024</v>
      </c>
      <c r="H427" s="3" t="s">
        <v>44</v>
      </c>
      <c r="I427" s="3" t="s">
        <v>53</v>
      </c>
      <c r="J427" s="3"/>
      <c r="K427" s="3">
        <v>15507.493100000003</v>
      </c>
      <c r="L427" s="3">
        <v>13243.138849000001</v>
      </c>
      <c r="M427" s="3">
        <f t="shared" si="65"/>
        <v>0.85398321724869886</v>
      </c>
      <c r="N427" s="3">
        <f t="shared" si="66"/>
        <v>0.85398321724869886</v>
      </c>
      <c r="O427" s="3" t="s">
        <v>143</v>
      </c>
      <c r="P427" s="3" t="s">
        <v>143</v>
      </c>
      <c r="Q427" s="3" t="str">
        <f t="shared" si="59"/>
        <v>385-2024-12-31</v>
      </c>
      <c r="R427" s="3">
        <v>0</v>
      </c>
      <c r="S427" s="3">
        <v>0</v>
      </c>
      <c r="T427" s="3" t="s">
        <v>443</v>
      </c>
      <c r="U427" s="3" t="s">
        <v>37</v>
      </c>
      <c r="V427" s="3" t="s">
        <v>310</v>
      </c>
      <c r="W427" s="3" t="s">
        <v>312</v>
      </c>
      <c r="X427" s="3" t="s">
        <v>313</v>
      </c>
      <c r="Y427" s="3" t="s">
        <v>314</v>
      </c>
      <c r="Z427" s="3" t="s">
        <v>63</v>
      </c>
      <c r="AA427" s="3" t="s">
        <v>148</v>
      </c>
      <c r="AB427" s="3" t="s">
        <v>43</v>
      </c>
      <c r="AC427" s="3" t="s">
        <v>66</v>
      </c>
      <c r="AD427" s="3">
        <v>0</v>
      </c>
    </row>
    <row r="428" spans="1:30" x14ac:dyDescent="0.3">
      <c r="A428" s="3">
        <v>385</v>
      </c>
      <c r="B428" s="3" t="s">
        <v>309</v>
      </c>
      <c r="C428" s="3" t="s">
        <v>310</v>
      </c>
      <c r="D428" s="3" t="s">
        <v>31</v>
      </c>
      <c r="E428" s="3" t="s">
        <v>32</v>
      </c>
      <c r="F428" s="12">
        <v>46022</v>
      </c>
      <c r="G428" s="3">
        <v>2025</v>
      </c>
      <c r="H428" s="3" t="s">
        <v>44</v>
      </c>
      <c r="I428" s="3" t="s">
        <v>465</v>
      </c>
      <c r="J428" s="3">
        <v>2</v>
      </c>
      <c r="K428" s="3">
        <f>17058242411/1000000</f>
        <v>17058.242410999999</v>
      </c>
      <c r="L428" s="3">
        <f>18570267021/1000000</f>
        <v>18570.267021</v>
      </c>
      <c r="M428" s="3">
        <f t="shared" si="65"/>
        <v>1.0886389449492739</v>
      </c>
      <c r="N428" s="3">
        <f t="shared" si="66"/>
        <v>1.0886389449492739</v>
      </c>
      <c r="O428" s="3" t="s">
        <v>143</v>
      </c>
      <c r="P428" s="3" t="s">
        <v>143</v>
      </c>
      <c r="Q428" s="3" t="str">
        <f t="shared" si="59"/>
        <v>385-2025-12-31</v>
      </c>
      <c r="R428" s="3">
        <v>0</v>
      </c>
      <c r="S428" s="3">
        <v>0</v>
      </c>
      <c r="T428" s="3" t="s">
        <v>31</v>
      </c>
      <c r="U428" s="3" t="s">
        <v>37</v>
      </c>
      <c r="V428" s="3" t="s">
        <v>310</v>
      </c>
      <c r="W428" s="3" t="s">
        <v>312</v>
      </c>
      <c r="X428" s="3" t="s">
        <v>313</v>
      </c>
      <c r="Y428" s="3" t="s">
        <v>314</v>
      </c>
      <c r="Z428" s="3"/>
      <c r="AA428" s="3"/>
      <c r="AB428" s="3" t="s">
        <v>43</v>
      </c>
      <c r="AC428" s="3" t="s">
        <v>66</v>
      </c>
      <c r="AD428" s="3">
        <v>0</v>
      </c>
    </row>
    <row r="429" spans="1:30" x14ac:dyDescent="0.3">
      <c r="A429" s="3">
        <v>386.1</v>
      </c>
      <c r="B429" s="3" t="s">
        <v>377</v>
      </c>
      <c r="C429" s="3" t="s">
        <v>310</v>
      </c>
      <c r="D429" s="3" t="s">
        <v>31</v>
      </c>
      <c r="E429" s="3" t="s">
        <v>32</v>
      </c>
      <c r="F429" s="12">
        <v>44926</v>
      </c>
      <c r="G429" s="3">
        <v>2022</v>
      </c>
      <c r="H429" s="3" t="s">
        <v>44</v>
      </c>
      <c r="I429" s="3" t="s">
        <v>45</v>
      </c>
      <c r="J429" s="3">
        <v>2</v>
      </c>
      <c r="K429" s="3">
        <f>894406923/1000000</f>
        <v>894.40692300000001</v>
      </c>
      <c r="L429" s="3">
        <f>894406923/1000000</f>
        <v>894.40692300000001</v>
      </c>
      <c r="M429" s="3">
        <f>+L429/K429</f>
        <v>1</v>
      </c>
      <c r="N429" s="3">
        <f t="shared" ref="N429:N435" si="67">+L429/K429</f>
        <v>1</v>
      </c>
      <c r="O429" s="3" t="s">
        <v>143</v>
      </c>
      <c r="P429" s="3" t="s">
        <v>143</v>
      </c>
      <c r="Q429" s="3" t="str">
        <f t="shared" si="59"/>
        <v>386,1-2022-12-31</v>
      </c>
      <c r="R429" s="3">
        <v>0</v>
      </c>
      <c r="S429" s="3">
        <v>0</v>
      </c>
      <c r="T429" s="3" t="s">
        <v>31</v>
      </c>
      <c r="U429" s="3" t="s">
        <v>37</v>
      </c>
      <c r="V429" s="3" t="s">
        <v>310</v>
      </c>
      <c r="W429" s="3" t="s">
        <v>312</v>
      </c>
      <c r="X429" s="3" t="s">
        <v>313</v>
      </c>
      <c r="Y429" s="3" t="s">
        <v>314</v>
      </c>
      <c r="Z429" s="3" t="s">
        <v>63</v>
      </c>
      <c r="AA429" s="3" t="s">
        <v>148</v>
      </c>
      <c r="AB429" s="3" t="s">
        <v>78</v>
      </c>
      <c r="AC429" s="3" t="s">
        <v>66</v>
      </c>
      <c r="AD429" s="3">
        <v>0</v>
      </c>
    </row>
    <row r="430" spans="1:30" x14ac:dyDescent="0.3">
      <c r="A430" s="3">
        <v>386.1</v>
      </c>
      <c r="B430" s="3" t="s">
        <v>377</v>
      </c>
      <c r="C430" s="3" t="s">
        <v>310</v>
      </c>
      <c r="D430" s="3" t="s">
        <v>31</v>
      </c>
      <c r="E430" s="3" t="s">
        <v>32</v>
      </c>
      <c r="F430" s="12">
        <v>44926</v>
      </c>
      <c r="G430" s="3">
        <v>2022</v>
      </c>
      <c r="H430" s="3" t="s">
        <v>44</v>
      </c>
      <c r="I430" s="3" t="s">
        <v>45</v>
      </c>
      <c r="J430" s="3"/>
      <c r="K430" s="3">
        <f>894406923/1000000</f>
        <v>894.40692300000001</v>
      </c>
      <c r="L430" s="3">
        <f>894406923/1000000</f>
        <v>894.40692300000001</v>
      </c>
      <c r="M430" s="3">
        <f>+L430/K430</f>
        <v>1</v>
      </c>
      <c r="N430" s="3">
        <f t="shared" si="67"/>
        <v>1</v>
      </c>
      <c r="O430" s="3" t="s">
        <v>143</v>
      </c>
      <c r="P430" s="3" t="s">
        <v>143</v>
      </c>
      <c r="Q430" s="3" t="str">
        <f t="shared" si="59"/>
        <v>386,1-2022-12-31</v>
      </c>
      <c r="R430" s="3">
        <v>0</v>
      </c>
      <c r="S430" s="3">
        <v>0</v>
      </c>
      <c r="T430" s="3" t="s">
        <v>443</v>
      </c>
      <c r="U430" s="3" t="s">
        <v>37</v>
      </c>
      <c r="V430" s="3" t="s">
        <v>310</v>
      </c>
      <c r="W430" s="3" t="s">
        <v>312</v>
      </c>
      <c r="X430" s="3" t="s">
        <v>313</v>
      </c>
      <c r="Y430" s="3" t="s">
        <v>314</v>
      </c>
      <c r="Z430" s="3" t="s">
        <v>63</v>
      </c>
      <c r="AA430" s="3" t="s">
        <v>148</v>
      </c>
      <c r="AB430" s="3" t="s">
        <v>78</v>
      </c>
      <c r="AC430" s="3" t="s">
        <v>66</v>
      </c>
      <c r="AD430" s="3">
        <v>0</v>
      </c>
    </row>
    <row r="431" spans="1:30" x14ac:dyDescent="0.3">
      <c r="A431" s="3">
        <v>386.1</v>
      </c>
      <c r="B431" s="3" t="s">
        <v>377</v>
      </c>
      <c r="C431" s="3" t="s">
        <v>310</v>
      </c>
      <c r="D431" s="3" t="s">
        <v>31</v>
      </c>
      <c r="E431" s="3" t="s">
        <v>32</v>
      </c>
      <c r="F431" s="12">
        <v>45291</v>
      </c>
      <c r="G431" s="3">
        <v>2023</v>
      </c>
      <c r="H431" s="3" t="s">
        <v>44</v>
      </c>
      <c r="I431" s="3" t="s">
        <v>49</v>
      </c>
      <c r="J431" s="3">
        <v>2</v>
      </c>
      <c r="K431" s="3">
        <v>1357.778</v>
      </c>
      <c r="L431" s="3">
        <f>3779928348/1000000</f>
        <v>3779.9283479999999</v>
      </c>
      <c r="M431" s="3">
        <f>IF(+L431/K431&gt;1.3,1.3,L431/K431)</f>
        <v>1.3</v>
      </c>
      <c r="N431" s="3">
        <f t="shared" si="67"/>
        <v>2.7839074929774967</v>
      </c>
      <c r="O431" s="3" t="s">
        <v>143</v>
      </c>
      <c r="P431" s="3" t="s">
        <v>143</v>
      </c>
      <c r="Q431" s="3" t="str">
        <f t="shared" si="59"/>
        <v>386,1-2023-12-31</v>
      </c>
      <c r="R431" s="3">
        <v>0</v>
      </c>
      <c r="S431" s="3">
        <v>0</v>
      </c>
      <c r="T431" s="3" t="s">
        <v>31</v>
      </c>
      <c r="U431" s="3" t="s">
        <v>37</v>
      </c>
      <c r="V431" s="3" t="s">
        <v>310</v>
      </c>
      <c r="W431" s="3" t="s">
        <v>312</v>
      </c>
      <c r="X431" s="3" t="s">
        <v>313</v>
      </c>
      <c r="Y431" s="3" t="s">
        <v>314</v>
      </c>
      <c r="Z431" s="3" t="s">
        <v>63</v>
      </c>
      <c r="AA431" s="3" t="s">
        <v>148</v>
      </c>
      <c r="AB431" s="3" t="s">
        <v>78</v>
      </c>
      <c r="AC431" s="3" t="s">
        <v>66</v>
      </c>
      <c r="AD431" s="3">
        <v>0</v>
      </c>
    </row>
    <row r="432" spans="1:30" x14ac:dyDescent="0.3">
      <c r="A432" s="3">
        <v>386.1</v>
      </c>
      <c r="B432" s="3" t="s">
        <v>377</v>
      </c>
      <c r="C432" s="3" t="s">
        <v>310</v>
      </c>
      <c r="D432" s="3" t="s">
        <v>31</v>
      </c>
      <c r="E432" s="3" t="s">
        <v>32</v>
      </c>
      <c r="F432" s="12">
        <v>45291</v>
      </c>
      <c r="G432" s="3">
        <v>2023</v>
      </c>
      <c r="H432" s="3" t="s">
        <v>44</v>
      </c>
      <c r="I432" s="3" t="s">
        <v>49</v>
      </c>
      <c r="J432" s="3"/>
      <c r="K432" s="3">
        <v>1357.778</v>
      </c>
      <c r="L432" s="3">
        <f>3779928348/1000000</f>
        <v>3779.9283479999999</v>
      </c>
      <c r="M432" s="3">
        <f t="shared" ref="M432:M435" si="68">IF(+L432/K432&gt;1.3,1.3,L432/K432)</f>
        <v>1.3</v>
      </c>
      <c r="N432" s="3">
        <f t="shared" si="67"/>
        <v>2.7839074929774967</v>
      </c>
      <c r="O432" s="3" t="s">
        <v>143</v>
      </c>
      <c r="P432" s="3" t="s">
        <v>143</v>
      </c>
      <c r="Q432" s="3" t="str">
        <f t="shared" si="59"/>
        <v>386,1-2023-12-31</v>
      </c>
      <c r="R432" s="3">
        <v>0</v>
      </c>
      <c r="S432" s="3">
        <v>0</v>
      </c>
      <c r="T432" s="3" t="s">
        <v>443</v>
      </c>
      <c r="U432" s="3" t="s">
        <v>37</v>
      </c>
      <c r="V432" s="3" t="s">
        <v>310</v>
      </c>
      <c r="W432" s="3" t="s">
        <v>312</v>
      </c>
      <c r="X432" s="3" t="s">
        <v>313</v>
      </c>
      <c r="Y432" s="3" t="s">
        <v>314</v>
      </c>
      <c r="Z432" s="3" t="s">
        <v>63</v>
      </c>
      <c r="AA432" s="3" t="s">
        <v>148</v>
      </c>
      <c r="AB432" s="3" t="s">
        <v>78</v>
      </c>
      <c r="AC432" s="3" t="s">
        <v>66</v>
      </c>
      <c r="AD432" s="3">
        <v>0</v>
      </c>
    </row>
    <row r="433" spans="1:30" x14ac:dyDescent="0.3">
      <c r="A433" s="3">
        <v>386.1</v>
      </c>
      <c r="B433" s="3" t="s">
        <v>377</v>
      </c>
      <c r="C433" s="3" t="s">
        <v>310</v>
      </c>
      <c r="D433" s="3" t="s">
        <v>31</v>
      </c>
      <c r="E433" s="3" t="s">
        <v>32</v>
      </c>
      <c r="F433" s="12">
        <v>45657</v>
      </c>
      <c r="G433" s="3">
        <v>2024</v>
      </c>
      <c r="H433" s="3" t="s">
        <v>44</v>
      </c>
      <c r="I433" s="3" t="s">
        <v>53</v>
      </c>
      <c r="J433" s="3">
        <v>2</v>
      </c>
      <c r="K433" s="3">
        <v>3424.2073961999995</v>
      </c>
      <c r="L433" s="3">
        <v>4694.2130900000002</v>
      </c>
      <c r="M433" s="3">
        <f t="shared" si="68"/>
        <v>1.3</v>
      </c>
      <c r="N433" s="3">
        <f t="shared" si="67"/>
        <v>1.3708904125402521</v>
      </c>
      <c r="O433" s="3" t="s">
        <v>143</v>
      </c>
      <c r="P433" s="3" t="s">
        <v>143</v>
      </c>
      <c r="Q433" s="3" t="str">
        <f t="shared" si="59"/>
        <v>386,1-2024-12-31</v>
      </c>
      <c r="R433" s="3">
        <v>0</v>
      </c>
      <c r="S433" s="3">
        <v>0</v>
      </c>
      <c r="T433" s="3" t="s">
        <v>31</v>
      </c>
      <c r="U433" s="3" t="s">
        <v>37</v>
      </c>
      <c r="V433" s="3" t="s">
        <v>310</v>
      </c>
      <c r="W433" s="3" t="s">
        <v>312</v>
      </c>
      <c r="X433" s="3" t="s">
        <v>313</v>
      </c>
      <c r="Y433" s="3" t="s">
        <v>314</v>
      </c>
      <c r="Z433" s="3" t="s">
        <v>63</v>
      </c>
      <c r="AA433" s="3" t="s">
        <v>148</v>
      </c>
      <c r="AB433" s="3" t="s">
        <v>78</v>
      </c>
      <c r="AC433" s="3" t="s">
        <v>66</v>
      </c>
      <c r="AD433" s="3">
        <v>0</v>
      </c>
    </row>
    <row r="434" spans="1:30" x14ac:dyDescent="0.3">
      <c r="A434" s="3">
        <v>386.1</v>
      </c>
      <c r="B434" s="3" t="s">
        <v>377</v>
      </c>
      <c r="C434" s="3" t="s">
        <v>310</v>
      </c>
      <c r="D434" s="3" t="s">
        <v>31</v>
      </c>
      <c r="E434" s="3" t="s">
        <v>32</v>
      </c>
      <c r="F434" s="12">
        <v>45657</v>
      </c>
      <c r="G434" s="3">
        <v>2024</v>
      </c>
      <c r="H434" s="3" t="s">
        <v>44</v>
      </c>
      <c r="I434" s="3" t="s">
        <v>53</v>
      </c>
      <c r="J434" s="3"/>
      <c r="K434" s="3">
        <v>3424.2073961999995</v>
      </c>
      <c r="L434" s="3">
        <v>4694.2130900000002</v>
      </c>
      <c r="M434" s="3">
        <f t="shared" si="68"/>
        <v>1.3</v>
      </c>
      <c r="N434" s="3">
        <f t="shared" si="67"/>
        <v>1.3708904125402521</v>
      </c>
      <c r="O434" s="3" t="s">
        <v>143</v>
      </c>
      <c r="P434" s="3" t="s">
        <v>143</v>
      </c>
      <c r="Q434" s="3" t="str">
        <f t="shared" si="59"/>
        <v>386,1-2024-12-31</v>
      </c>
      <c r="R434" s="3">
        <v>0</v>
      </c>
      <c r="S434" s="3">
        <v>0</v>
      </c>
      <c r="T434" s="3" t="s">
        <v>443</v>
      </c>
      <c r="U434" s="3" t="s">
        <v>37</v>
      </c>
      <c r="V434" s="3" t="s">
        <v>310</v>
      </c>
      <c r="W434" s="3" t="s">
        <v>312</v>
      </c>
      <c r="X434" s="3" t="s">
        <v>313</v>
      </c>
      <c r="Y434" s="3" t="s">
        <v>314</v>
      </c>
      <c r="Z434" s="3" t="s">
        <v>63</v>
      </c>
      <c r="AA434" s="3" t="s">
        <v>148</v>
      </c>
      <c r="AB434" s="3" t="s">
        <v>78</v>
      </c>
      <c r="AC434" s="3" t="s">
        <v>66</v>
      </c>
      <c r="AD434" s="3">
        <v>0</v>
      </c>
    </row>
    <row r="435" spans="1:30" x14ac:dyDescent="0.3">
      <c r="A435" s="3">
        <v>386.1</v>
      </c>
      <c r="B435" s="3" t="s">
        <v>377</v>
      </c>
      <c r="C435" s="3" t="s">
        <v>310</v>
      </c>
      <c r="D435" s="3" t="s">
        <v>31</v>
      </c>
      <c r="E435" s="3" t="s">
        <v>32</v>
      </c>
      <c r="F435" s="12">
        <v>46022</v>
      </c>
      <c r="G435" s="3">
        <v>2025</v>
      </c>
      <c r="H435" s="3" t="s">
        <v>44</v>
      </c>
      <c r="I435" s="3" t="s">
        <v>465</v>
      </c>
      <c r="J435" s="3">
        <v>2</v>
      </c>
      <c r="K435" s="3">
        <f>4042632396/1000000</f>
        <v>4042.632396</v>
      </c>
      <c r="L435" s="3">
        <f>4700694763/1000000</f>
        <v>4700.6947630000004</v>
      </c>
      <c r="M435" s="3">
        <f t="shared" si="68"/>
        <v>1.1627806593671794</v>
      </c>
      <c r="N435" s="3">
        <f t="shared" si="67"/>
        <v>1.1627806593671794</v>
      </c>
      <c r="O435" s="3" t="s">
        <v>143</v>
      </c>
      <c r="P435" s="3" t="s">
        <v>143</v>
      </c>
      <c r="Q435" s="3" t="str">
        <f t="shared" si="59"/>
        <v>386,1-2025-12-31</v>
      </c>
      <c r="R435" s="3">
        <v>0</v>
      </c>
      <c r="S435" s="3">
        <v>0</v>
      </c>
      <c r="T435" s="3" t="s">
        <v>31</v>
      </c>
      <c r="U435" s="3" t="s">
        <v>37</v>
      </c>
      <c r="V435" s="3" t="s">
        <v>310</v>
      </c>
      <c r="W435" s="3" t="s">
        <v>312</v>
      </c>
      <c r="X435" s="3" t="s">
        <v>313</v>
      </c>
      <c r="Y435" s="3" t="s">
        <v>314</v>
      </c>
      <c r="Z435" s="3"/>
      <c r="AA435" s="3"/>
      <c r="AB435" s="3" t="s">
        <v>78</v>
      </c>
      <c r="AC435" s="3" t="s">
        <v>66</v>
      </c>
      <c r="AD435" s="3">
        <v>0</v>
      </c>
    </row>
    <row r="436" spans="1:30" x14ac:dyDescent="0.3">
      <c r="A436" s="3">
        <v>386.2</v>
      </c>
      <c r="B436" s="3" t="s">
        <v>382</v>
      </c>
      <c r="C436" s="3" t="s">
        <v>310</v>
      </c>
      <c r="D436" s="3" t="s">
        <v>31</v>
      </c>
      <c r="E436" s="3" t="s">
        <v>32</v>
      </c>
      <c r="F436" s="12">
        <v>44926</v>
      </c>
      <c r="G436" s="3">
        <f>YEAR(F436)</f>
        <v>2022</v>
      </c>
      <c r="H436" s="3" t="s">
        <v>44</v>
      </c>
      <c r="I436" s="3" t="s">
        <v>45</v>
      </c>
      <c r="J436" s="3">
        <v>2</v>
      </c>
      <c r="K436" s="3">
        <f>5335242827/1000000</f>
        <v>5335.242827</v>
      </c>
      <c r="L436" s="3">
        <f>5335242827/1000000</f>
        <v>5335.242827</v>
      </c>
      <c r="M436" s="3">
        <f>L436/K436</f>
        <v>1</v>
      </c>
      <c r="N436" s="3">
        <f>L436/K436</f>
        <v>1</v>
      </c>
      <c r="O436" s="3" t="s">
        <v>143</v>
      </c>
      <c r="P436" s="3" t="s">
        <v>143</v>
      </c>
      <c r="Q436" s="3" t="str">
        <f t="shared" si="59"/>
        <v>386,2-2022-12-31</v>
      </c>
      <c r="R436" s="3">
        <v>0</v>
      </c>
      <c r="S436" s="3">
        <v>0</v>
      </c>
      <c r="T436" s="3" t="s">
        <v>31</v>
      </c>
      <c r="U436" s="3" t="s">
        <v>37</v>
      </c>
      <c r="V436" s="3" t="s">
        <v>310</v>
      </c>
      <c r="W436" s="3" t="s">
        <v>312</v>
      </c>
      <c r="X436" s="3" t="s">
        <v>313</v>
      </c>
      <c r="Y436" s="3" t="s">
        <v>314</v>
      </c>
      <c r="Z436" s="3" t="s">
        <v>63</v>
      </c>
      <c r="AA436" s="3" t="s">
        <v>148</v>
      </c>
      <c r="AB436" s="3" t="s">
        <v>78</v>
      </c>
      <c r="AC436" s="3" t="s">
        <v>66</v>
      </c>
      <c r="AD436" s="3">
        <v>0</v>
      </c>
    </row>
    <row r="437" spans="1:30" x14ac:dyDescent="0.3">
      <c r="A437" s="3">
        <v>386.2</v>
      </c>
      <c r="B437" s="3" t="s">
        <v>382</v>
      </c>
      <c r="C437" s="3" t="s">
        <v>310</v>
      </c>
      <c r="D437" s="3" t="s">
        <v>31</v>
      </c>
      <c r="E437" s="3" t="s">
        <v>32</v>
      </c>
      <c r="F437" s="12">
        <v>44926</v>
      </c>
      <c r="G437" s="3">
        <f>YEAR(F437)</f>
        <v>2022</v>
      </c>
      <c r="H437" s="3" t="s">
        <v>44</v>
      </c>
      <c r="I437" s="3" t="s">
        <v>45</v>
      </c>
      <c r="J437" s="3"/>
      <c r="K437" s="3">
        <f>5335242827/1000000</f>
        <v>5335.242827</v>
      </c>
      <c r="L437" s="3">
        <f>5335242827/1000000</f>
        <v>5335.242827</v>
      </c>
      <c r="M437" s="3">
        <f>L437/K437</f>
        <v>1</v>
      </c>
      <c r="N437" s="3">
        <f t="shared" ref="N437:N443" si="69">L437/K437</f>
        <v>1</v>
      </c>
      <c r="O437" s="3" t="s">
        <v>143</v>
      </c>
      <c r="P437" s="3" t="s">
        <v>143</v>
      </c>
      <c r="Q437" s="3" t="str">
        <f t="shared" si="59"/>
        <v>386,2-2022-12-31</v>
      </c>
      <c r="R437" s="3">
        <v>0</v>
      </c>
      <c r="S437" s="3">
        <v>0</v>
      </c>
      <c r="T437" s="3" t="s">
        <v>443</v>
      </c>
      <c r="U437" s="3" t="s">
        <v>37</v>
      </c>
      <c r="V437" s="3" t="s">
        <v>310</v>
      </c>
      <c r="W437" s="3" t="s">
        <v>312</v>
      </c>
      <c r="X437" s="3" t="s">
        <v>313</v>
      </c>
      <c r="Y437" s="3" t="s">
        <v>314</v>
      </c>
      <c r="Z437" s="3" t="s">
        <v>63</v>
      </c>
      <c r="AA437" s="3" t="s">
        <v>148</v>
      </c>
      <c r="AB437" s="3" t="s">
        <v>78</v>
      </c>
      <c r="AC437" s="3" t="s">
        <v>66</v>
      </c>
      <c r="AD437" s="3">
        <v>0</v>
      </c>
    </row>
    <row r="438" spans="1:30" x14ac:dyDescent="0.3">
      <c r="A438" s="3">
        <v>386.2</v>
      </c>
      <c r="B438" s="3" t="s">
        <v>382</v>
      </c>
      <c r="C438" s="3" t="s">
        <v>310</v>
      </c>
      <c r="D438" s="3" t="s">
        <v>31</v>
      </c>
      <c r="E438" s="3" t="s">
        <v>32</v>
      </c>
      <c r="F438" s="12">
        <v>45291</v>
      </c>
      <c r="G438" s="3">
        <v>2023</v>
      </c>
      <c r="H438" s="3" t="s">
        <v>44</v>
      </c>
      <c r="I438" s="3" t="s">
        <v>49</v>
      </c>
      <c r="J438" s="3">
        <v>2</v>
      </c>
      <c r="K438" s="3">
        <v>7082.0029999999988</v>
      </c>
      <c r="L438" s="3">
        <f>9868418317/1000000</f>
        <v>9868.4183169999997</v>
      </c>
      <c r="M438" s="3">
        <f t="shared" ref="M438:M443" si="70">L438/K438</f>
        <v>1.393450174618678</v>
      </c>
      <c r="N438" s="3">
        <f t="shared" si="69"/>
        <v>1.393450174618678</v>
      </c>
      <c r="O438" s="3" t="s">
        <v>143</v>
      </c>
      <c r="P438" s="3" t="s">
        <v>143</v>
      </c>
      <c r="Q438" s="3" t="str">
        <f t="shared" si="59"/>
        <v>386,2-2023-12-31</v>
      </c>
      <c r="R438" s="3">
        <v>0</v>
      </c>
      <c r="S438" s="3">
        <v>0</v>
      </c>
      <c r="T438" s="3" t="s">
        <v>31</v>
      </c>
      <c r="U438" s="3" t="s">
        <v>37</v>
      </c>
      <c r="V438" s="3" t="s">
        <v>310</v>
      </c>
      <c r="W438" s="3" t="s">
        <v>312</v>
      </c>
      <c r="X438" s="3" t="s">
        <v>313</v>
      </c>
      <c r="Y438" s="3" t="s">
        <v>314</v>
      </c>
      <c r="Z438" s="3" t="s">
        <v>63</v>
      </c>
      <c r="AA438" s="3" t="s">
        <v>148</v>
      </c>
      <c r="AB438" s="3" t="s">
        <v>78</v>
      </c>
      <c r="AC438" s="3" t="s">
        <v>66</v>
      </c>
      <c r="AD438" s="3">
        <v>0</v>
      </c>
    </row>
    <row r="439" spans="1:30" x14ac:dyDescent="0.3">
      <c r="A439" s="3">
        <v>386.2</v>
      </c>
      <c r="B439" s="3" t="s">
        <v>382</v>
      </c>
      <c r="C439" s="3" t="s">
        <v>310</v>
      </c>
      <c r="D439" s="3" t="s">
        <v>31</v>
      </c>
      <c r="E439" s="3" t="s">
        <v>32</v>
      </c>
      <c r="F439" s="12">
        <v>45291</v>
      </c>
      <c r="G439" s="3">
        <v>2023</v>
      </c>
      <c r="H439" s="3" t="s">
        <v>44</v>
      </c>
      <c r="I439" s="3" t="s">
        <v>49</v>
      </c>
      <c r="J439" s="3"/>
      <c r="K439" s="3">
        <v>7082.0029999999988</v>
      </c>
      <c r="L439" s="3">
        <f>9868418317/1000000</f>
        <v>9868.4183169999997</v>
      </c>
      <c r="M439" s="3">
        <f t="shared" si="70"/>
        <v>1.393450174618678</v>
      </c>
      <c r="N439" s="3">
        <f t="shared" si="69"/>
        <v>1.393450174618678</v>
      </c>
      <c r="O439" s="3" t="s">
        <v>143</v>
      </c>
      <c r="P439" s="3" t="s">
        <v>143</v>
      </c>
      <c r="Q439" s="3" t="str">
        <f t="shared" si="59"/>
        <v>386,2-2023-12-31</v>
      </c>
      <c r="R439" s="3">
        <v>0</v>
      </c>
      <c r="S439" s="3">
        <v>0</v>
      </c>
      <c r="T439" s="3" t="s">
        <v>443</v>
      </c>
      <c r="U439" s="3" t="s">
        <v>37</v>
      </c>
      <c r="V439" s="3" t="s">
        <v>310</v>
      </c>
      <c r="W439" s="3" t="s">
        <v>312</v>
      </c>
      <c r="X439" s="3" t="s">
        <v>313</v>
      </c>
      <c r="Y439" s="3" t="s">
        <v>314</v>
      </c>
      <c r="Z439" s="3" t="s">
        <v>63</v>
      </c>
      <c r="AA439" s="3" t="s">
        <v>148</v>
      </c>
      <c r="AB439" s="3" t="s">
        <v>78</v>
      </c>
      <c r="AC439" s="3" t="s">
        <v>66</v>
      </c>
      <c r="AD439" s="3">
        <v>0</v>
      </c>
    </row>
    <row r="440" spans="1:30" x14ac:dyDescent="0.3">
      <c r="A440" s="3">
        <v>386.2</v>
      </c>
      <c r="B440" s="3" t="s">
        <v>382</v>
      </c>
      <c r="C440" s="3" t="s">
        <v>310</v>
      </c>
      <c r="D440" s="3" t="s">
        <v>31</v>
      </c>
      <c r="E440" s="3" t="s">
        <v>32</v>
      </c>
      <c r="F440" s="12">
        <v>45657</v>
      </c>
      <c r="G440" s="3">
        <v>2024</v>
      </c>
      <c r="H440" s="3" t="s">
        <v>44</v>
      </c>
      <c r="I440" s="3" t="s">
        <v>53</v>
      </c>
      <c r="J440" s="3">
        <v>2</v>
      </c>
      <c r="K440" s="3">
        <v>7711.1257611000001</v>
      </c>
      <c r="L440" s="3">
        <v>4170.686009</v>
      </c>
      <c r="M440" s="3">
        <f t="shared" si="70"/>
        <v>0.54086603411912804</v>
      </c>
      <c r="N440" s="3">
        <f t="shared" si="69"/>
        <v>0.54086603411912804</v>
      </c>
      <c r="O440" s="3" t="s">
        <v>143</v>
      </c>
      <c r="P440" s="3" t="s">
        <v>143</v>
      </c>
      <c r="Q440" s="3" t="str">
        <f t="shared" si="59"/>
        <v>386,2-2024-12-31</v>
      </c>
      <c r="R440" s="3">
        <v>0</v>
      </c>
      <c r="S440" s="3">
        <v>0</v>
      </c>
      <c r="T440" s="3" t="s">
        <v>31</v>
      </c>
      <c r="U440" s="3" t="s">
        <v>37</v>
      </c>
      <c r="V440" s="3" t="s">
        <v>310</v>
      </c>
      <c r="W440" s="3" t="s">
        <v>312</v>
      </c>
      <c r="X440" s="3" t="s">
        <v>313</v>
      </c>
      <c r="Y440" s="3" t="s">
        <v>314</v>
      </c>
      <c r="Z440" s="3" t="s">
        <v>63</v>
      </c>
      <c r="AA440" s="3" t="s">
        <v>148</v>
      </c>
      <c r="AB440" s="3" t="s">
        <v>78</v>
      </c>
      <c r="AC440" s="3" t="s">
        <v>66</v>
      </c>
      <c r="AD440" s="3">
        <v>0</v>
      </c>
    </row>
    <row r="441" spans="1:30" x14ac:dyDescent="0.3">
      <c r="A441" s="3">
        <v>386.2</v>
      </c>
      <c r="B441" s="3" t="s">
        <v>382</v>
      </c>
      <c r="C441" s="3" t="s">
        <v>310</v>
      </c>
      <c r="D441" s="3" t="s">
        <v>31</v>
      </c>
      <c r="E441" s="3" t="s">
        <v>32</v>
      </c>
      <c r="F441" s="12">
        <v>45657</v>
      </c>
      <c r="G441" s="3">
        <v>2024</v>
      </c>
      <c r="H441" s="3" t="s">
        <v>44</v>
      </c>
      <c r="I441" s="3" t="s">
        <v>53</v>
      </c>
      <c r="J441" s="3"/>
      <c r="K441" s="3">
        <v>7711.1257611000001</v>
      </c>
      <c r="L441" s="3">
        <v>4170.686009</v>
      </c>
      <c r="M441" s="3">
        <f t="shared" si="70"/>
        <v>0.54086603411912804</v>
      </c>
      <c r="N441" s="3">
        <f t="shared" si="69"/>
        <v>0.54086603411912804</v>
      </c>
      <c r="O441" s="3" t="s">
        <v>143</v>
      </c>
      <c r="P441" s="3" t="s">
        <v>143</v>
      </c>
      <c r="Q441" s="3" t="str">
        <f t="shared" si="59"/>
        <v>386,2-2024-12-31</v>
      </c>
      <c r="R441" s="3">
        <v>0</v>
      </c>
      <c r="S441" s="3">
        <v>0</v>
      </c>
      <c r="T441" s="3" t="s">
        <v>443</v>
      </c>
      <c r="U441" s="3" t="s">
        <v>37</v>
      </c>
      <c r="V441" s="3" t="s">
        <v>310</v>
      </c>
      <c r="W441" s="3" t="s">
        <v>312</v>
      </c>
      <c r="X441" s="3" t="s">
        <v>313</v>
      </c>
      <c r="Y441" s="3" t="s">
        <v>314</v>
      </c>
      <c r="Z441" s="3" t="s">
        <v>63</v>
      </c>
      <c r="AA441" s="3" t="s">
        <v>148</v>
      </c>
      <c r="AB441" s="3" t="s">
        <v>78</v>
      </c>
      <c r="AC441" s="3" t="s">
        <v>66</v>
      </c>
      <c r="AD441" s="3">
        <v>0</v>
      </c>
    </row>
    <row r="442" spans="1:30" x14ac:dyDescent="0.3">
      <c r="A442" s="3">
        <v>386.2</v>
      </c>
      <c r="B442" s="3" t="s">
        <v>382</v>
      </c>
      <c r="C442" s="3" t="s">
        <v>310</v>
      </c>
      <c r="D442" s="3" t="s">
        <v>31</v>
      </c>
      <c r="E442" s="3" t="s">
        <v>32</v>
      </c>
      <c r="F442" s="12">
        <v>46022</v>
      </c>
      <c r="G442" s="3">
        <v>2025</v>
      </c>
      <c r="H442" s="3" t="s">
        <v>44</v>
      </c>
      <c r="I442" s="3" t="s">
        <v>465</v>
      </c>
      <c r="J442" s="3">
        <v>2</v>
      </c>
      <c r="K442" s="3">
        <f>7446830696/1000000</f>
        <v>7446.830696</v>
      </c>
      <c r="L442" s="3">
        <f>7473892508/1000000</f>
        <v>7473.8925079999999</v>
      </c>
      <c r="M442" s="3">
        <f t="shared" si="70"/>
        <v>1.0036340039279443</v>
      </c>
      <c r="N442" s="3">
        <f t="shared" si="69"/>
        <v>1.0036340039279443</v>
      </c>
      <c r="O442" s="3" t="s">
        <v>143</v>
      </c>
      <c r="P442" s="3" t="s">
        <v>143</v>
      </c>
      <c r="Q442" s="3" t="str">
        <f t="shared" si="59"/>
        <v>386,2-2025-12-31</v>
      </c>
      <c r="R442" s="3">
        <v>0</v>
      </c>
      <c r="S442" s="3">
        <v>0</v>
      </c>
      <c r="T442" s="3" t="s">
        <v>31</v>
      </c>
      <c r="U442" s="3" t="s">
        <v>37</v>
      </c>
      <c r="V442" s="3" t="s">
        <v>310</v>
      </c>
      <c r="W442" s="3" t="s">
        <v>312</v>
      </c>
      <c r="X442" s="3" t="s">
        <v>313</v>
      </c>
      <c r="Y442" s="3" t="s">
        <v>314</v>
      </c>
      <c r="Z442" s="3"/>
      <c r="AA442" s="3"/>
      <c r="AB442" s="3" t="s">
        <v>78</v>
      </c>
      <c r="AC442" s="3" t="s">
        <v>66</v>
      </c>
      <c r="AD442" s="3">
        <v>0</v>
      </c>
    </row>
    <row r="443" spans="1:30" x14ac:dyDescent="0.3">
      <c r="A443" s="3">
        <v>386.2</v>
      </c>
      <c r="B443" s="3" t="s">
        <v>382</v>
      </c>
      <c r="C443" s="3" t="s">
        <v>310</v>
      </c>
      <c r="D443" s="3" t="s">
        <v>31</v>
      </c>
      <c r="E443" s="3" t="s">
        <v>32</v>
      </c>
      <c r="F443" s="12">
        <v>46022</v>
      </c>
      <c r="G443" s="3">
        <v>2025</v>
      </c>
      <c r="H443" s="3" t="s">
        <v>44</v>
      </c>
      <c r="I443" s="3" t="s">
        <v>465</v>
      </c>
      <c r="J443" s="3"/>
      <c r="K443" s="3">
        <f>7446830696/1000000</f>
        <v>7446.830696</v>
      </c>
      <c r="L443" s="3">
        <f>7473892508/1000000</f>
        <v>7473.8925079999999</v>
      </c>
      <c r="M443" s="3">
        <f t="shared" si="70"/>
        <v>1.0036340039279443</v>
      </c>
      <c r="N443" s="3">
        <f t="shared" si="69"/>
        <v>1.0036340039279443</v>
      </c>
      <c r="O443" s="3" t="s">
        <v>143</v>
      </c>
      <c r="P443" s="3" t="s">
        <v>143</v>
      </c>
      <c r="Q443" s="3" t="str">
        <f t="shared" si="59"/>
        <v>386,2-2025-12-31</v>
      </c>
      <c r="R443" s="3">
        <v>0</v>
      </c>
      <c r="S443" s="3">
        <v>0</v>
      </c>
      <c r="T443" s="3" t="s">
        <v>443</v>
      </c>
      <c r="U443" s="3" t="s">
        <v>37</v>
      </c>
      <c r="V443" s="3" t="s">
        <v>310</v>
      </c>
      <c r="W443" s="3" t="s">
        <v>312</v>
      </c>
      <c r="X443" s="3" t="s">
        <v>313</v>
      </c>
      <c r="Y443" s="3" t="s">
        <v>314</v>
      </c>
      <c r="Z443" s="3"/>
      <c r="AA443" s="3"/>
      <c r="AB443" s="3" t="s">
        <v>78</v>
      </c>
      <c r="AC443" s="3" t="s">
        <v>66</v>
      </c>
      <c r="AD443" s="3">
        <v>0</v>
      </c>
    </row>
    <row r="444" spans="1:30" x14ac:dyDescent="0.3">
      <c r="A444" s="3">
        <v>386.3</v>
      </c>
      <c r="B444" s="3" t="s">
        <v>387</v>
      </c>
      <c r="C444" s="3" t="s">
        <v>310</v>
      </c>
      <c r="D444" s="3" t="s">
        <v>31</v>
      </c>
      <c r="E444" s="3" t="s">
        <v>32</v>
      </c>
      <c r="F444" s="12">
        <v>44926</v>
      </c>
      <c r="G444" s="3">
        <v>2022</v>
      </c>
      <c r="H444" s="3" t="s">
        <v>44</v>
      </c>
      <c r="I444" s="3" t="s">
        <v>45</v>
      </c>
      <c r="J444" s="3">
        <v>2</v>
      </c>
      <c r="K444" s="3">
        <f>3805662141/1000000</f>
        <v>3805.6621409999998</v>
      </c>
      <c r="L444" s="3">
        <f>3805662141/1000000</f>
        <v>3805.6621409999998</v>
      </c>
      <c r="M444" s="3">
        <f>IF(L444/K444&gt;1.3,1.3,L444/K444)</f>
        <v>1</v>
      </c>
      <c r="N444" s="3">
        <f>L444/K444</f>
        <v>1</v>
      </c>
      <c r="O444" s="3" t="s">
        <v>143</v>
      </c>
      <c r="P444" s="3" t="s">
        <v>143</v>
      </c>
      <c r="Q444" s="3" t="str">
        <f t="shared" si="59"/>
        <v>386,3-2022-12-31</v>
      </c>
      <c r="R444" s="3">
        <v>0</v>
      </c>
      <c r="S444" s="3">
        <v>0</v>
      </c>
      <c r="T444" s="3" t="s">
        <v>31</v>
      </c>
      <c r="U444" s="3" t="s">
        <v>37</v>
      </c>
      <c r="V444" s="3" t="s">
        <v>310</v>
      </c>
      <c r="W444" s="3" t="s">
        <v>312</v>
      </c>
      <c r="X444" s="3" t="s">
        <v>313</v>
      </c>
      <c r="Y444" s="3" t="s">
        <v>314</v>
      </c>
      <c r="Z444" s="3" t="s">
        <v>63</v>
      </c>
      <c r="AA444" s="3" t="s">
        <v>148</v>
      </c>
      <c r="AB444" s="3" t="s">
        <v>78</v>
      </c>
      <c r="AC444" s="3" t="s">
        <v>66</v>
      </c>
      <c r="AD444" s="3">
        <v>0</v>
      </c>
    </row>
    <row r="445" spans="1:30" x14ac:dyDescent="0.3">
      <c r="A445" s="3">
        <v>386.3</v>
      </c>
      <c r="B445" s="3" t="s">
        <v>387</v>
      </c>
      <c r="C445" s="3" t="s">
        <v>310</v>
      </c>
      <c r="D445" s="3" t="s">
        <v>31</v>
      </c>
      <c r="E445" s="3" t="s">
        <v>32</v>
      </c>
      <c r="F445" s="12">
        <v>44926</v>
      </c>
      <c r="G445" s="3">
        <v>2022</v>
      </c>
      <c r="H445" s="3" t="s">
        <v>44</v>
      </c>
      <c r="I445" s="3" t="s">
        <v>45</v>
      </c>
      <c r="J445" s="3"/>
      <c r="K445" s="3">
        <f>3805662141/1000000</f>
        <v>3805.6621409999998</v>
      </c>
      <c r="L445" s="3">
        <f>3805662141/1000000</f>
        <v>3805.6621409999998</v>
      </c>
      <c r="M445" s="3">
        <f t="shared" ref="M445:M451" si="71">IF(L445/K445&gt;1.3,1.3,L445/K445)</f>
        <v>1</v>
      </c>
      <c r="N445" s="3">
        <f t="shared" ref="N445:N451" si="72">L445/K445</f>
        <v>1</v>
      </c>
      <c r="O445" s="3" t="s">
        <v>143</v>
      </c>
      <c r="P445" s="3" t="s">
        <v>143</v>
      </c>
      <c r="Q445" s="3" t="str">
        <f t="shared" si="59"/>
        <v>386,3-2022-12-31</v>
      </c>
      <c r="R445" s="3">
        <v>0</v>
      </c>
      <c r="S445" s="3">
        <v>0</v>
      </c>
      <c r="T445" s="3" t="s">
        <v>443</v>
      </c>
      <c r="U445" s="3" t="s">
        <v>37</v>
      </c>
      <c r="V445" s="3" t="s">
        <v>310</v>
      </c>
      <c r="W445" s="3" t="s">
        <v>312</v>
      </c>
      <c r="X445" s="3" t="s">
        <v>313</v>
      </c>
      <c r="Y445" s="3" t="s">
        <v>314</v>
      </c>
      <c r="Z445" s="3" t="s">
        <v>63</v>
      </c>
      <c r="AA445" s="3" t="s">
        <v>148</v>
      </c>
      <c r="AB445" s="3" t="s">
        <v>78</v>
      </c>
      <c r="AC445" s="3" t="s">
        <v>66</v>
      </c>
      <c r="AD445" s="3">
        <v>0</v>
      </c>
    </row>
    <row r="446" spans="1:30" x14ac:dyDescent="0.3">
      <c r="A446" s="3">
        <v>386.3</v>
      </c>
      <c r="B446" s="3" t="s">
        <v>387</v>
      </c>
      <c r="C446" s="3" t="s">
        <v>310</v>
      </c>
      <c r="D446" s="3" t="s">
        <v>31</v>
      </c>
      <c r="E446" s="3" t="s">
        <v>32</v>
      </c>
      <c r="F446" s="12">
        <v>45291</v>
      </c>
      <c r="G446" s="3">
        <v>2023</v>
      </c>
      <c r="H446" s="3" t="s">
        <v>44</v>
      </c>
      <c r="I446" s="3" t="s">
        <v>49</v>
      </c>
      <c r="J446" s="3">
        <v>2</v>
      </c>
      <c r="K446" s="3">
        <v>5657.94</v>
      </c>
      <c r="L446" s="3">
        <f>4048733862/1000000</f>
        <v>4048.733862</v>
      </c>
      <c r="M446" s="3">
        <f t="shared" si="71"/>
        <v>0.71558444628256934</v>
      </c>
      <c r="N446" s="3">
        <f t="shared" si="72"/>
        <v>0.71558444628256934</v>
      </c>
      <c r="O446" s="3" t="s">
        <v>143</v>
      </c>
      <c r="P446" s="3" t="s">
        <v>143</v>
      </c>
      <c r="Q446" s="3" t="str">
        <f t="shared" si="59"/>
        <v>386,3-2023-12-31</v>
      </c>
      <c r="R446" s="3">
        <v>0</v>
      </c>
      <c r="S446" s="3">
        <v>0</v>
      </c>
      <c r="T446" s="3" t="s">
        <v>31</v>
      </c>
      <c r="U446" s="3" t="s">
        <v>37</v>
      </c>
      <c r="V446" s="3" t="s">
        <v>310</v>
      </c>
      <c r="W446" s="3" t="s">
        <v>312</v>
      </c>
      <c r="X446" s="3" t="s">
        <v>313</v>
      </c>
      <c r="Y446" s="3" t="s">
        <v>314</v>
      </c>
      <c r="Z446" s="3" t="s">
        <v>63</v>
      </c>
      <c r="AA446" s="3" t="s">
        <v>148</v>
      </c>
      <c r="AB446" s="3" t="s">
        <v>78</v>
      </c>
      <c r="AC446" s="3" t="s">
        <v>66</v>
      </c>
      <c r="AD446" s="3">
        <v>0</v>
      </c>
    </row>
    <row r="447" spans="1:30" x14ac:dyDescent="0.3">
      <c r="A447" s="3">
        <v>386.3</v>
      </c>
      <c r="B447" s="3" t="s">
        <v>387</v>
      </c>
      <c r="C447" s="3" t="s">
        <v>310</v>
      </c>
      <c r="D447" s="3" t="s">
        <v>31</v>
      </c>
      <c r="E447" s="3" t="s">
        <v>32</v>
      </c>
      <c r="F447" s="12">
        <v>45291</v>
      </c>
      <c r="G447" s="3">
        <v>2023</v>
      </c>
      <c r="H447" s="3" t="s">
        <v>44</v>
      </c>
      <c r="I447" s="3" t="s">
        <v>49</v>
      </c>
      <c r="J447" s="3"/>
      <c r="K447" s="3">
        <v>5657.94</v>
      </c>
      <c r="L447" s="3">
        <f>4048733862/1000000</f>
        <v>4048.733862</v>
      </c>
      <c r="M447" s="3">
        <f t="shared" si="71"/>
        <v>0.71558444628256934</v>
      </c>
      <c r="N447" s="3">
        <f t="shared" si="72"/>
        <v>0.71558444628256934</v>
      </c>
      <c r="O447" s="3" t="s">
        <v>143</v>
      </c>
      <c r="P447" s="3" t="s">
        <v>143</v>
      </c>
      <c r="Q447" s="3" t="str">
        <f t="shared" si="59"/>
        <v>386,3-2023-12-31</v>
      </c>
      <c r="R447" s="3">
        <v>0</v>
      </c>
      <c r="S447" s="3">
        <v>0</v>
      </c>
      <c r="T447" s="3" t="s">
        <v>443</v>
      </c>
      <c r="U447" s="3" t="s">
        <v>37</v>
      </c>
      <c r="V447" s="3" t="s">
        <v>310</v>
      </c>
      <c r="W447" s="3" t="s">
        <v>312</v>
      </c>
      <c r="X447" s="3" t="s">
        <v>313</v>
      </c>
      <c r="Y447" s="3" t="s">
        <v>314</v>
      </c>
      <c r="Z447" s="3" t="s">
        <v>63</v>
      </c>
      <c r="AA447" s="3" t="s">
        <v>148</v>
      </c>
      <c r="AB447" s="3" t="s">
        <v>78</v>
      </c>
      <c r="AC447" s="3" t="s">
        <v>66</v>
      </c>
      <c r="AD447" s="3">
        <v>0</v>
      </c>
    </row>
    <row r="448" spans="1:30" x14ac:dyDescent="0.3">
      <c r="A448" s="3">
        <v>386.3</v>
      </c>
      <c r="B448" s="3" t="s">
        <v>387</v>
      </c>
      <c r="C448" s="3" t="s">
        <v>310</v>
      </c>
      <c r="D448" s="3" t="s">
        <v>31</v>
      </c>
      <c r="E448" s="3" t="s">
        <v>32</v>
      </c>
      <c r="F448" s="12">
        <v>45657</v>
      </c>
      <c r="G448" s="3">
        <v>2024</v>
      </c>
      <c r="H448" s="3" t="s">
        <v>44</v>
      </c>
      <c r="I448" s="3" t="s">
        <v>53</v>
      </c>
      <c r="J448" s="3">
        <v>2</v>
      </c>
      <c r="K448" s="3">
        <v>4372.1599426999992</v>
      </c>
      <c r="L448" s="3">
        <v>4378.2397499999997</v>
      </c>
      <c r="M448" s="3">
        <f t="shared" si="71"/>
        <v>1.0013905729387031</v>
      </c>
      <c r="N448" s="3">
        <f t="shared" si="72"/>
        <v>1.0013905729387031</v>
      </c>
      <c r="O448" s="3" t="s">
        <v>143</v>
      </c>
      <c r="P448" s="3" t="s">
        <v>143</v>
      </c>
      <c r="Q448" s="3" t="str">
        <f t="shared" si="59"/>
        <v>386,3-2024-12-31</v>
      </c>
      <c r="R448" s="3">
        <v>0</v>
      </c>
      <c r="S448" s="3">
        <v>0</v>
      </c>
      <c r="T448" s="3" t="s">
        <v>31</v>
      </c>
      <c r="U448" s="3" t="s">
        <v>37</v>
      </c>
      <c r="V448" s="3" t="s">
        <v>310</v>
      </c>
      <c r="W448" s="3" t="s">
        <v>312</v>
      </c>
      <c r="X448" s="3" t="s">
        <v>313</v>
      </c>
      <c r="Y448" s="3" t="s">
        <v>314</v>
      </c>
      <c r="Z448" s="3" t="s">
        <v>63</v>
      </c>
      <c r="AA448" s="3" t="s">
        <v>148</v>
      </c>
      <c r="AB448" s="3" t="s">
        <v>78</v>
      </c>
      <c r="AC448" s="3" t="s">
        <v>66</v>
      </c>
      <c r="AD448" s="3">
        <v>0</v>
      </c>
    </row>
    <row r="449" spans="1:30" x14ac:dyDescent="0.3">
      <c r="A449" s="3">
        <v>386.3</v>
      </c>
      <c r="B449" s="3" t="s">
        <v>387</v>
      </c>
      <c r="C449" s="3" t="s">
        <v>310</v>
      </c>
      <c r="D449" s="3" t="s">
        <v>31</v>
      </c>
      <c r="E449" s="3" t="s">
        <v>32</v>
      </c>
      <c r="F449" s="12">
        <v>45657</v>
      </c>
      <c r="G449" s="3">
        <v>2024</v>
      </c>
      <c r="H449" s="3" t="s">
        <v>44</v>
      </c>
      <c r="I449" s="3" t="s">
        <v>53</v>
      </c>
      <c r="J449" s="3"/>
      <c r="K449" s="3">
        <v>4372.1599426999992</v>
      </c>
      <c r="L449" s="3">
        <v>4378.2397499999997</v>
      </c>
      <c r="M449" s="3">
        <f t="shared" si="71"/>
        <v>1.0013905729387031</v>
      </c>
      <c r="N449" s="3">
        <f t="shared" si="72"/>
        <v>1.0013905729387031</v>
      </c>
      <c r="O449" s="3" t="s">
        <v>143</v>
      </c>
      <c r="P449" s="3" t="s">
        <v>143</v>
      </c>
      <c r="Q449" s="3" t="str">
        <f t="shared" si="59"/>
        <v>386,3-2024-12-31</v>
      </c>
      <c r="R449" s="3">
        <v>0</v>
      </c>
      <c r="S449" s="3">
        <v>0</v>
      </c>
      <c r="T449" s="3" t="s">
        <v>443</v>
      </c>
      <c r="U449" s="3" t="s">
        <v>37</v>
      </c>
      <c r="V449" s="3" t="s">
        <v>310</v>
      </c>
      <c r="W449" s="3" t="s">
        <v>312</v>
      </c>
      <c r="X449" s="3" t="s">
        <v>313</v>
      </c>
      <c r="Y449" s="3" t="s">
        <v>314</v>
      </c>
      <c r="Z449" s="3" t="s">
        <v>63</v>
      </c>
      <c r="AA449" s="3" t="s">
        <v>148</v>
      </c>
      <c r="AB449" s="3" t="s">
        <v>78</v>
      </c>
      <c r="AC449" s="3" t="s">
        <v>66</v>
      </c>
      <c r="AD449" s="3">
        <v>0</v>
      </c>
    </row>
    <row r="450" spans="1:30" x14ac:dyDescent="0.3">
      <c r="A450" s="3">
        <v>386.3</v>
      </c>
      <c r="B450" s="3" t="s">
        <v>387</v>
      </c>
      <c r="C450" s="3" t="s">
        <v>310</v>
      </c>
      <c r="D450" s="3" t="s">
        <v>31</v>
      </c>
      <c r="E450" s="3" t="s">
        <v>32</v>
      </c>
      <c r="F450" s="12">
        <v>46022</v>
      </c>
      <c r="G450" s="3">
        <v>2025</v>
      </c>
      <c r="H450" s="3" t="s">
        <v>44</v>
      </c>
      <c r="I450" s="3" t="s">
        <v>465</v>
      </c>
      <c r="J450" s="3">
        <v>2</v>
      </c>
      <c r="K450" s="3">
        <f>(5278611105+290168214)/1000000</f>
        <v>5568.7793190000002</v>
      </c>
      <c r="L450" s="3">
        <f>6395679750/1000000</f>
        <v>6395.6797500000002</v>
      </c>
      <c r="M450" s="3">
        <f t="shared" si="71"/>
        <v>1.1484886334386992</v>
      </c>
      <c r="N450" s="3">
        <f t="shared" si="72"/>
        <v>1.1484886334386992</v>
      </c>
      <c r="O450" s="3" t="s">
        <v>143</v>
      </c>
      <c r="P450" s="3" t="s">
        <v>143</v>
      </c>
      <c r="Q450" s="3" t="str">
        <f t="shared" si="59"/>
        <v>386,3-2025-12-31</v>
      </c>
      <c r="R450" s="3">
        <v>0</v>
      </c>
      <c r="S450" s="3">
        <v>0</v>
      </c>
      <c r="T450" s="3" t="s">
        <v>31</v>
      </c>
      <c r="U450" s="3" t="s">
        <v>37</v>
      </c>
      <c r="V450" s="3" t="s">
        <v>310</v>
      </c>
      <c r="W450" s="3" t="s">
        <v>312</v>
      </c>
      <c r="X450" s="3" t="s">
        <v>313</v>
      </c>
      <c r="Y450" s="3" t="s">
        <v>314</v>
      </c>
      <c r="Z450" s="3"/>
      <c r="AA450" s="3"/>
      <c r="AB450" s="3" t="s">
        <v>78</v>
      </c>
      <c r="AC450" s="3" t="s">
        <v>66</v>
      </c>
      <c r="AD450" s="3">
        <v>0</v>
      </c>
    </row>
    <row r="451" spans="1:30" x14ac:dyDescent="0.3">
      <c r="A451" s="3">
        <v>386.3</v>
      </c>
      <c r="B451" s="3" t="s">
        <v>387</v>
      </c>
      <c r="C451" s="3" t="s">
        <v>310</v>
      </c>
      <c r="D451" s="3" t="s">
        <v>31</v>
      </c>
      <c r="E451" s="3" t="s">
        <v>32</v>
      </c>
      <c r="F451" s="12">
        <v>46022</v>
      </c>
      <c r="G451" s="3">
        <v>2025</v>
      </c>
      <c r="H451" s="3" t="s">
        <v>44</v>
      </c>
      <c r="I451" s="3" t="s">
        <v>465</v>
      </c>
      <c r="J451" s="3"/>
      <c r="K451" s="3">
        <f>(5278611105+290168214)/1000000</f>
        <v>5568.7793190000002</v>
      </c>
      <c r="L451" s="3">
        <f>6395679750/1000000</f>
        <v>6395.6797500000002</v>
      </c>
      <c r="M451" s="3">
        <f t="shared" si="71"/>
        <v>1.1484886334386992</v>
      </c>
      <c r="N451" s="3">
        <f t="shared" si="72"/>
        <v>1.1484886334386992</v>
      </c>
      <c r="O451" s="3" t="s">
        <v>143</v>
      </c>
      <c r="P451" s="3" t="s">
        <v>143</v>
      </c>
      <c r="Q451" s="3" t="str">
        <f t="shared" ref="Q451:Q514" si="73">A451&amp;"-"&amp;YEAR(F451)&amp;"-"&amp;IF(LEN(MONTH(F451))=1,"0"&amp;MONTH(F451),MONTH(F451))&amp;"-"&amp;IF(LEN(DAY(F451))=1,"0"&amp;DAY(F451),DAY(F451))</f>
        <v>386,3-2025-12-31</v>
      </c>
      <c r="R451" s="3">
        <v>0</v>
      </c>
      <c r="S451" s="3">
        <v>0</v>
      </c>
      <c r="T451" s="3" t="s">
        <v>443</v>
      </c>
      <c r="U451" s="3" t="s">
        <v>37</v>
      </c>
      <c r="V451" s="3" t="s">
        <v>310</v>
      </c>
      <c r="W451" s="3" t="s">
        <v>312</v>
      </c>
      <c r="X451" s="3" t="s">
        <v>313</v>
      </c>
      <c r="Y451" s="3" t="s">
        <v>314</v>
      </c>
      <c r="Z451" s="3"/>
      <c r="AA451" s="3"/>
      <c r="AB451" s="3" t="s">
        <v>78</v>
      </c>
      <c r="AC451" s="3" t="s">
        <v>66</v>
      </c>
      <c r="AD451" s="3">
        <v>0</v>
      </c>
    </row>
    <row r="452" spans="1:30" x14ac:dyDescent="0.3">
      <c r="A452" s="3">
        <v>423</v>
      </c>
      <c r="B452" s="3" t="s">
        <v>320</v>
      </c>
      <c r="C452" s="3" t="s">
        <v>83</v>
      </c>
      <c r="D452" s="3" t="s">
        <v>66</v>
      </c>
      <c r="E452" s="3" t="s">
        <v>32</v>
      </c>
      <c r="F452" s="12">
        <v>44926</v>
      </c>
      <c r="G452" s="3">
        <v>2022</v>
      </c>
      <c r="H452" s="3" t="s">
        <v>44</v>
      </c>
      <c r="I452" s="3" t="s">
        <v>45</v>
      </c>
      <c r="J452" s="3">
        <v>2</v>
      </c>
      <c r="K452" s="3">
        <v>8.8000000000000007</v>
      </c>
      <c r="L452" s="3">
        <v>7.8</v>
      </c>
      <c r="M452" s="3">
        <f>+L452/K452</f>
        <v>0.88636363636363624</v>
      </c>
      <c r="N452" s="3">
        <f>+L452/K452</f>
        <v>0.88636363636363624</v>
      </c>
      <c r="O452" s="3" t="s">
        <v>245</v>
      </c>
      <c r="P452" s="3" t="s">
        <v>245</v>
      </c>
      <c r="Q452" s="3" t="str">
        <f t="shared" si="73"/>
        <v>423-2022-12-31</v>
      </c>
      <c r="R452" s="3">
        <v>1</v>
      </c>
      <c r="S452" s="3">
        <v>1</v>
      </c>
      <c r="T452" s="3" t="s">
        <v>31</v>
      </c>
      <c r="U452" s="3" t="s">
        <v>37</v>
      </c>
      <c r="V452" s="3" t="s">
        <v>83</v>
      </c>
      <c r="W452" s="3" t="s">
        <v>38</v>
      </c>
      <c r="X452" s="3" t="s">
        <v>39</v>
      </c>
      <c r="Y452" s="3" t="s">
        <v>322</v>
      </c>
      <c r="Z452" s="3" t="s">
        <v>274</v>
      </c>
      <c r="AA452" s="3" t="s">
        <v>275</v>
      </c>
      <c r="AB452" s="3" t="s">
        <v>43</v>
      </c>
      <c r="AC452" s="3" t="s">
        <v>66</v>
      </c>
      <c r="AD452" s="3">
        <v>0</v>
      </c>
    </row>
    <row r="453" spans="1:30" x14ac:dyDescent="0.3">
      <c r="A453" s="3">
        <v>423</v>
      </c>
      <c r="B453" s="3" t="s">
        <v>320</v>
      </c>
      <c r="C453" s="3" t="s">
        <v>83</v>
      </c>
      <c r="D453" s="3" t="s">
        <v>66</v>
      </c>
      <c r="E453" s="3" t="s">
        <v>32</v>
      </c>
      <c r="F453" s="12">
        <v>44926</v>
      </c>
      <c r="G453" s="3">
        <v>2022</v>
      </c>
      <c r="H453" s="3" t="s">
        <v>44</v>
      </c>
      <c r="I453" s="3" t="s">
        <v>45</v>
      </c>
      <c r="J453" s="3"/>
      <c r="K453" s="3">
        <v>8.8000000000000007</v>
      </c>
      <c r="L453" s="3">
        <v>7.8</v>
      </c>
      <c r="M453" s="3">
        <f t="shared" ref="M453:M458" si="74">+L453/K453</f>
        <v>0.88636363636363624</v>
      </c>
      <c r="N453" s="3">
        <f t="shared" ref="N453:N458" si="75">+L453/K453</f>
        <v>0.88636363636363624</v>
      </c>
      <c r="O453" s="3" t="s">
        <v>245</v>
      </c>
      <c r="P453" s="3" t="s">
        <v>245</v>
      </c>
      <c r="Q453" s="3" t="str">
        <f t="shared" si="73"/>
        <v>423-2022-12-31</v>
      </c>
      <c r="R453" s="3">
        <v>1</v>
      </c>
      <c r="S453" s="3">
        <v>1</v>
      </c>
      <c r="T453" s="3" t="s">
        <v>443</v>
      </c>
      <c r="U453" s="3" t="s">
        <v>37</v>
      </c>
      <c r="V453" s="3" t="s">
        <v>83</v>
      </c>
      <c r="W453" s="3" t="s">
        <v>38</v>
      </c>
      <c r="X453" s="3" t="s">
        <v>39</v>
      </c>
      <c r="Y453" s="3" t="s">
        <v>322</v>
      </c>
      <c r="Z453" s="3" t="s">
        <v>274</v>
      </c>
      <c r="AA453" s="3" t="s">
        <v>275</v>
      </c>
      <c r="AB453" s="3" t="s">
        <v>43</v>
      </c>
      <c r="AC453" s="3" t="s">
        <v>66</v>
      </c>
      <c r="AD453" s="3">
        <v>0</v>
      </c>
    </row>
    <row r="454" spans="1:30" x14ac:dyDescent="0.3">
      <c r="A454" s="3">
        <v>423</v>
      </c>
      <c r="B454" s="3" t="s">
        <v>320</v>
      </c>
      <c r="C454" s="3" t="s">
        <v>83</v>
      </c>
      <c r="D454" s="3" t="s">
        <v>66</v>
      </c>
      <c r="E454" s="3" t="s">
        <v>32</v>
      </c>
      <c r="F454" s="12">
        <v>45291</v>
      </c>
      <c r="G454" s="3">
        <v>2023</v>
      </c>
      <c r="H454" s="3" t="s">
        <v>44</v>
      </c>
      <c r="I454" s="3" t="s">
        <v>49</v>
      </c>
      <c r="J454" s="3">
        <v>2</v>
      </c>
      <c r="K454" s="3">
        <v>8.4</v>
      </c>
      <c r="L454" s="3">
        <v>7.9</v>
      </c>
      <c r="M454" s="3">
        <f t="shared" si="74"/>
        <v>0.94047619047619047</v>
      </c>
      <c r="N454" s="3">
        <f t="shared" si="75"/>
        <v>0.94047619047619047</v>
      </c>
      <c r="O454" s="3" t="s">
        <v>245</v>
      </c>
      <c r="P454" s="3" t="s">
        <v>245</v>
      </c>
      <c r="Q454" s="3" t="str">
        <f t="shared" si="73"/>
        <v>423-2023-12-31</v>
      </c>
      <c r="R454" s="3">
        <v>1</v>
      </c>
      <c r="S454" s="3">
        <v>1</v>
      </c>
      <c r="T454" s="3" t="s">
        <v>31</v>
      </c>
      <c r="U454" s="3" t="s">
        <v>37</v>
      </c>
      <c r="V454" s="3" t="s">
        <v>83</v>
      </c>
      <c r="W454" s="3" t="s">
        <v>38</v>
      </c>
      <c r="X454" s="3" t="s">
        <v>39</v>
      </c>
      <c r="Y454" s="3" t="s">
        <v>322</v>
      </c>
      <c r="Z454" s="3" t="s">
        <v>274</v>
      </c>
      <c r="AA454" s="3" t="s">
        <v>275</v>
      </c>
      <c r="AB454" s="3" t="s">
        <v>43</v>
      </c>
      <c r="AC454" s="3" t="s">
        <v>66</v>
      </c>
      <c r="AD454" s="3">
        <v>0</v>
      </c>
    </row>
    <row r="455" spans="1:30" x14ac:dyDescent="0.3">
      <c r="A455" s="3">
        <v>423</v>
      </c>
      <c r="B455" s="3" t="s">
        <v>320</v>
      </c>
      <c r="C455" s="3" t="s">
        <v>83</v>
      </c>
      <c r="D455" s="3" t="s">
        <v>66</v>
      </c>
      <c r="E455" s="3" t="s">
        <v>32</v>
      </c>
      <c r="F455" s="12">
        <v>45291</v>
      </c>
      <c r="G455" s="3">
        <v>2023</v>
      </c>
      <c r="H455" s="3" t="s">
        <v>44</v>
      </c>
      <c r="I455" s="3" t="s">
        <v>49</v>
      </c>
      <c r="J455" s="3"/>
      <c r="K455" s="3">
        <v>8.4</v>
      </c>
      <c r="L455" s="3">
        <v>7.9</v>
      </c>
      <c r="M455" s="3">
        <f t="shared" si="74"/>
        <v>0.94047619047619047</v>
      </c>
      <c r="N455" s="3">
        <f t="shared" si="75"/>
        <v>0.94047619047619047</v>
      </c>
      <c r="O455" s="3" t="s">
        <v>245</v>
      </c>
      <c r="P455" s="3" t="s">
        <v>245</v>
      </c>
      <c r="Q455" s="3" t="str">
        <f t="shared" si="73"/>
        <v>423-2023-12-31</v>
      </c>
      <c r="R455" s="3">
        <v>1</v>
      </c>
      <c r="S455" s="3">
        <v>1</v>
      </c>
      <c r="T455" s="3" t="s">
        <v>443</v>
      </c>
      <c r="U455" s="3" t="s">
        <v>37</v>
      </c>
      <c r="V455" s="3" t="s">
        <v>83</v>
      </c>
      <c r="W455" s="3" t="s">
        <v>38</v>
      </c>
      <c r="X455" s="3" t="s">
        <v>39</v>
      </c>
      <c r="Y455" s="3" t="s">
        <v>322</v>
      </c>
      <c r="Z455" s="3" t="s">
        <v>274</v>
      </c>
      <c r="AA455" s="3" t="s">
        <v>275</v>
      </c>
      <c r="AB455" s="3" t="s">
        <v>43</v>
      </c>
      <c r="AC455" s="3" t="s">
        <v>66</v>
      </c>
      <c r="AD455" s="3">
        <v>0</v>
      </c>
    </row>
    <row r="456" spans="1:30" x14ac:dyDescent="0.3">
      <c r="A456" s="3">
        <v>423</v>
      </c>
      <c r="B456" s="3" t="s">
        <v>320</v>
      </c>
      <c r="C456" s="3" t="s">
        <v>83</v>
      </c>
      <c r="D456" s="3" t="s">
        <v>66</v>
      </c>
      <c r="E456" s="3" t="s">
        <v>32</v>
      </c>
      <c r="F456" s="12">
        <v>45657</v>
      </c>
      <c r="G456" s="3">
        <v>2024</v>
      </c>
      <c r="H456" s="3" t="s">
        <v>44</v>
      </c>
      <c r="I456" s="3" t="s">
        <v>53</v>
      </c>
      <c r="J456" s="3">
        <v>2</v>
      </c>
      <c r="K456" s="3">
        <v>8.3000000000000007</v>
      </c>
      <c r="L456" s="3">
        <v>12.4</v>
      </c>
      <c r="M456" s="3">
        <f t="shared" si="74"/>
        <v>1.4939759036144578</v>
      </c>
      <c r="N456" s="3">
        <f t="shared" si="75"/>
        <v>1.4939759036144578</v>
      </c>
      <c r="O456" s="3" t="s">
        <v>245</v>
      </c>
      <c r="P456" s="3" t="s">
        <v>245</v>
      </c>
      <c r="Q456" s="3" t="str">
        <f t="shared" si="73"/>
        <v>423-2024-12-31</v>
      </c>
      <c r="R456" s="3">
        <v>1</v>
      </c>
      <c r="S456" s="3">
        <v>1</v>
      </c>
      <c r="T456" s="3" t="s">
        <v>31</v>
      </c>
      <c r="U456" s="3" t="s">
        <v>37</v>
      </c>
      <c r="V456" s="3" t="s">
        <v>83</v>
      </c>
      <c r="W456" s="3" t="s">
        <v>38</v>
      </c>
      <c r="X456" s="3" t="s">
        <v>39</v>
      </c>
      <c r="Y456" s="3" t="s">
        <v>322</v>
      </c>
      <c r="Z456" s="3" t="s">
        <v>274</v>
      </c>
      <c r="AA456" s="3" t="s">
        <v>275</v>
      </c>
      <c r="AB456" s="3" t="s">
        <v>43</v>
      </c>
      <c r="AC456" s="3" t="s">
        <v>66</v>
      </c>
      <c r="AD456" s="3">
        <v>0</v>
      </c>
    </row>
    <row r="457" spans="1:30" x14ac:dyDescent="0.3">
      <c r="A457" s="3">
        <v>423</v>
      </c>
      <c r="B457" s="3" t="s">
        <v>320</v>
      </c>
      <c r="C457" s="3" t="s">
        <v>83</v>
      </c>
      <c r="D457" s="3" t="s">
        <v>66</v>
      </c>
      <c r="E457" s="3" t="s">
        <v>32</v>
      </c>
      <c r="F457" s="12">
        <v>45657</v>
      </c>
      <c r="G457" s="3">
        <v>2024</v>
      </c>
      <c r="H457" s="3" t="s">
        <v>44</v>
      </c>
      <c r="I457" s="3" t="s">
        <v>53</v>
      </c>
      <c r="J457" s="3"/>
      <c r="K457" s="3">
        <v>8.3000000000000007</v>
      </c>
      <c r="L457" s="3">
        <v>12.4</v>
      </c>
      <c r="M457" s="3">
        <f t="shared" si="74"/>
        <v>1.4939759036144578</v>
      </c>
      <c r="N457" s="3">
        <f t="shared" si="75"/>
        <v>1.4939759036144578</v>
      </c>
      <c r="O457" s="3" t="s">
        <v>245</v>
      </c>
      <c r="P457" s="3" t="s">
        <v>245</v>
      </c>
      <c r="Q457" s="3" t="str">
        <f t="shared" si="73"/>
        <v>423-2024-12-31</v>
      </c>
      <c r="R457" s="3">
        <v>1</v>
      </c>
      <c r="S457" s="3">
        <v>1</v>
      </c>
      <c r="T457" s="3" t="s">
        <v>443</v>
      </c>
      <c r="U457" s="3" t="s">
        <v>37</v>
      </c>
      <c r="V457" s="3" t="s">
        <v>83</v>
      </c>
      <c r="W457" s="3" t="s">
        <v>38</v>
      </c>
      <c r="X457" s="3" t="s">
        <v>39</v>
      </c>
      <c r="Y457" s="3" t="s">
        <v>322</v>
      </c>
      <c r="Z457" s="3" t="s">
        <v>274</v>
      </c>
      <c r="AA457" s="3" t="s">
        <v>275</v>
      </c>
      <c r="AB457" s="3" t="s">
        <v>43</v>
      </c>
      <c r="AC457" s="3" t="s">
        <v>66</v>
      </c>
      <c r="AD457" s="3">
        <v>0</v>
      </c>
    </row>
    <row r="458" spans="1:30" x14ac:dyDescent="0.3">
      <c r="A458" s="3">
        <v>423</v>
      </c>
      <c r="B458" s="3" t="s">
        <v>320</v>
      </c>
      <c r="C458" s="3" t="s">
        <v>83</v>
      </c>
      <c r="D458" s="3" t="s">
        <v>66</v>
      </c>
      <c r="E458" s="3" t="s">
        <v>32</v>
      </c>
      <c r="F458" s="12">
        <v>46022</v>
      </c>
      <c r="G458" s="3">
        <v>2025</v>
      </c>
      <c r="H458" s="3" t="s">
        <v>44</v>
      </c>
      <c r="I458" s="3" t="s">
        <v>465</v>
      </c>
      <c r="J458" s="3">
        <v>2</v>
      </c>
      <c r="K458" s="3">
        <v>12</v>
      </c>
      <c r="L458" s="3">
        <v>15.1</v>
      </c>
      <c r="M458" s="3">
        <f t="shared" si="74"/>
        <v>1.2583333333333333</v>
      </c>
      <c r="N458" s="3">
        <f t="shared" si="75"/>
        <v>1.2583333333333333</v>
      </c>
      <c r="O458" s="3" t="s">
        <v>245</v>
      </c>
      <c r="P458" s="3" t="s">
        <v>245</v>
      </c>
      <c r="Q458" s="3" t="str">
        <f t="shared" si="73"/>
        <v>423-2025-12-31</v>
      </c>
      <c r="R458" s="3">
        <v>1</v>
      </c>
      <c r="S458" s="3">
        <v>1</v>
      </c>
      <c r="T458" s="3" t="s">
        <v>31</v>
      </c>
      <c r="U458" s="3" t="s">
        <v>37</v>
      </c>
      <c r="V458" s="3" t="s">
        <v>83</v>
      </c>
      <c r="W458" s="3" t="s">
        <v>38</v>
      </c>
      <c r="X458" s="3" t="s">
        <v>39</v>
      </c>
      <c r="Y458" s="3" t="s">
        <v>322</v>
      </c>
      <c r="Z458" s="3" t="s">
        <v>274</v>
      </c>
      <c r="AA458" s="3" t="s">
        <v>275</v>
      </c>
      <c r="AB458" s="3" t="s">
        <v>43</v>
      </c>
      <c r="AC458" s="3" t="s">
        <v>66</v>
      </c>
      <c r="AD458" s="3">
        <v>0</v>
      </c>
    </row>
    <row r="459" spans="1:30" x14ac:dyDescent="0.3">
      <c r="A459" s="3">
        <v>424</v>
      </c>
      <c r="B459" s="3" t="s">
        <v>325</v>
      </c>
      <c r="C459" s="3" t="s">
        <v>83</v>
      </c>
      <c r="D459" s="3" t="s">
        <v>66</v>
      </c>
      <c r="E459" s="3" t="s">
        <v>32</v>
      </c>
      <c r="F459" s="12">
        <v>44926</v>
      </c>
      <c r="G459" s="3">
        <v>2022</v>
      </c>
      <c r="H459" s="3" t="s">
        <v>44</v>
      </c>
      <c r="I459" s="3" t="s">
        <v>45</v>
      </c>
      <c r="J459" s="3">
        <v>2</v>
      </c>
      <c r="K459" s="3">
        <v>6.5</v>
      </c>
      <c r="L459" s="3">
        <v>5</v>
      </c>
      <c r="M459" s="3">
        <f>+L459/K459</f>
        <v>0.76923076923076927</v>
      </c>
      <c r="N459" s="3">
        <f>+L459/K459</f>
        <v>0.76923076923076927</v>
      </c>
      <c r="O459" s="3" t="s">
        <v>245</v>
      </c>
      <c r="P459" s="3" t="s">
        <v>35</v>
      </c>
      <c r="Q459" s="3" t="str">
        <f t="shared" si="73"/>
        <v>424-2022-12-31</v>
      </c>
      <c r="R459" s="3">
        <v>0</v>
      </c>
      <c r="S459" s="3">
        <v>0</v>
      </c>
      <c r="T459" s="3" t="s">
        <v>31</v>
      </c>
      <c r="U459" s="3" t="s">
        <v>37</v>
      </c>
      <c r="V459" s="3" t="s">
        <v>83</v>
      </c>
      <c r="W459" s="3" t="s">
        <v>38</v>
      </c>
      <c r="X459" s="3" t="s">
        <v>39</v>
      </c>
      <c r="Y459" s="3" t="s">
        <v>322</v>
      </c>
      <c r="Z459" s="3" t="s">
        <v>274</v>
      </c>
      <c r="AA459" s="3" t="s">
        <v>275</v>
      </c>
      <c r="AB459" s="3" t="s">
        <v>43</v>
      </c>
      <c r="AC459" s="3" t="s">
        <v>66</v>
      </c>
      <c r="AD459" s="3">
        <v>0</v>
      </c>
    </row>
    <row r="460" spans="1:30" x14ac:dyDescent="0.3">
      <c r="A460" s="3">
        <v>424</v>
      </c>
      <c r="B460" s="3" t="s">
        <v>325</v>
      </c>
      <c r="C460" s="3" t="s">
        <v>83</v>
      </c>
      <c r="D460" s="3" t="s">
        <v>66</v>
      </c>
      <c r="E460" s="3" t="s">
        <v>32</v>
      </c>
      <c r="F460" s="12">
        <v>44926</v>
      </c>
      <c r="G460" s="3">
        <v>2022</v>
      </c>
      <c r="H460" s="3" t="s">
        <v>44</v>
      </c>
      <c r="I460" s="3" t="s">
        <v>45</v>
      </c>
      <c r="J460" s="3"/>
      <c r="K460" s="3">
        <v>6.5</v>
      </c>
      <c r="L460" s="3">
        <v>5</v>
      </c>
      <c r="M460" s="3">
        <f t="shared" ref="M460:M465" si="76">+L460/K460</f>
        <v>0.76923076923076927</v>
      </c>
      <c r="N460" s="3">
        <f t="shared" ref="N460:N465" si="77">+L460/K460</f>
        <v>0.76923076923076927</v>
      </c>
      <c r="O460" s="3" t="s">
        <v>245</v>
      </c>
      <c r="P460" s="3" t="s">
        <v>35</v>
      </c>
      <c r="Q460" s="3" t="str">
        <f t="shared" si="73"/>
        <v>424-2022-12-31</v>
      </c>
      <c r="R460" s="3">
        <v>1</v>
      </c>
      <c r="S460" s="3">
        <v>0</v>
      </c>
      <c r="T460" s="3" t="s">
        <v>443</v>
      </c>
      <c r="U460" s="3" t="s">
        <v>37</v>
      </c>
      <c r="V460" s="3" t="s">
        <v>83</v>
      </c>
      <c r="W460" s="3" t="s">
        <v>38</v>
      </c>
      <c r="X460" s="3" t="s">
        <v>39</v>
      </c>
      <c r="Y460" s="3" t="s">
        <v>322</v>
      </c>
      <c r="Z460" s="3" t="s">
        <v>274</v>
      </c>
      <c r="AA460" s="3" t="s">
        <v>275</v>
      </c>
      <c r="AB460" s="3" t="s">
        <v>43</v>
      </c>
      <c r="AC460" s="3" t="s">
        <v>66</v>
      </c>
      <c r="AD460" s="3">
        <v>0</v>
      </c>
    </row>
    <row r="461" spans="1:30" x14ac:dyDescent="0.3">
      <c r="A461" s="3">
        <v>424</v>
      </c>
      <c r="B461" s="3" t="s">
        <v>325</v>
      </c>
      <c r="C461" s="3" t="s">
        <v>83</v>
      </c>
      <c r="D461" s="3" t="s">
        <v>66</v>
      </c>
      <c r="E461" s="3" t="s">
        <v>32</v>
      </c>
      <c r="F461" s="12">
        <v>45291</v>
      </c>
      <c r="G461" s="3">
        <v>2023</v>
      </c>
      <c r="H461" s="3" t="s">
        <v>44</v>
      </c>
      <c r="I461" s="3" t="s">
        <v>49</v>
      </c>
      <c r="J461" s="3">
        <v>2</v>
      </c>
      <c r="K461" s="3">
        <v>6</v>
      </c>
      <c r="L461" s="3">
        <v>6</v>
      </c>
      <c r="M461" s="3">
        <f t="shared" si="76"/>
        <v>1</v>
      </c>
      <c r="N461" s="3">
        <f t="shared" si="77"/>
        <v>1</v>
      </c>
      <c r="O461" s="3" t="s">
        <v>35</v>
      </c>
      <c r="P461" s="3" t="s">
        <v>35</v>
      </c>
      <c r="Q461" s="3" t="str">
        <f t="shared" si="73"/>
        <v>424-2023-12-31</v>
      </c>
      <c r="R461" s="3">
        <v>0</v>
      </c>
      <c r="S461" s="3">
        <v>0</v>
      </c>
      <c r="T461" s="3" t="s">
        <v>31</v>
      </c>
      <c r="U461" s="3" t="s">
        <v>37</v>
      </c>
      <c r="V461" s="3" t="s">
        <v>83</v>
      </c>
      <c r="W461" s="3" t="s">
        <v>38</v>
      </c>
      <c r="X461" s="3" t="s">
        <v>39</v>
      </c>
      <c r="Y461" s="3" t="s">
        <v>322</v>
      </c>
      <c r="Z461" s="3" t="s">
        <v>274</v>
      </c>
      <c r="AA461" s="3" t="s">
        <v>275</v>
      </c>
      <c r="AB461" s="3" t="s">
        <v>43</v>
      </c>
      <c r="AC461" s="3" t="s">
        <v>66</v>
      </c>
      <c r="AD461" s="3">
        <v>0</v>
      </c>
    </row>
    <row r="462" spans="1:30" x14ac:dyDescent="0.3">
      <c r="A462" s="3">
        <v>424</v>
      </c>
      <c r="B462" s="3" t="s">
        <v>325</v>
      </c>
      <c r="C462" s="3" t="s">
        <v>83</v>
      </c>
      <c r="D462" s="3" t="s">
        <v>66</v>
      </c>
      <c r="E462" s="3" t="s">
        <v>32</v>
      </c>
      <c r="F462" s="12">
        <v>45291</v>
      </c>
      <c r="G462" s="3">
        <v>2023</v>
      </c>
      <c r="H462" s="3" t="s">
        <v>44</v>
      </c>
      <c r="I462" s="3" t="s">
        <v>49</v>
      </c>
      <c r="J462" s="3"/>
      <c r="K462" s="3">
        <v>6</v>
      </c>
      <c r="L462" s="3">
        <v>6</v>
      </c>
      <c r="M462" s="3">
        <f t="shared" si="76"/>
        <v>1</v>
      </c>
      <c r="N462" s="3">
        <f t="shared" si="77"/>
        <v>1</v>
      </c>
      <c r="O462" s="3" t="s">
        <v>35</v>
      </c>
      <c r="P462" s="3" t="s">
        <v>35</v>
      </c>
      <c r="Q462" s="3" t="str">
        <f t="shared" si="73"/>
        <v>424-2023-12-31</v>
      </c>
      <c r="R462" s="3">
        <v>0</v>
      </c>
      <c r="S462" s="3">
        <v>0</v>
      </c>
      <c r="T462" s="3" t="s">
        <v>443</v>
      </c>
      <c r="U462" s="3" t="s">
        <v>37</v>
      </c>
      <c r="V462" s="3" t="s">
        <v>83</v>
      </c>
      <c r="W462" s="3" t="s">
        <v>38</v>
      </c>
      <c r="X462" s="3" t="s">
        <v>39</v>
      </c>
      <c r="Y462" s="3" t="s">
        <v>322</v>
      </c>
      <c r="Z462" s="3" t="s">
        <v>274</v>
      </c>
      <c r="AA462" s="3" t="s">
        <v>275</v>
      </c>
      <c r="AB462" s="3" t="s">
        <v>43</v>
      </c>
      <c r="AC462" s="3" t="s">
        <v>66</v>
      </c>
      <c r="AD462" s="3">
        <v>0</v>
      </c>
    </row>
    <row r="463" spans="1:30" x14ac:dyDescent="0.3">
      <c r="A463" s="3">
        <v>424</v>
      </c>
      <c r="B463" s="3" t="s">
        <v>325</v>
      </c>
      <c r="C463" s="3" t="s">
        <v>83</v>
      </c>
      <c r="D463" s="3" t="s">
        <v>66</v>
      </c>
      <c r="E463" s="3" t="s">
        <v>32</v>
      </c>
      <c r="F463" s="12">
        <v>45657</v>
      </c>
      <c r="G463" s="3">
        <v>2024</v>
      </c>
      <c r="H463" s="3" t="s">
        <v>44</v>
      </c>
      <c r="I463" s="3" t="s">
        <v>53</v>
      </c>
      <c r="J463" s="3">
        <v>2</v>
      </c>
      <c r="K463" s="3">
        <v>7</v>
      </c>
      <c r="L463" s="3">
        <v>9</v>
      </c>
      <c r="M463" s="3">
        <f t="shared" si="76"/>
        <v>1.2857142857142858</v>
      </c>
      <c r="N463" s="3">
        <f t="shared" si="77"/>
        <v>1.2857142857142858</v>
      </c>
      <c r="O463" s="3" t="s">
        <v>35</v>
      </c>
      <c r="P463" s="3" t="s">
        <v>35</v>
      </c>
      <c r="Q463" s="3" t="str">
        <f t="shared" si="73"/>
        <v>424-2024-12-31</v>
      </c>
      <c r="R463" s="3">
        <v>0</v>
      </c>
      <c r="S463" s="3">
        <v>0</v>
      </c>
      <c r="T463" s="3" t="s">
        <v>31</v>
      </c>
      <c r="U463" s="3" t="s">
        <v>37</v>
      </c>
      <c r="V463" s="3" t="s">
        <v>83</v>
      </c>
      <c r="W463" s="3" t="s">
        <v>38</v>
      </c>
      <c r="X463" s="3" t="s">
        <v>39</v>
      </c>
      <c r="Y463" s="3" t="s">
        <v>322</v>
      </c>
      <c r="Z463" s="3" t="s">
        <v>274</v>
      </c>
      <c r="AA463" s="3" t="s">
        <v>275</v>
      </c>
      <c r="AB463" s="3" t="s">
        <v>43</v>
      </c>
      <c r="AC463" s="3" t="s">
        <v>66</v>
      </c>
      <c r="AD463" s="3">
        <v>0</v>
      </c>
    </row>
    <row r="464" spans="1:30" x14ac:dyDescent="0.3">
      <c r="A464" s="3">
        <v>424</v>
      </c>
      <c r="B464" s="3" t="s">
        <v>325</v>
      </c>
      <c r="C464" s="3" t="s">
        <v>83</v>
      </c>
      <c r="D464" s="3" t="s">
        <v>66</v>
      </c>
      <c r="E464" s="3" t="s">
        <v>32</v>
      </c>
      <c r="F464" s="12">
        <v>45657</v>
      </c>
      <c r="G464" s="3">
        <v>2024</v>
      </c>
      <c r="H464" s="3" t="s">
        <v>44</v>
      </c>
      <c r="I464" s="3" t="s">
        <v>53</v>
      </c>
      <c r="J464" s="3"/>
      <c r="K464" s="3">
        <v>7</v>
      </c>
      <c r="L464" s="3">
        <v>9</v>
      </c>
      <c r="M464" s="3">
        <f t="shared" si="76"/>
        <v>1.2857142857142858</v>
      </c>
      <c r="N464" s="3">
        <f t="shared" si="77"/>
        <v>1.2857142857142858</v>
      </c>
      <c r="O464" s="3" t="s">
        <v>35</v>
      </c>
      <c r="P464" s="3" t="s">
        <v>35</v>
      </c>
      <c r="Q464" s="3" t="str">
        <f t="shared" si="73"/>
        <v>424-2024-12-31</v>
      </c>
      <c r="R464" s="3">
        <v>0</v>
      </c>
      <c r="S464" s="3">
        <v>0</v>
      </c>
      <c r="T464" s="3" t="s">
        <v>443</v>
      </c>
      <c r="U464" s="3" t="s">
        <v>37</v>
      </c>
      <c r="V464" s="3" t="s">
        <v>83</v>
      </c>
      <c r="W464" s="3" t="s">
        <v>38</v>
      </c>
      <c r="X464" s="3" t="s">
        <v>39</v>
      </c>
      <c r="Y464" s="3" t="s">
        <v>322</v>
      </c>
      <c r="Z464" s="3" t="s">
        <v>274</v>
      </c>
      <c r="AA464" s="3" t="s">
        <v>275</v>
      </c>
      <c r="AB464" s="3" t="s">
        <v>43</v>
      </c>
      <c r="AC464" s="3" t="s">
        <v>66</v>
      </c>
      <c r="AD464" s="3">
        <v>0</v>
      </c>
    </row>
    <row r="465" spans="1:30" x14ac:dyDescent="0.3">
      <c r="A465" s="3">
        <v>424</v>
      </c>
      <c r="B465" s="3" t="s">
        <v>325</v>
      </c>
      <c r="C465" s="3" t="s">
        <v>83</v>
      </c>
      <c r="D465" s="3" t="s">
        <v>66</v>
      </c>
      <c r="E465" s="3" t="s">
        <v>32</v>
      </c>
      <c r="F465" s="12">
        <v>46022</v>
      </c>
      <c r="G465" s="3">
        <v>2025</v>
      </c>
      <c r="H465" s="3" t="s">
        <v>44</v>
      </c>
      <c r="I465" s="3" t="s">
        <v>465</v>
      </c>
      <c r="J465" s="3">
        <v>2</v>
      </c>
      <c r="K465" s="3">
        <v>9</v>
      </c>
      <c r="L465" s="3">
        <v>11</v>
      </c>
      <c r="M465" s="3">
        <f t="shared" si="76"/>
        <v>1.2222222222222223</v>
      </c>
      <c r="N465" s="3">
        <f t="shared" si="77"/>
        <v>1.2222222222222223</v>
      </c>
      <c r="O465" s="3" t="s">
        <v>35</v>
      </c>
      <c r="P465" s="3" t="s">
        <v>35</v>
      </c>
      <c r="Q465" s="3" t="str">
        <f t="shared" si="73"/>
        <v>424-2025-12-31</v>
      </c>
      <c r="R465" s="3">
        <v>0</v>
      </c>
      <c r="S465" s="3">
        <v>0</v>
      </c>
      <c r="T465" s="3" t="s">
        <v>31</v>
      </c>
      <c r="U465" s="3" t="s">
        <v>37</v>
      </c>
      <c r="V465" s="3" t="s">
        <v>83</v>
      </c>
      <c r="W465" s="3" t="s">
        <v>38</v>
      </c>
      <c r="X465" s="3" t="s">
        <v>39</v>
      </c>
      <c r="Y465" s="3" t="s">
        <v>322</v>
      </c>
      <c r="Z465" s="3" t="s">
        <v>274</v>
      </c>
      <c r="AA465" s="3" t="s">
        <v>275</v>
      </c>
      <c r="AB465" s="3" t="s">
        <v>43</v>
      </c>
      <c r="AC465" s="3" t="s">
        <v>66</v>
      </c>
      <c r="AD465" s="3">
        <v>0</v>
      </c>
    </row>
    <row r="466" spans="1:30" x14ac:dyDescent="0.3">
      <c r="A466" s="3">
        <v>460</v>
      </c>
      <c r="B466" s="3" t="s">
        <v>329</v>
      </c>
      <c r="C466" s="3" t="s">
        <v>130</v>
      </c>
      <c r="D466" s="3" t="s">
        <v>66</v>
      </c>
      <c r="E466" s="3" t="s">
        <v>32</v>
      </c>
      <c r="F466" s="12">
        <v>45291</v>
      </c>
      <c r="G466" s="3">
        <v>2023</v>
      </c>
      <c r="H466" s="3" t="s">
        <v>44</v>
      </c>
      <c r="I466" s="3" t="s">
        <v>49</v>
      </c>
      <c r="J466" s="3">
        <v>2</v>
      </c>
      <c r="K466" s="3"/>
      <c r="L466" s="3">
        <v>94.85</v>
      </c>
      <c r="M466" s="3"/>
      <c r="N466" s="3"/>
      <c r="O466" s="3" t="s">
        <v>284</v>
      </c>
      <c r="P466" s="3" t="s">
        <v>58</v>
      </c>
      <c r="Q466" s="3" t="str">
        <f t="shared" si="73"/>
        <v>460-2023-12-31</v>
      </c>
      <c r="R466" s="3">
        <v>0</v>
      </c>
      <c r="S466" s="3">
        <v>0</v>
      </c>
      <c r="T466" s="3" t="s">
        <v>31</v>
      </c>
      <c r="U466" s="3" t="s">
        <v>37</v>
      </c>
      <c r="V466" s="3" t="s">
        <v>130</v>
      </c>
      <c r="W466" s="3" t="s">
        <v>73</v>
      </c>
      <c r="X466" s="3" t="s">
        <v>218</v>
      </c>
      <c r="Y466" s="3" t="s">
        <v>331</v>
      </c>
      <c r="Z466" s="3" t="s">
        <v>134</v>
      </c>
      <c r="AA466" s="3" t="s">
        <v>135</v>
      </c>
      <c r="AB466" s="3" t="s">
        <v>43</v>
      </c>
      <c r="AC466" s="3" t="s">
        <v>66</v>
      </c>
      <c r="AD466" s="3">
        <v>0</v>
      </c>
    </row>
    <row r="467" spans="1:30" x14ac:dyDescent="0.3">
      <c r="A467" s="3">
        <v>460</v>
      </c>
      <c r="B467" s="3" t="s">
        <v>329</v>
      </c>
      <c r="C467" s="3" t="s">
        <v>130</v>
      </c>
      <c r="D467" s="3" t="s">
        <v>66</v>
      </c>
      <c r="E467" s="3" t="s">
        <v>32</v>
      </c>
      <c r="F467" s="12">
        <v>45291</v>
      </c>
      <c r="G467" s="3">
        <v>2023</v>
      </c>
      <c r="H467" s="3" t="s">
        <v>44</v>
      </c>
      <c r="I467" s="3" t="s">
        <v>49</v>
      </c>
      <c r="J467" s="3"/>
      <c r="K467" s="3"/>
      <c r="L467" s="3">
        <v>94.85</v>
      </c>
      <c r="M467" s="3"/>
      <c r="N467" s="3"/>
      <c r="O467" s="3" t="s">
        <v>284</v>
      </c>
      <c r="P467" s="3" t="s">
        <v>58</v>
      </c>
      <c r="Q467" s="3" t="str">
        <f t="shared" si="73"/>
        <v>460-2023-12-31</v>
      </c>
      <c r="R467" s="3">
        <v>0</v>
      </c>
      <c r="S467" s="3">
        <v>0</v>
      </c>
      <c r="T467" s="3" t="s">
        <v>443</v>
      </c>
      <c r="U467" s="3" t="s">
        <v>37</v>
      </c>
      <c r="V467" s="3" t="s">
        <v>130</v>
      </c>
      <c r="W467" s="3" t="s">
        <v>73</v>
      </c>
      <c r="X467" s="3" t="s">
        <v>218</v>
      </c>
      <c r="Y467" s="3" t="s">
        <v>331</v>
      </c>
      <c r="Z467" s="3" t="s">
        <v>134</v>
      </c>
      <c r="AA467" s="3" t="s">
        <v>135</v>
      </c>
      <c r="AB467" s="3" t="s">
        <v>43</v>
      </c>
      <c r="AC467" s="3" t="s">
        <v>66</v>
      </c>
      <c r="AD467" s="3">
        <v>0</v>
      </c>
    </row>
    <row r="468" spans="1:30" x14ac:dyDescent="0.3">
      <c r="A468" s="3">
        <v>460</v>
      </c>
      <c r="B468" s="3" t="s">
        <v>329</v>
      </c>
      <c r="C468" s="3" t="s">
        <v>130</v>
      </c>
      <c r="D468" s="3" t="s">
        <v>66</v>
      </c>
      <c r="E468" s="3" t="s">
        <v>32</v>
      </c>
      <c r="F468" s="12">
        <v>45657</v>
      </c>
      <c r="G468" s="3">
        <v>2024</v>
      </c>
      <c r="H468" s="3" t="s">
        <v>44</v>
      </c>
      <c r="I468" s="3" t="s">
        <v>53</v>
      </c>
      <c r="J468" s="3">
        <v>2</v>
      </c>
      <c r="K468" s="3">
        <v>80</v>
      </c>
      <c r="L468" s="3">
        <v>91.44</v>
      </c>
      <c r="M468" s="3">
        <v>1.143</v>
      </c>
      <c r="N468" s="3">
        <v>1.143</v>
      </c>
      <c r="O468" s="3" t="s">
        <v>58</v>
      </c>
      <c r="P468" s="3" t="s">
        <v>58</v>
      </c>
      <c r="Q468" s="3" t="str">
        <f t="shared" si="73"/>
        <v>460-2024-12-31</v>
      </c>
      <c r="R468" s="3">
        <v>0</v>
      </c>
      <c r="S468" s="3">
        <v>0</v>
      </c>
      <c r="T468" s="3" t="s">
        <v>31</v>
      </c>
      <c r="U468" s="3" t="s">
        <v>37</v>
      </c>
      <c r="V468" s="3" t="s">
        <v>130</v>
      </c>
      <c r="W468" s="3" t="s">
        <v>73</v>
      </c>
      <c r="X468" s="3" t="s">
        <v>218</v>
      </c>
      <c r="Y468" s="3" t="s">
        <v>331</v>
      </c>
      <c r="Z468" s="3" t="s">
        <v>134</v>
      </c>
      <c r="AA468" s="3" t="s">
        <v>135</v>
      </c>
      <c r="AB468" s="3" t="s">
        <v>43</v>
      </c>
      <c r="AC468" s="3" t="s">
        <v>66</v>
      </c>
      <c r="AD468" s="3">
        <v>0</v>
      </c>
    </row>
    <row r="469" spans="1:30" x14ac:dyDescent="0.3">
      <c r="A469" s="3">
        <v>460</v>
      </c>
      <c r="B469" s="3" t="s">
        <v>329</v>
      </c>
      <c r="C469" s="3" t="s">
        <v>130</v>
      </c>
      <c r="D469" s="3" t="s">
        <v>66</v>
      </c>
      <c r="E469" s="3" t="s">
        <v>32</v>
      </c>
      <c r="F469" s="12">
        <v>45657</v>
      </c>
      <c r="G469" s="3">
        <v>2024</v>
      </c>
      <c r="H469" s="3" t="s">
        <v>44</v>
      </c>
      <c r="I469" s="3" t="s">
        <v>53</v>
      </c>
      <c r="J469" s="3"/>
      <c r="K469" s="3">
        <v>80</v>
      </c>
      <c r="L469" s="3">
        <v>91.44</v>
      </c>
      <c r="M469" s="3">
        <v>1.143</v>
      </c>
      <c r="N469" s="3">
        <v>1.143</v>
      </c>
      <c r="O469" s="3" t="s">
        <v>58</v>
      </c>
      <c r="P469" s="3" t="s">
        <v>58</v>
      </c>
      <c r="Q469" s="3" t="str">
        <f t="shared" si="73"/>
        <v>460-2024-12-31</v>
      </c>
      <c r="R469" s="3">
        <v>0</v>
      </c>
      <c r="S469" s="3">
        <v>1</v>
      </c>
      <c r="T469" s="3" t="s">
        <v>443</v>
      </c>
      <c r="U469" s="3" t="s">
        <v>37</v>
      </c>
      <c r="V469" s="3" t="s">
        <v>130</v>
      </c>
      <c r="W469" s="3" t="s">
        <v>73</v>
      </c>
      <c r="X469" s="3" t="s">
        <v>218</v>
      </c>
      <c r="Y469" s="3" t="s">
        <v>331</v>
      </c>
      <c r="Z469" s="3" t="s">
        <v>134</v>
      </c>
      <c r="AA469" s="3" t="s">
        <v>135</v>
      </c>
      <c r="AB469" s="3" t="s">
        <v>43</v>
      </c>
      <c r="AC469" s="3" t="s">
        <v>66</v>
      </c>
      <c r="AD469" s="3">
        <v>0</v>
      </c>
    </row>
    <row r="470" spans="1:30" x14ac:dyDescent="0.3">
      <c r="A470" s="3">
        <v>460</v>
      </c>
      <c r="B470" s="3" t="s">
        <v>329</v>
      </c>
      <c r="C470" s="3" t="s">
        <v>130</v>
      </c>
      <c r="D470" s="3" t="s">
        <v>66</v>
      </c>
      <c r="E470" s="3" t="s">
        <v>32</v>
      </c>
      <c r="F470" s="12">
        <v>45838</v>
      </c>
      <c r="G470" s="3">
        <v>2025</v>
      </c>
      <c r="H470" s="3" t="s">
        <v>33</v>
      </c>
      <c r="I470" s="3" t="s">
        <v>404</v>
      </c>
      <c r="J470" s="3">
        <v>2</v>
      </c>
      <c r="K470" s="3">
        <v>80</v>
      </c>
      <c r="L470" s="3">
        <v>91.44</v>
      </c>
      <c r="M470" s="3">
        <v>1.143</v>
      </c>
      <c r="N470" s="3">
        <v>1.143</v>
      </c>
      <c r="O470" s="3" t="s">
        <v>58</v>
      </c>
      <c r="P470" s="3" t="s">
        <v>58</v>
      </c>
      <c r="Q470" s="3" t="str">
        <f t="shared" si="73"/>
        <v>460-2025-06-30</v>
      </c>
      <c r="R470" s="3">
        <v>0</v>
      </c>
      <c r="S470" s="3">
        <v>1</v>
      </c>
      <c r="T470" s="3" t="s">
        <v>443</v>
      </c>
      <c r="U470" s="3" t="s">
        <v>37</v>
      </c>
      <c r="V470" s="3" t="s">
        <v>130</v>
      </c>
      <c r="W470" s="3" t="s">
        <v>73</v>
      </c>
      <c r="X470" s="3" t="s">
        <v>218</v>
      </c>
      <c r="Y470" s="3" t="s">
        <v>331</v>
      </c>
      <c r="Z470" s="3" t="s">
        <v>134</v>
      </c>
      <c r="AA470" s="3" t="s">
        <v>135</v>
      </c>
      <c r="AB470" s="3" t="s">
        <v>43</v>
      </c>
      <c r="AC470" s="3" t="s">
        <v>66</v>
      </c>
      <c r="AD470" s="3">
        <v>0</v>
      </c>
    </row>
    <row r="471" spans="1:30" x14ac:dyDescent="0.3">
      <c r="A471" s="3">
        <v>466</v>
      </c>
      <c r="B471" s="3" t="s">
        <v>341</v>
      </c>
      <c r="C471" s="3" t="s">
        <v>30</v>
      </c>
      <c r="D471" s="3" t="s">
        <v>31</v>
      </c>
      <c r="E471" s="3" t="s">
        <v>32</v>
      </c>
      <c r="F471" s="12">
        <v>44926</v>
      </c>
      <c r="G471" s="3">
        <v>2022</v>
      </c>
      <c r="H471" s="3" t="s">
        <v>44</v>
      </c>
      <c r="I471" s="3" t="s">
        <v>45</v>
      </c>
      <c r="J471" s="3">
        <v>2</v>
      </c>
      <c r="K471" s="3">
        <v>25</v>
      </c>
      <c r="L471" s="3">
        <v>43.56</v>
      </c>
      <c r="M471" s="3">
        <v>1.3</v>
      </c>
      <c r="N471" s="3">
        <f>+L471/K471</f>
        <v>1.7424000000000002</v>
      </c>
      <c r="O471" s="3" t="s">
        <v>35</v>
      </c>
      <c r="P471" s="3" t="s">
        <v>245</v>
      </c>
      <c r="Q471" s="3" t="str">
        <f t="shared" si="73"/>
        <v>466-2022-12-31</v>
      </c>
      <c r="R471" s="3">
        <v>1</v>
      </c>
      <c r="S471" s="3">
        <v>1</v>
      </c>
      <c r="T471" s="3" t="s">
        <v>31</v>
      </c>
      <c r="U471" s="3" t="s">
        <v>37</v>
      </c>
      <c r="V471" s="3" t="s">
        <v>342</v>
      </c>
      <c r="W471" s="3" t="s">
        <v>112</v>
      </c>
      <c r="X471" s="3" t="s">
        <v>113</v>
      </c>
      <c r="Y471" s="3" t="s">
        <v>114</v>
      </c>
      <c r="Z471" s="3" t="s">
        <v>41</v>
      </c>
      <c r="AA471" s="3" t="s">
        <v>102</v>
      </c>
      <c r="AB471" s="3" t="s">
        <v>43</v>
      </c>
      <c r="AC471" s="3" t="s">
        <v>66</v>
      </c>
      <c r="AD471" s="3">
        <v>0</v>
      </c>
    </row>
    <row r="472" spans="1:30" x14ac:dyDescent="0.3">
      <c r="A472" s="3">
        <v>466</v>
      </c>
      <c r="B472" s="3" t="s">
        <v>341</v>
      </c>
      <c r="C472" s="3" t="s">
        <v>30</v>
      </c>
      <c r="D472" s="3" t="s">
        <v>31</v>
      </c>
      <c r="E472" s="3" t="s">
        <v>32</v>
      </c>
      <c r="F472" s="12">
        <v>44926</v>
      </c>
      <c r="G472" s="3">
        <v>2022</v>
      </c>
      <c r="H472" s="3" t="s">
        <v>44</v>
      </c>
      <c r="I472" s="3" t="s">
        <v>45</v>
      </c>
      <c r="J472" s="3"/>
      <c r="K472" s="3">
        <v>25</v>
      </c>
      <c r="L472" s="3">
        <v>43.56</v>
      </c>
      <c r="M472" s="3">
        <v>1.3</v>
      </c>
      <c r="N472" s="3">
        <f t="shared" ref="N472:N477" si="78">+L472/K472</f>
        <v>1.7424000000000002</v>
      </c>
      <c r="O472" s="3" t="s">
        <v>35</v>
      </c>
      <c r="P472" s="3" t="s">
        <v>245</v>
      </c>
      <c r="Q472" s="3" t="str">
        <f t="shared" si="73"/>
        <v>466-2022-12-31</v>
      </c>
      <c r="R472" s="3">
        <v>1</v>
      </c>
      <c r="S472" s="3">
        <v>1</v>
      </c>
      <c r="T472" s="3" t="s">
        <v>443</v>
      </c>
      <c r="U472" s="3" t="s">
        <v>37</v>
      </c>
      <c r="V472" s="3" t="s">
        <v>342</v>
      </c>
      <c r="W472" s="3" t="s">
        <v>112</v>
      </c>
      <c r="X472" s="3" t="s">
        <v>113</v>
      </c>
      <c r="Y472" s="3" t="s">
        <v>114</v>
      </c>
      <c r="Z472" s="3" t="s">
        <v>41</v>
      </c>
      <c r="AA472" s="3" t="s">
        <v>102</v>
      </c>
      <c r="AB472" s="3" t="s">
        <v>43</v>
      </c>
      <c r="AC472" s="3" t="s">
        <v>66</v>
      </c>
      <c r="AD472" s="3">
        <v>0</v>
      </c>
    </row>
    <row r="473" spans="1:30" x14ac:dyDescent="0.3">
      <c r="A473" s="3">
        <v>466</v>
      </c>
      <c r="B473" s="3" t="s">
        <v>341</v>
      </c>
      <c r="C473" s="3" t="s">
        <v>30</v>
      </c>
      <c r="D473" s="3" t="s">
        <v>31</v>
      </c>
      <c r="E473" s="3" t="s">
        <v>32</v>
      </c>
      <c r="F473" s="12">
        <v>45291</v>
      </c>
      <c r="G473" s="3">
        <v>2023</v>
      </c>
      <c r="H473" s="3" t="s">
        <v>44</v>
      </c>
      <c r="I473" s="3" t="s">
        <v>49</v>
      </c>
      <c r="J473" s="3">
        <v>2</v>
      </c>
      <c r="K473" s="3">
        <v>42</v>
      </c>
      <c r="L473" s="3">
        <v>53.34</v>
      </c>
      <c r="M473" s="3">
        <v>1.27</v>
      </c>
      <c r="N473" s="3">
        <f t="shared" si="78"/>
        <v>1.27</v>
      </c>
      <c r="O473" s="3" t="s">
        <v>35</v>
      </c>
      <c r="P473" s="3" t="s">
        <v>245</v>
      </c>
      <c r="Q473" s="3" t="str">
        <f t="shared" si="73"/>
        <v>466-2023-12-31</v>
      </c>
      <c r="R473" s="3">
        <v>1</v>
      </c>
      <c r="S473" s="3">
        <v>1</v>
      </c>
      <c r="T473" s="3" t="s">
        <v>31</v>
      </c>
      <c r="U473" s="3" t="s">
        <v>37</v>
      </c>
      <c r="V473" s="3" t="s">
        <v>342</v>
      </c>
      <c r="W473" s="3" t="s">
        <v>112</v>
      </c>
      <c r="X473" s="3" t="s">
        <v>113</v>
      </c>
      <c r="Y473" s="3" t="s">
        <v>114</v>
      </c>
      <c r="Z473" s="3" t="s">
        <v>41</v>
      </c>
      <c r="AA473" s="3" t="s">
        <v>102</v>
      </c>
      <c r="AB473" s="3" t="s">
        <v>43</v>
      </c>
      <c r="AC473" s="3" t="s">
        <v>66</v>
      </c>
      <c r="AD473" s="3">
        <v>0</v>
      </c>
    </row>
    <row r="474" spans="1:30" x14ac:dyDescent="0.3">
      <c r="A474" s="3">
        <v>466</v>
      </c>
      <c r="B474" s="3" t="s">
        <v>341</v>
      </c>
      <c r="C474" s="3" t="s">
        <v>30</v>
      </c>
      <c r="D474" s="3" t="s">
        <v>31</v>
      </c>
      <c r="E474" s="3" t="s">
        <v>32</v>
      </c>
      <c r="F474" s="12">
        <v>45291</v>
      </c>
      <c r="G474" s="3">
        <v>2023</v>
      </c>
      <c r="H474" s="3" t="s">
        <v>44</v>
      </c>
      <c r="I474" s="3" t="s">
        <v>49</v>
      </c>
      <c r="J474" s="3"/>
      <c r="K474" s="3">
        <v>42</v>
      </c>
      <c r="L474" s="3">
        <v>53.34</v>
      </c>
      <c r="M474" s="3">
        <v>1.27</v>
      </c>
      <c r="N474" s="3">
        <f t="shared" si="78"/>
        <v>1.27</v>
      </c>
      <c r="O474" s="3" t="s">
        <v>35</v>
      </c>
      <c r="P474" s="3" t="s">
        <v>245</v>
      </c>
      <c r="Q474" s="3" t="str">
        <f t="shared" si="73"/>
        <v>466-2023-12-31</v>
      </c>
      <c r="R474" s="3">
        <v>1</v>
      </c>
      <c r="S474" s="3">
        <v>1</v>
      </c>
      <c r="T474" s="3" t="s">
        <v>443</v>
      </c>
      <c r="U474" s="3" t="s">
        <v>37</v>
      </c>
      <c r="V474" s="3" t="s">
        <v>342</v>
      </c>
      <c r="W474" s="3" t="s">
        <v>112</v>
      </c>
      <c r="X474" s="3" t="s">
        <v>113</v>
      </c>
      <c r="Y474" s="3" t="s">
        <v>114</v>
      </c>
      <c r="Z474" s="3" t="s">
        <v>41</v>
      </c>
      <c r="AA474" s="3" t="s">
        <v>102</v>
      </c>
      <c r="AB474" s="3" t="s">
        <v>43</v>
      </c>
      <c r="AC474" s="3" t="s">
        <v>66</v>
      </c>
      <c r="AD474" s="3">
        <v>0</v>
      </c>
    </row>
    <row r="475" spans="1:30" x14ac:dyDescent="0.3">
      <c r="A475" s="3">
        <v>466</v>
      </c>
      <c r="B475" s="3" t="s">
        <v>341</v>
      </c>
      <c r="C475" s="3" t="s">
        <v>30</v>
      </c>
      <c r="D475" s="3" t="s">
        <v>31</v>
      </c>
      <c r="E475" s="3" t="s">
        <v>32</v>
      </c>
      <c r="F475" s="12">
        <v>45657</v>
      </c>
      <c r="G475" s="3">
        <v>2024</v>
      </c>
      <c r="H475" s="3" t="s">
        <v>44</v>
      </c>
      <c r="I475" s="3" t="s">
        <v>53</v>
      </c>
      <c r="J475" s="3">
        <v>2</v>
      </c>
      <c r="K475" s="3">
        <v>50</v>
      </c>
      <c r="L475" s="3">
        <v>53.8</v>
      </c>
      <c r="M475" s="3">
        <v>1.0760000000000001</v>
      </c>
      <c r="N475" s="3">
        <f t="shared" si="78"/>
        <v>1.0759999999999998</v>
      </c>
      <c r="O475" s="3" t="s">
        <v>35</v>
      </c>
      <c r="P475" s="3" t="s">
        <v>245</v>
      </c>
      <c r="Q475" s="3" t="str">
        <f t="shared" si="73"/>
        <v>466-2024-12-31</v>
      </c>
      <c r="R475" s="3">
        <v>1</v>
      </c>
      <c r="S475" s="3">
        <v>1</v>
      </c>
      <c r="T475" s="3" t="s">
        <v>31</v>
      </c>
      <c r="U475" s="3" t="s">
        <v>37</v>
      </c>
      <c r="V475" s="3" t="s">
        <v>342</v>
      </c>
      <c r="W475" s="3" t="s">
        <v>112</v>
      </c>
      <c r="X475" s="3" t="s">
        <v>113</v>
      </c>
      <c r="Y475" s="3" t="s">
        <v>114</v>
      </c>
      <c r="Z475" s="3" t="s">
        <v>41</v>
      </c>
      <c r="AA475" s="3" t="s">
        <v>102</v>
      </c>
      <c r="AB475" s="3" t="s">
        <v>43</v>
      </c>
      <c r="AC475" s="3" t="s">
        <v>66</v>
      </c>
      <c r="AD475" s="3">
        <v>0</v>
      </c>
    </row>
    <row r="476" spans="1:30" x14ac:dyDescent="0.3">
      <c r="A476" s="3">
        <v>466</v>
      </c>
      <c r="B476" s="3" t="s">
        <v>341</v>
      </c>
      <c r="C476" s="3" t="s">
        <v>342</v>
      </c>
      <c r="D476" s="3" t="s">
        <v>31</v>
      </c>
      <c r="E476" s="3" t="s">
        <v>32</v>
      </c>
      <c r="F476" s="12">
        <v>45657</v>
      </c>
      <c r="G476" s="3">
        <v>2024</v>
      </c>
      <c r="H476" s="3" t="s">
        <v>44</v>
      </c>
      <c r="I476" s="3" t="s">
        <v>53</v>
      </c>
      <c r="J476" s="3"/>
      <c r="K476" s="3">
        <v>50</v>
      </c>
      <c r="L476" s="3">
        <v>53.8</v>
      </c>
      <c r="M476" s="3">
        <v>1.0760000000000001</v>
      </c>
      <c r="N476" s="3">
        <f t="shared" si="78"/>
        <v>1.0759999999999998</v>
      </c>
      <c r="O476" s="3" t="s">
        <v>35</v>
      </c>
      <c r="P476" s="3" t="s">
        <v>245</v>
      </c>
      <c r="Q476" s="3" t="str">
        <f t="shared" si="73"/>
        <v>466-2024-12-31</v>
      </c>
      <c r="R476" s="3">
        <v>0</v>
      </c>
      <c r="S476" s="3">
        <v>0</v>
      </c>
      <c r="T476" s="3" t="s">
        <v>443</v>
      </c>
      <c r="U476" s="3" t="s">
        <v>37</v>
      </c>
      <c r="V476" s="3" t="s">
        <v>342</v>
      </c>
      <c r="W476" s="3" t="s">
        <v>112</v>
      </c>
      <c r="X476" s="3" t="s">
        <v>113</v>
      </c>
      <c r="Y476" s="3" t="s">
        <v>114</v>
      </c>
      <c r="Z476" s="3" t="s">
        <v>41</v>
      </c>
      <c r="AA476" s="3" t="s">
        <v>102</v>
      </c>
      <c r="AB476" s="3" t="s">
        <v>43</v>
      </c>
      <c r="AC476" s="3" t="s">
        <v>66</v>
      </c>
      <c r="AD476" s="3">
        <v>0</v>
      </c>
    </row>
    <row r="477" spans="1:30" x14ac:dyDescent="0.3">
      <c r="A477" s="3">
        <v>466</v>
      </c>
      <c r="B477" s="3" t="s">
        <v>341</v>
      </c>
      <c r="C477" s="3" t="s">
        <v>30</v>
      </c>
      <c r="D477" s="3" t="s">
        <v>31</v>
      </c>
      <c r="E477" s="3" t="s">
        <v>32</v>
      </c>
      <c r="F477" s="12">
        <v>46022</v>
      </c>
      <c r="G477" s="3">
        <v>2025</v>
      </c>
      <c r="H477" s="3" t="s">
        <v>44</v>
      </c>
      <c r="I477" s="3" t="s">
        <v>465</v>
      </c>
      <c r="J477" s="3">
        <v>2</v>
      </c>
      <c r="K477" s="3">
        <v>55</v>
      </c>
      <c r="L477" s="3">
        <v>58.6</v>
      </c>
      <c r="M477" s="3">
        <f t="shared" ref="M477:M482" si="79">+L477/K477</f>
        <v>1.0654545454545454</v>
      </c>
      <c r="N477" s="3">
        <f t="shared" si="78"/>
        <v>1.0654545454545454</v>
      </c>
      <c r="O477" s="3" t="s">
        <v>35</v>
      </c>
      <c r="P477" s="3" t="s">
        <v>245</v>
      </c>
      <c r="Q477" s="3" t="str">
        <f t="shared" si="73"/>
        <v>466-2025-12-31</v>
      </c>
      <c r="R477" s="3">
        <v>1</v>
      </c>
      <c r="S477" s="3">
        <v>1</v>
      </c>
      <c r="T477" s="3" t="s">
        <v>31</v>
      </c>
      <c r="U477" s="3" t="s">
        <v>37</v>
      </c>
      <c r="V477" s="3" t="s">
        <v>342</v>
      </c>
      <c r="W477" s="3" t="s">
        <v>112</v>
      </c>
      <c r="X477" s="3" t="s">
        <v>113</v>
      </c>
      <c r="Y477" s="3" t="s">
        <v>114</v>
      </c>
      <c r="Z477" s="3" t="s">
        <v>41</v>
      </c>
      <c r="AA477" s="3" t="s">
        <v>102</v>
      </c>
      <c r="AB477" s="3" t="s">
        <v>43</v>
      </c>
      <c r="AC477" s="3" t="s">
        <v>66</v>
      </c>
      <c r="AD477" s="3">
        <v>0</v>
      </c>
    </row>
    <row r="478" spans="1:30" x14ac:dyDescent="0.3">
      <c r="A478" s="3">
        <v>203</v>
      </c>
      <c r="B478" s="3" t="s">
        <v>141</v>
      </c>
      <c r="C478" s="3" t="s">
        <v>142</v>
      </c>
      <c r="D478" s="3" t="s">
        <v>31</v>
      </c>
      <c r="E478" s="3" t="s">
        <v>32</v>
      </c>
      <c r="F478" s="12">
        <v>46022</v>
      </c>
      <c r="G478" s="3">
        <f>YEAR(F478)</f>
        <v>2025</v>
      </c>
      <c r="H478" s="3" t="str">
        <f>PROPER(TEXT(F478,"mmmm"))</f>
        <v>Diciembre</v>
      </c>
      <c r="I478" s="3" t="str">
        <f>IF(H478="Junio",G478&amp;"-1",G478&amp;"-2")</f>
        <v>2025-2</v>
      </c>
      <c r="J478" s="3">
        <v>2</v>
      </c>
      <c r="K478" s="3">
        <f>159353929960/1000000</f>
        <v>159353.92996000001</v>
      </c>
      <c r="L478" s="3">
        <v>165190.90430007299</v>
      </c>
      <c r="M478" s="3">
        <f t="shared" si="79"/>
        <v>1.0366289952280319</v>
      </c>
      <c r="N478" s="3">
        <f t="shared" ref="N478:N479" si="80">+L478/K478</f>
        <v>1.0366289952280319</v>
      </c>
      <c r="O478" s="3" t="s">
        <v>143</v>
      </c>
      <c r="P478" s="3" t="s">
        <v>143</v>
      </c>
      <c r="Q478" s="3" t="str">
        <f t="shared" si="73"/>
        <v>203-2025-12-31</v>
      </c>
      <c r="R478" s="3">
        <v>0</v>
      </c>
      <c r="S478" s="3">
        <v>0</v>
      </c>
      <c r="T478" s="3" t="s">
        <v>31</v>
      </c>
      <c r="U478" s="3" t="s">
        <v>37</v>
      </c>
      <c r="V478" s="3" t="s">
        <v>142</v>
      </c>
      <c r="W478" s="3" t="s">
        <v>145</v>
      </c>
      <c r="X478" s="3" t="s">
        <v>146</v>
      </c>
      <c r="Y478" s="3" t="s">
        <v>147</v>
      </c>
      <c r="Z478" s="3" t="s">
        <v>63</v>
      </c>
      <c r="AA478" s="3" t="s">
        <v>148</v>
      </c>
      <c r="AB478" s="3" t="s">
        <v>78</v>
      </c>
      <c r="AC478" s="3" t="s">
        <v>66</v>
      </c>
      <c r="AD478" s="3">
        <v>0</v>
      </c>
    </row>
    <row r="479" spans="1:30" x14ac:dyDescent="0.3">
      <c r="A479" s="3">
        <v>203</v>
      </c>
      <c r="B479" s="3" t="s">
        <v>141</v>
      </c>
      <c r="C479" s="3" t="s">
        <v>142</v>
      </c>
      <c r="D479" s="3" t="s">
        <v>31</v>
      </c>
      <c r="E479" s="3" t="s">
        <v>32</v>
      </c>
      <c r="F479" s="12">
        <v>46022</v>
      </c>
      <c r="G479" s="3">
        <f>YEAR(F479)</f>
        <v>2025</v>
      </c>
      <c r="H479" s="3" t="str">
        <f>PROPER(TEXT(F479,"mmmm"))</f>
        <v>Diciembre</v>
      </c>
      <c r="I479" s="3" t="str">
        <f>IF(H479="Junio",G479&amp;"-1",G479&amp;"-2")</f>
        <v>2025-2</v>
      </c>
      <c r="J479" s="3"/>
      <c r="K479" s="3">
        <f>309304697290/1000000</f>
        <v>309304.69728999998</v>
      </c>
      <c r="L479" s="3">
        <f>332786049596.973/1000000</f>
        <v>332786.049596973</v>
      </c>
      <c r="M479" s="3">
        <f t="shared" si="79"/>
        <v>1.0759165719522106</v>
      </c>
      <c r="N479" s="3">
        <f t="shared" si="80"/>
        <v>1.0759165719522106</v>
      </c>
      <c r="O479" s="3" t="s">
        <v>143</v>
      </c>
      <c r="P479" s="3" t="s">
        <v>143</v>
      </c>
      <c r="Q479" s="3" t="str">
        <f t="shared" si="73"/>
        <v>203-2025-12-31</v>
      </c>
      <c r="R479" s="3">
        <v>0</v>
      </c>
      <c r="S479" s="3">
        <v>0</v>
      </c>
      <c r="T479" s="3" t="s">
        <v>443</v>
      </c>
      <c r="U479" s="3" t="s">
        <v>37</v>
      </c>
      <c r="V479" s="3" t="s">
        <v>142</v>
      </c>
      <c r="W479" s="3" t="s">
        <v>145</v>
      </c>
      <c r="X479" s="3" t="s">
        <v>146</v>
      </c>
      <c r="Y479" s="3" t="s">
        <v>147</v>
      </c>
      <c r="Z479" s="3" t="s">
        <v>63</v>
      </c>
      <c r="AA479" s="3" t="s">
        <v>148</v>
      </c>
      <c r="AB479" s="3" t="s">
        <v>78</v>
      </c>
      <c r="AC479" s="3" t="s">
        <v>66</v>
      </c>
      <c r="AD479" s="3">
        <v>0</v>
      </c>
    </row>
    <row r="480" spans="1:30" x14ac:dyDescent="0.3">
      <c r="A480" s="3">
        <v>148</v>
      </c>
      <c r="B480" s="3" t="s">
        <v>104</v>
      </c>
      <c r="C480" s="3" t="s">
        <v>105</v>
      </c>
      <c r="D480" s="3" t="s">
        <v>31</v>
      </c>
      <c r="E480" s="3" t="s">
        <v>32</v>
      </c>
      <c r="F480" s="12">
        <v>46022</v>
      </c>
      <c r="G480" s="3">
        <v>2025</v>
      </c>
      <c r="H480" s="3" t="s">
        <v>44</v>
      </c>
      <c r="I480" s="3" t="s">
        <v>465</v>
      </c>
      <c r="J480" s="3">
        <v>2</v>
      </c>
      <c r="K480" s="3">
        <v>5</v>
      </c>
      <c r="L480" s="3">
        <v>6.78</v>
      </c>
      <c r="M480" s="3">
        <f>IF(+L480/K480&gt;1.3,1.3,L480/K480)</f>
        <v>1.3</v>
      </c>
      <c r="N480" s="3">
        <f>+L480/K480</f>
        <v>1.3560000000000001</v>
      </c>
      <c r="O480" s="3" t="s">
        <v>58</v>
      </c>
      <c r="P480" s="3" t="s">
        <v>58</v>
      </c>
      <c r="Q480" s="3" t="str">
        <f t="shared" si="73"/>
        <v>148-2025-12-31</v>
      </c>
      <c r="R480" s="3">
        <v>0</v>
      </c>
      <c r="S480" s="3">
        <v>1</v>
      </c>
      <c r="T480" s="3" t="s">
        <v>443</v>
      </c>
      <c r="U480" s="3" t="s">
        <v>37</v>
      </c>
      <c r="V480" s="3" t="s">
        <v>105</v>
      </c>
      <c r="W480" s="3" t="s">
        <v>73</v>
      </c>
      <c r="X480" s="3" t="s">
        <v>74</v>
      </c>
      <c r="Y480" s="3" t="s">
        <v>585</v>
      </c>
      <c r="Z480" s="3" t="s">
        <v>76</v>
      </c>
      <c r="AA480" s="3" t="s">
        <v>77</v>
      </c>
      <c r="AB480" s="3" t="s">
        <v>43</v>
      </c>
      <c r="AC480" s="3" t="s">
        <v>31</v>
      </c>
      <c r="AD480" s="3">
        <v>0</v>
      </c>
    </row>
    <row r="481" spans="1:30" x14ac:dyDescent="0.3">
      <c r="A481" s="3">
        <v>466</v>
      </c>
      <c r="B481" s="3" t="s">
        <v>341</v>
      </c>
      <c r="C481" s="3" t="s">
        <v>30</v>
      </c>
      <c r="D481" s="3" t="s">
        <v>31</v>
      </c>
      <c r="E481" s="3" t="s">
        <v>32</v>
      </c>
      <c r="F481" s="12">
        <v>46022</v>
      </c>
      <c r="G481" s="3">
        <v>2025</v>
      </c>
      <c r="H481" s="3" t="s">
        <v>44</v>
      </c>
      <c r="I481" s="3" t="s">
        <v>465</v>
      </c>
      <c r="J481" s="3"/>
      <c r="K481" s="3">
        <v>55</v>
      </c>
      <c r="L481" s="3">
        <v>58.6</v>
      </c>
      <c r="M481" s="3">
        <f t="shared" si="79"/>
        <v>1.0654545454545454</v>
      </c>
      <c r="N481" s="3">
        <f>+L481/K481</f>
        <v>1.0654545454545454</v>
      </c>
      <c r="O481" s="3" t="s">
        <v>35</v>
      </c>
      <c r="P481" s="3" t="s">
        <v>245</v>
      </c>
      <c r="Q481" s="3" t="str">
        <f t="shared" si="73"/>
        <v>466-2025-12-31</v>
      </c>
      <c r="R481" s="3">
        <v>1</v>
      </c>
      <c r="S481" s="3">
        <v>1</v>
      </c>
      <c r="T481" s="3" t="s">
        <v>443</v>
      </c>
      <c r="U481" s="3" t="s">
        <v>37</v>
      </c>
      <c r="V481" s="3" t="s">
        <v>342</v>
      </c>
      <c r="W481" s="3" t="s">
        <v>112</v>
      </c>
      <c r="X481" s="3" t="s">
        <v>113</v>
      </c>
      <c r="Y481" s="3" t="s">
        <v>114</v>
      </c>
      <c r="Z481" s="3" t="s">
        <v>41</v>
      </c>
      <c r="AA481" s="3" t="s">
        <v>102</v>
      </c>
      <c r="AB481" s="3" t="s">
        <v>43</v>
      </c>
      <c r="AC481" s="3" t="s">
        <v>66</v>
      </c>
      <c r="AD481" s="3">
        <v>0</v>
      </c>
    </row>
    <row r="482" spans="1:30" x14ac:dyDescent="0.3">
      <c r="A482" s="3">
        <v>109</v>
      </c>
      <c r="B482" s="3" t="s">
        <v>96</v>
      </c>
      <c r="C482" s="3" t="s">
        <v>99</v>
      </c>
      <c r="D482" s="3" t="s">
        <v>66</v>
      </c>
      <c r="E482" s="3" t="s">
        <v>32</v>
      </c>
      <c r="F482" s="12">
        <v>46022</v>
      </c>
      <c r="G482" s="3">
        <v>2024</v>
      </c>
      <c r="H482" s="3" t="s">
        <v>44</v>
      </c>
      <c r="I482" s="3" t="s">
        <v>465</v>
      </c>
      <c r="J482" s="3">
        <v>2</v>
      </c>
      <c r="K482" s="3">
        <v>80</v>
      </c>
      <c r="L482" s="3">
        <v>94</v>
      </c>
      <c r="M482" s="3">
        <f t="shared" si="79"/>
        <v>1.175</v>
      </c>
      <c r="N482" s="3">
        <v>1.0625</v>
      </c>
      <c r="O482" s="3" t="s">
        <v>58</v>
      </c>
      <c r="P482" s="3" t="s">
        <v>58</v>
      </c>
      <c r="Q482" s="3" t="str">
        <f t="shared" si="73"/>
        <v>109-2025-12-31</v>
      </c>
      <c r="R482" s="3">
        <v>0</v>
      </c>
      <c r="S482" s="3">
        <v>0</v>
      </c>
      <c r="T482" s="3" t="s">
        <v>31</v>
      </c>
      <c r="U482" s="3" t="s">
        <v>37</v>
      </c>
      <c r="V482" s="3" t="s">
        <v>99</v>
      </c>
      <c r="W482" s="3" t="s">
        <v>60</v>
      </c>
      <c r="X482" s="3" t="s">
        <v>100</v>
      </c>
      <c r="Y482" s="3" t="s">
        <v>584</v>
      </c>
      <c r="Z482" s="3" t="s">
        <v>101</v>
      </c>
      <c r="AA482" s="3" t="s">
        <v>102</v>
      </c>
      <c r="AB482" s="3" t="s">
        <v>65</v>
      </c>
      <c r="AC482" s="3" t="s">
        <v>66</v>
      </c>
      <c r="AD482" s="3">
        <v>0</v>
      </c>
    </row>
    <row r="483" spans="1:30" x14ac:dyDescent="0.3">
      <c r="A483" s="3">
        <v>386.1</v>
      </c>
      <c r="B483" s="3" t="s">
        <v>377</v>
      </c>
      <c r="C483" s="3" t="s">
        <v>310</v>
      </c>
      <c r="D483" s="3" t="s">
        <v>31</v>
      </c>
      <c r="E483" s="3" t="s">
        <v>32</v>
      </c>
      <c r="F483" s="12">
        <v>46022</v>
      </c>
      <c r="G483" s="3">
        <v>2025</v>
      </c>
      <c r="H483" s="3" t="s">
        <v>44</v>
      </c>
      <c r="I483" s="3" t="s">
        <v>465</v>
      </c>
      <c r="J483" s="3"/>
      <c r="K483" s="3">
        <f>4042632396/1000000</f>
        <v>4042.632396</v>
      </c>
      <c r="L483" s="3">
        <f>4700694763/1000000</f>
        <v>4700.6947630000004</v>
      </c>
      <c r="M483" s="3">
        <f>IF(+L483/K483&gt;1.3,1.3,L483/K483)</f>
        <v>1.1627806593671794</v>
      </c>
      <c r="N483" s="3">
        <f>+L483/K483</f>
        <v>1.1627806593671794</v>
      </c>
      <c r="O483" s="3" t="s">
        <v>143</v>
      </c>
      <c r="P483" s="3" t="s">
        <v>143</v>
      </c>
      <c r="Q483" s="3" t="str">
        <f t="shared" si="73"/>
        <v>386,1-2025-12-31</v>
      </c>
      <c r="R483" s="3">
        <v>0</v>
      </c>
      <c r="S483" s="3">
        <v>0</v>
      </c>
      <c r="T483" s="3" t="s">
        <v>443</v>
      </c>
      <c r="U483" s="3" t="s">
        <v>37</v>
      </c>
      <c r="V483" s="3" t="s">
        <v>310</v>
      </c>
      <c r="W483" s="3" t="s">
        <v>312</v>
      </c>
      <c r="X483" s="3" t="s">
        <v>313</v>
      </c>
      <c r="Y483" s="3" t="s">
        <v>314</v>
      </c>
      <c r="Z483" s="3"/>
      <c r="AA483" s="3"/>
      <c r="AB483" s="3" t="s">
        <v>78</v>
      </c>
      <c r="AC483" s="3" t="s">
        <v>66</v>
      </c>
      <c r="AD483" s="3">
        <v>0</v>
      </c>
    </row>
    <row r="484" spans="1:30" x14ac:dyDescent="0.3">
      <c r="A484" s="3">
        <v>385</v>
      </c>
      <c r="B484" s="3" t="s">
        <v>309</v>
      </c>
      <c r="C484" s="3" t="s">
        <v>310</v>
      </c>
      <c r="D484" s="3" t="s">
        <v>31</v>
      </c>
      <c r="E484" s="3" t="s">
        <v>32</v>
      </c>
      <c r="F484" s="12">
        <v>46022</v>
      </c>
      <c r="G484" s="3">
        <v>2025</v>
      </c>
      <c r="H484" s="3" t="s">
        <v>44</v>
      </c>
      <c r="I484" s="3" t="s">
        <v>465</v>
      </c>
      <c r="J484" s="3"/>
      <c r="K484" s="3">
        <f>17058242411/1000000</f>
        <v>17058.242410999999</v>
      </c>
      <c r="L484" s="3">
        <f>18570267021/1000000</f>
        <v>18570.267021</v>
      </c>
      <c r="M484" s="3">
        <f>L484/K484</f>
        <v>1.0886389449492739</v>
      </c>
      <c r="N484" s="3">
        <f>L484/K484</f>
        <v>1.0886389449492739</v>
      </c>
      <c r="O484" s="3" t="s">
        <v>143</v>
      </c>
      <c r="P484" s="3" t="s">
        <v>143</v>
      </c>
      <c r="Q484" s="3" t="str">
        <f t="shared" si="73"/>
        <v>385-2025-12-31</v>
      </c>
      <c r="R484" s="3">
        <v>0</v>
      </c>
      <c r="S484" s="3">
        <v>0</v>
      </c>
      <c r="T484" s="3" t="s">
        <v>443</v>
      </c>
      <c r="U484" s="3" t="s">
        <v>37</v>
      </c>
      <c r="V484" s="3" t="s">
        <v>310</v>
      </c>
      <c r="W484" s="3" t="s">
        <v>312</v>
      </c>
      <c r="X484" s="3" t="s">
        <v>313</v>
      </c>
      <c r="Y484" s="3" t="s">
        <v>314</v>
      </c>
      <c r="Z484" s="3"/>
      <c r="AA484" s="3"/>
      <c r="AB484" s="3" t="s">
        <v>43</v>
      </c>
      <c r="AC484" s="3" t="s">
        <v>66</v>
      </c>
      <c r="AD484" s="3">
        <v>0</v>
      </c>
    </row>
    <row r="485" spans="1:30" x14ac:dyDescent="0.3">
      <c r="A485" s="3">
        <v>423</v>
      </c>
      <c r="B485" s="3" t="s">
        <v>320</v>
      </c>
      <c r="C485" s="3" t="s">
        <v>83</v>
      </c>
      <c r="D485" s="3" t="s">
        <v>66</v>
      </c>
      <c r="E485" s="3" t="s">
        <v>32</v>
      </c>
      <c r="F485" s="12">
        <v>46022</v>
      </c>
      <c r="G485" s="3">
        <v>2025</v>
      </c>
      <c r="H485" s="3" t="s">
        <v>44</v>
      </c>
      <c r="I485" s="3" t="s">
        <v>465</v>
      </c>
      <c r="J485" s="3"/>
      <c r="K485" s="3">
        <v>12</v>
      </c>
      <c r="L485" s="3">
        <v>15.1</v>
      </c>
      <c r="M485" s="3">
        <f>+L485/K485</f>
        <v>1.2583333333333333</v>
      </c>
      <c r="N485" s="3">
        <f>+L485/K485</f>
        <v>1.2583333333333333</v>
      </c>
      <c r="O485" s="3" t="s">
        <v>245</v>
      </c>
      <c r="P485" s="3" t="s">
        <v>245</v>
      </c>
      <c r="Q485" s="3" t="str">
        <f t="shared" si="73"/>
        <v>423-2025-12-31</v>
      </c>
      <c r="R485" s="3">
        <v>1</v>
      </c>
      <c r="S485" s="3">
        <v>1</v>
      </c>
      <c r="T485" s="3" t="s">
        <v>443</v>
      </c>
      <c r="U485" s="3" t="s">
        <v>37</v>
      </c>
      <c r="V485" s="3" t="s">
        <v>83</v>
      </c>
      <c r="W485" s="3" t="s">
        <v>38</v>
      </c>
      <c r="X485" s="3" t="s">
        <v>39</v>
      </c>
      <c r="Y485" s="3" t="s">
        <v>322</v>
      </c>
      <c r="Z485" s="3" t="s">
        <v>274</v>
      </c>
      <c r="AA485" s="3" t="s">
        <v>275</v>
      </c>
      <c r="AB485" s="3" t="s">
        <v>43</v>
      </c>
      <c r="AC485" s="3" t="s">
        <v>66</v>
      </c>
      <c r="AD485" s="3">
        <v>0</v>
      </c>
    </row>
    <row r="486" spans="1:30" x14ac:dyDescent="0.3">
      <c r="A486" s="3">
        <v>424</v>
      </c>
      <c r="B486" s="3" t="s">
        <v>325</v>
      </c>
      <c r="C486" s="3" t="s">
        <v>83</v>
      </c>
      <c r="D486" s="3" t="s">
        <v>66</v>
      </c>
      <c r="E486" s="3" t="s">
        <v>32</v>
      </c>
      <c r="F486" s="12">
        <v>46022</v>
      </c>
      <c r="G486" s="3">
        <v>2025</v>
      </c>
      <c r="H486" s="3" t="s">
        <v>44</v>
      </c>
      <c r="I486" s="3" t="s">
        <v>465</v>
      </c>
      <c r="J486" s="3"/>
      <c r="K486" s="3">
        <v>9</v>
      </c>
      <c r="L486" s="3">
        <v>11</v>
      </c>
      <c r="M486" s="3">
        <f>+L486/K486</f>
        <v>1.2222222222222223</v>
      </c>
      <c r="N486" s="3">
        <f>+L486/K486</f>
        <v>1.2222222222222223</v>
      </c>
      <c r="O486" s="3" t="s">
        <v>35</v>
      </c>
      <c r="P486" s="3" t="s">
        <v>35</v>
      </c>
      <c r="Q486" s="3" t="str">
        <f t="shared" si="73"/>
        <v>424-2025-12-31</v>
      </c>
      <c r="R486" s="3">
        <v>0</v>
      </c>
      <c r="S486" s="3">
        <v>0</v>
      </c>
      <c r="T486" s="3" t="s">
        <v>443</v>
      </c>
      <c r="U486" s="3" t="s">
        <v>37</v>
      </c>
      <c r="V486" s="3" t="s">
        <v>83</v>
      </c>
      <c r="W486" s="3" t="s">
        <v>38</v>
      </c>
      <c r="X486" s="3" t="s">
        <v>39</v>
      </c>
      <c r="Y486" s="3" t="s">
        <v>322</v>
      </c>
      <c r="Z486" s="3" t="s">
        <v>274</v>
      </c>
      <c r="AA486" s="3" t="s">
        <v>275</v>
      </c>
      <c r="AB486" s="3" t="s">
        <v>43</v>
      </c>
      <c r="AC486" s="3" t="s">
        <v>66</v>
      </c>
      <c r="AD486" s="3">
        <v>0</v>
      </c>
    </row>
    <row r="487" spans="1:30" x14ac:dyDescent="0.3">
      <c r="A487" s="3">
        <v>377</v>
      </c>
      <c r="B487" s="3" t="s">
        <v>296</v>
      </c>
      <c r="C487" s="3" t="s">
        <v>142</v>
      </c>
      <c r="D487" s="3" t="s">
        <v>31</v>
      </c>
      <c r="E487" s="3" t="s">
        <v>32</v>
      </c>
      <c r="F487" s="12">
        <v>46022</v>
      </c>
      <c r="G487" s="3">
        <v>2025</v>
      </c>
      <c r="H487" s="3" t="s">
        <v>44</v>
      </c>
      <c r="I487" s="3" t="s">
        <v>465</v>
      </c>
      <c r="J487" s="3"/>
      <c r="K487" s="3"/>
      <c r="L487" s="3">
        <v>10285.243493</v>
      </c>
      <c r="M487" s="3"/>
      <c r="N487" s="3"/>
      <c r="O487" s="3" t="s">
        <v>143</v>
      </c>
      <c r="P487" s="3" t="s">
        <v>143</v>
      </c>
      <c r="Q487" s="3" t="str">
        <f t="shared" si="73"/>
        <v>377-2025-12-31</v>
      </c>
      <c r="R487" s="3">
        <v>0</v>
      </c>
      <c r="S487" s="3">
        <v>0</v>
      </c>
      <c r="T487" s="3" t="s">
        <v>443</v>
      </c>
      <c r="U487" s="3" t="s">
        <v>37</v>
      </c>
      <c r="V487" s="3" t="s">
        <v>142</v>
      </c>
      <c r="W487" s="3" t="s">
        <v>145</v>
      </c>
      <c r="X487" s="3" t="s">
        <v>146</v>
      </c>
      <c r="Y487" s="3" t="s">
        <v>147</v>
      </c>
      <c r="Z487" s="3" t="s">
        <v>63</v>
      </c>
      <c r="AA487" s="3" t="s">
        <v>148</v>
      </c>
      <c r="AB487" s="3" t="s">
        <v>78</v>
      </c>
      <c r="AC487" s="3" t="s">
        <v>66</v>
      </c>
      <c r="AD487" s="3">
        <v>0</v>
      </c>
    </row>
    <row r="488" spans="1:30" x14ac:dyDescent="0.3">
      <c r="A488" s="3">
        <v>367</v>
      </c>
      <c r="B488" s="3" t="s">
        <v>481</v>
      </c>
      <c r="C488" s="3" t="s">
        <v>267</v>
      </c>
      <c r="D488" s="3" t="s">
        <v>66</v>
      </c>
      <c r="E488" s="3" t="s">
        <v>32</v>
      </c>
      <c r="F488" s="12">
        <v>46022</v>
      </c>
      <c r="G488" s="3">
        <v>2025</v>
      </c>
      <c r="H488" s="3" t="s">
        <v>44</v>
      </c>
      <c r="I488" s="3" t="s">
        <v>465</v>
      </c>
      <c r="J488" s="3"/>
      <c r="K488" s="3">
        <v>5</v>
      </c>
      <c r="L488" s="3">
        <v>3.82</v>
      </c>
      <c r="M488" s="3">
        <f>+L488/K488</f>
        <v>0.76400000000000001</v>
      </c>
      <c r="N488" s="3">
        <f>+L488/K488</f>
        <v>0.76400000000000001</v>
      </c>
      <c r="O488" s="3" t="s">
        <v>58</v>
      </c>
      <c r="P488" s="3" t="s">
        <v>58</v>
      </c>
      <c r="Q488" s="3" t="str">
        <f t="shared" si="73"/>
        <v>367-2025-12-31</v>
      </c>
      <c r="R488" s="3">
        <v>1</v>
      </c>
      <c r="S488" s="3">
        <v>2</v>
      </c>
      <c r="T488" s="3" t="s">
        <v>443</v>
      </c>
      <c r="U488" s="3" t="s">
        <v>37</v>
      </c>
      <c r="V488" s="3" t="s">
        <v>267</v>
      </c>
      <c r="W488" s="3" t="s">
        <v>145</v>
      </c>
      <c r="X488" s="3" t="s">
        <v>179</v>
      </c>
      <c r="Y488" s="3" t="s">
        <v>281</v>
      </c>
      <c r="Z488" s="3" t="s">
        <v>41</v>
      </c>
      <c r="AA488" s="3" t="s">
        <v>42</v>
      </c>
      <c r="AB488" s="3" t="s">
        <v>43</v>
      </c>
      <c r="AC488" s="3" t="s">
        <v>66</v>
      </c>
      <c r="AD488" s="3">
        <v>0</v>
      </c>
    </row>
    <row r="489" spans="1:30" x14ac:dyDescent="0.3">
      <c r="A489" s="3">
        <v>244</v>
      </c>
      <c r="B489" s="3" t="s">
        <v>182</v>
      </c>
      <c r="C489" s="3" t="s">
        <v>177</v>
      </c>
      <c r="D489" s="3" t="s">
        <v>66</v>
      </c>
      <c r="E489" s="3" t="s">
        <v>171</v>
      </c>
      <c r="F489" s="12">
        <v>46022</v>
      </c>
      <c r="G489" s="3">
        <v>2025</v>
      </c>
      <c r="H489" s="3" t="s">
        <v>44</v>
      </c>
      <c r="I489" s="3" t="s">
        <v>465</v>
      </c>
      <c r="J489" s="3"/>
      <c r="K489" s="3">
        <v>25</v>
      </c>
      <c r="L489" s="3">
        <v>13</v>
      </c>
      <c r="M489" s="3">
        <f>IF(K489/L489&gt;1.3,1.3,K489/L489)</f>
        <v>1.3</v>
      </c>
      <c r="N489" s="3">
        <f>+K489/L489</f>
        <v>1.9230769230769231</v>
      </c>
      <c r="O489" s="3" t="s">
        <v>35</v>
      </c>
      <c r="P489" s="3" t="s">
        <v>35</v>
      </c>
      <c r="Q489" s="3" t="str">
        <f t="shared" si="73"/>
        <v>244-2025-12-31</v>
      </c>
      <c r="R489" s="3">
        <v>0</v>
      </c>
      <c r="S489" s="3">
        <v>0</v>
      </c>
      <c r="T489" s="3" t="s">
        <v>443</v>
      </c>
      <c r="U489" s="3" t="s">
        <v>37</v>
      </c>
      <c r="V489" s="3" t="s">
        <v>177</v>
      </c>
      <c r="W489" s="3" t="s">
        <v>145</v>
      </c>
      <c r="X489" s="3" t="s">
        <v>179</v>
      </c>
      <c r="Y489" s="3" t="s">
        <v>180</v>
      </c>
      <c r="Z489" s="3" t="s">
        <v>63</v>
      </c>
      <c r="AA489" s="3" t="s">
        <v>64</v>
      </c>
      <c r="AB489" s="3" t="s">
        <v>43</v>
      </c>
      <c r="AC489" s="3" t="s">
        <v>66</v>
      </c>
      <c r="AD489" s="3">
        <v>0</v>
      </c>
    </row>
    <row r="490" spans="1:30" x14ac:dyDescent="0.3">
      <c r="A490" s="3">
        <v>334</v>
      </c>
      <c r="B490" s="3" t="s">
        <v>248</v>
      </c>
      <c r="C490" s="3" t="s">
        <v>130</v>
      </c>
      <c r="D490" s="3" t="s">
        <v>66</v>
      </c>
      <c r="E490" s="3" t="s">
        <v>32</v>
      </c>
      <c r="F490" s="12">
        <v>46022</v>
      </c>
      <c r="G490" s="3">
        <v>2025</v>
      </c>
      <c r="H490" s="3" t="s">
        <v>44</v>
      </c>
      <c r="I490" s="3" t="s">
        <v>465</v>
      </c>
      <c r="J490" s="3"/>
      <c r="K490" s="3">
        <v>89</v>
      </c>
      <c r="L490" s="3">
        <v>89</v>
      </c>
      <c r="M490" s="3">
        <v>1</v>
      </c>
      <c r="N490" s="3">
        <v>1</v>
      </c>
      <c r="O490" s="3" t="s">
        <v>35</v>
      </c>
      <c r="P490" s="3" t="s">
        <v>245</v>
      </c>
      <c r="Q490" s="3" t="str">
        <f t="shared" si="73"/>
        <v>334-2025-12-31</v>
      </c>
      <c r="R490" s="3">
        <v>0</v>
      </c>
      <c r="S490" s="3">
        <v>1</v>
      </c>
      <c r="T490" s="3" t="s">
        <v>443</v>
      </c>
      <c r="U490" s="3" t="s">
        <v>37</v>
      </c>
      <c r="V490" s="3" t="s">
        <v>130</v>
      </c>
      <c r="W490" s="3" t="s">
        <v>60</v>
      </c>
      <c r="X490" s="3" t="s">
        <v>100</v>
      </c>
      <c r="Y490" s="3" t="s">
        <v>586</v>
      </c>
      <c r="Z490" s="3" t="s">
        <v>134</v>
      </c>
      <c r="AA490" s="3" t="s">
        <v>250</v>
      </c>
      <c r="AB490" s="3" t="s">
        <v>43</v>
      </c>
      <c r="AC490" s="3" t="s">
        <v>66</v>
      </c>
      <c r="AD490" s="3">
        <v>0</v>
      </c>
    </row>
    <row r="491" spans="1:30" x14ac:dyDescent="0.3">
      <c r="A491" s="3">
        <v>77</v>
      </c>
      <c r="B491" s="3" t="s">
        <v>55</v>
      </c>
      <c r="C491" s="3" t="s">
        <v>56</v>
      </c>
      <c r="D491" s="3" t="s">
        <v>57</v>
      </c>
      <c r="E491" s="3" t="s">
        <v>32</v>
      </c>
      <c r="F491" s="12">
        <v>46022</v>
      </c>
      <c r="G491" s="3">
        <v>2025</v>
      </c>
      <c r="H491" s="3" t="s">
        <v>44</v>
      </c>
      <c r="I491" s="3" t="s">
        <v>465</v>
      </c>
      <c r="J491" s="3"/>
      <c r="K491" s="3">
        <v>97</v>
      </c>
      <c r="L491" s="3">
        <v>95.74545454545455</v>
      </c>
      <c r="M491" s="3">
        <f>+L491/K491</f>
        <v>0.98706654170571706</v>
      </c>
      <c r="N491" s="3">
        <f>+L491/K491</f>
        <v>0.98706654170571706</v>
      </c>
      <c r="O491" s="3" t="s">
        <v>58</v>
      </c>
      <c r="P491" s="3" t="s">
        <v>58</v>
      </c>
      <c r="Q491" s="3" t="str">
        <f t="shared" si="73"/>
        <v>77-2025-12-31</v>
      </c>
      <c r="R491" s="3">
        <v>0</v>
      </c>
      <c r="S491" s="3">
        <v>1</v>
      </c>
      <c r="T491" s="3" t="s">
        <v>443</v>
      </c>
      <c r="U491" s="3" t="s">
        <v>37</v>
      </c>
      <c r="V491" s="3" t="s">
        <v>56</v>
      </c>
      <c r="W491" s="3" t="s">
        <v>60</v>
      </c>
      <c r="X491" s="3" t="s">
        <v>61</v>
      </c>
      <c r="Y491" s="3" t="s">
        <v>62</v>
      </c>
      <c r="Z491" s="3" t="s">
        <v>63</v>
      </c>
      <c r="AA491" s="3" t="s">
        <v>64</v>
      </c>
      <c r="AB491" s="3" t="s">
        <v>65</v>
      </c>
      <c r="AC491" s="3" t="s">
        <v>66</v>
      </c>
      <c r="AD491" s="3">
        <v>0</v>
      </c>
    </row>
    <row r="492" spans="1:30" x14ac:dyDescent="0.3">
      <c r="A492" s="3">
        <v>96</v>
      </c>
      <c r="B492" s="3" t="s">
        <v>70</v>
      </c>
      <c r="C492" s="3" t="s">
        <v>71</v>
      </c>
      <c r="D492" s="3" t="s">
        <v>66</v>
      </c>
      <c r="E492" s="3" t="s">
        <v>32</v>
      </c>
      <c r="F492" s="12">
        <v>46022</v>
      </c>
      <c r="G492" s="3">
        <v>2025</v>
      </c>
      <c r="H492" s="3" t="s">
        <v>44</v>
      </c>
      <c r="I492" s="3" t="s">
        <v>465</v>
      </c>
      <c r="J492" s="3">
        <v>2</v>
      </c>
      <c r="K492" s="3">
        <v>739</v>
      </c>
      <c r="L492" s="3">
        <v>373</v>
      </c>
      <c r="M492" s="3">
        <f>+L492/K492</f>
        <v>0.50473612990527739</v>
      </c>
      <c r="N492" s="3">
        <f>+L492/K492</f>
        <v>0.50473612990527739</v>
      </c>
      <c r="O492" s="3" t="s">
        <v>35</v>
      </c>
      <c r="P492" s="3" t="s">
        <v>35</v>
      </c>
      <c r="Q492" s="3" t="str">
        <f t="shared" si="73"/>
        <v>96-2025-12-31</v>
      </c>
      <c r="R492" s="3">
        <v>0</v>
      </c>
      <c r="S492" s="3">
        <v>0</v>
      </c>
      <c r="T492" s="3" t="s">
        <v>31</v>
      </c>
      <c r="U492" s="3" t="s">
        <v>37</v>
      </c>
      <c r="V492" s="3" t="s">
        <v>71</v>
      </c>
      <c r="W492" s="3" t="s">
        <v>73</v>
      </c>
      <c r="X492" s="3" t="s">
        <v>74</v>
      </c>
      <c r="Y492" s="3" t="s">
        <v>585</v>
      </c>
      <c r="Z492" s="3" t="s">
        <v>76</v>
      </c>
      <c r="AA492" s="3" t="s">
        <v>77</v>
      </c>
      <c r="AB492" s="3" t="s">
        <v>78</v>
      </c>
      <c r="AC492" s="3" t="s">
        <v>66</v>
      </c>
      <c r="AD492" s="3">
        <v>0</v>
      </c>
    </row>
    <row r="493" spans="1:30" x14ac:dyDescent="0.3">
      <c r="A493" s="3">
        <v>96</v>
      </c>
      <c r="B493" s="3" t="s">
        <v>70</v>
      </c>
      <c r="C493" s="3" t="s">
        <v>71</v>
      </c>
      <c r="D493" s="3" t="s">
        <v>66</v>
      </c>
      <c r="E493" s="3" t="s">
        <v>32</v>
      </c>
      <c r="F493" s="12">
        <v>46022</v>
      </c>
      <c r="G493" s="3">
        <v>2025</v>
      </c>
      <c r="H493" s="3" t="s">
        <v>44</v>
      </c>
      <c r="I493" s="3" t="s">
        <v>465</v>
      </c>
      <c r="J493" s="3"/>
      <c r="K493" s="3">
        <v>739</v>
      </c>
      <c r="L493" s="3">
        <v>373</v>
      </c>
      <c r="M493" s="3">
        <f>+L493/K493</f>
        <v>0.50473612990527739</v>
      </c>
      <c r="N493" s="3">
        <f>+L493/K493</f>
        <v>0.50473612990527739</v>
      </c>
      <c r="O493" s="3" t="s">
        <v>35</v>
      </c>
      <c r="P493" s="3" t="s">
        <v>35</v>
      </c>
      <c r="Q493" s="3" t="str">
        <f t="shared" si="73"/>
        <v>96-2025-12-31</v>
      </c>
      <c r="R493" s="3">
        <v>0</v>
      </c>
      <c r="S493" s="3">
        <v>0</v>
      </c>
      <c r="T493" s="3" t="s">
        <v>443</v>
      </c>
      <c r="U493" s="3" t="s">
        <v>37</v>
      </c>
      <c r="V493" s="3" t="s">
        <v>71</v>
      </c>
      <c r="W493" s="3" t="s">
        <v>73</v>
      </c>
      <c r="X493" s="3" t="s">
        <v>74</v>
      </c>
      <c r="Y493" s="3" t="s">
        <v>585</v>
      </c>
      <c r="Z493" s="3" t="s">
        <v>76</v>
      </c>
      <c r="AA493" s="3" t="s">
        <v>77</v>
      </c>
      <c r="AB493" s="3" t="s">
        <v>78</v>
      </c>
      <c r="AC493" s="3" t="s">
        <v>66</v>
      </c>
      <c r="AD493" s="3">
        <v>0</v>
      </c>
    </row>
    <row r="494" spans="1:30" x14ac:dyDescent="0.3">
      <c r="A494" s="3">
        <v>193</v>
      </c>
      <c r="B494" s="13" t="s">
        <v>478</v>
      </c>
      <c r="C494" s="3" t="s">
        <v>30</v>
      </c>
      <c r="D494" s="3" t="s">
        <v>31</v>
      </c>
      <c r="E494" s="3" t="s">
        <v>32</v>
      </c>
      <c r="F494" s="12">
        <v>46022</v>
      </c>
      <c r="G494" s="3">
        <v>2025</v>
      </c>
      <c r="H494" s="3" t="s">
        <v>44</v>
      </c>
      <c r="I494" s="3" t="s">
        <v>465</v>
      </c>
      <c r="J494" s="3"/>
      <c r="K494" s="3">
        <v>94</v>
      </c>
      <c r="L494" s="3">
        <v>95</v>
      </c>
      <c r="M494" s="3">
        <f>+L494/K494</f>
        <v>1.0106382978723405</v>
      </c>
      <c r="N494" s="3">
        <f>+L494/K494</f>
        <v>1.0106382978723405</v>
      </c>
      <c r="O494" s="3" t="s">
        <v>58</v>
      </c>
      <c r="P494" s="3" t="s">
        <v>58</v>
      </c>
      <c r="Q494" s="3" t="str">
        <f t="shared" si="73"/>
        <v>193-2025-12-31</v>
      </c>
      <c r="R494" s="3">
        <v>1</v>
      </c>
      <c r="S494" s="3">
        <v>1</v>
      </c>
      <c r="T494" s="3" t="s">
        <v>443</v>
      </c>
      <c r="U494" s="3" t="s">
        <v>37</v>
      </c>
      <c r="V494" s="3" t="s">
        <v>30</v>
      </c>
      <c r="W494" s="3" t="s">
        <v>112</v>
      </c>
      <c r="X494" s="3" t="s">
        <v>113</v>
      </c>
      <c r="Y494" s="3" t="s">
        <v>114</v>
      </c>
      <c r="Z494" s="3" t="s">
        <v>63</v>
      </c>
      <c r="AA494" s="3" t="s">
        <v>115</v>
      </c>
      <c r="AB494" s="3" t="s">
        <v>65</v>
      </c>
      <c r="AC494" s="3" t="s">
        <v>31</v>
      </c>
      <c r="AD494" s="3">
        <v>0</v>
      </c>
    </row>
    <row r="495" spans="1:30" x14ac:dyDescent="0.3">
      <c r="A495" s="3">
        <v>194</v>
      </c>
      <c r="B495" s="3" t="s">
        <v>121</v>
      </c>
      <c r="C495" s="3" t="s">
        <v>30</v>
      </c>
      <c r="D495" s="3" t="s">
        <v>31</v>
      </c>
      <c r="E495" s="3" t="s">
        <v>32</v>
      </c>
      <c r="F495" s="12">
        <v>46022</v>
      </c>
      <c r="G495" s="3">
        <v>2025</v>
      </c>
      <c r="H495" s="3" t="s">
        <v>44</v>
      </c>
      <c r="I495" s="3" t="s">
        <v>465</v>
      </c>
      <c r="J495" s="3"/>
      <c r="K495" s="3">
        <v>85</v>
      </c>
      <c r="L495" s="3">
        <v>89.9</v>
      </c>
      <c r="M495" s="3">
        <f t="shared" ref="M495" si="81">+L495/K495</f>
        <v>1.0576470588235294</v>
      </c>
      <c r="N495" s="3">
        <f t="shared" ref="N495" si="82">+L495/K495</f>
        <v>1.0576470588235294</v>
      </c>
      <c r="O495" s="3" t="s">
        <v>58</v>
      </c>
      <c r="P495" s="3" t="s">
        <v>58</v>
      </c>
      <c r="Q495" s="3" t="str">
        <f t="shared" si="73"/>
        <v>194-2025-12-31</v>
      </c>
      <c r="R495" s="3">
        <v>0</v>
      </c>
      <c r="S495" s="3">
        <v>0</v>
      </c>
      <c r="T495" s="3" t="s">
        <v>443</v>
      </c>
      <c r="U495" s="3" t="s">
        <v>37</v>
      </c>
      <c r="V495" s="3" t="s">
        <v>30</v>
      </c>
      <c r="W495" s="3" t="s">
        <v>112</v>
      </c>
      <c r="X495" s="3" t="s">
        <v>113</v>
      </c>
      <c r="Y495" s="3" t="s">
        <v>123</v>
      </c>
      <c r="Z495" s="3" t="s">
        <v>41</v>
      </c>
      <c r="AA495" s="3" t="s">
        <v>124</v>
      </c>
      <c r="AB495" s="3" t="s">
        <v>43</v>
      </c>
      <c r="AC495" s="3" t="s">
        <v>66</v>
      </c>
      <c r="AD495" s="3">
        <v>0</v>
      </c>
    </row>
    <row r="496" spans="1:30" x14ac:dyDescent="0.3">
      <c r="A496" s="3">
        <v>200</v>
      </c>
      <c r="B496" s="3" t="s">
        <v>129</v>
      </c>
      <c r="C496" s="3" t="s">
        <v>130</v>
      </c>
      <c r="D496" s="3" t="s">
        <v>66</v>
      </c>
      <c r="E496" s="3" t="s">
        <v>32</v>
      </c>
      <c r="F496" s="12">
        <v>46022</v>
      </c>
      <c r="G496" s="3">
        <v>2025</v>
      </c>
      <c r="H496" s="3" t="s">
        <v>44</v>
      </c>
      <c r="I496" s="3" t="s">
        <v>465</v>
      </c>
      <c r="J496" s="3">
        <v>2</v>
      </c>
      <c r="K496" s="3">
        <v>80</v>
      </c>
      <c r="L496" s="3">
        <v>87.4</v>
      </c>
      <c r="M496" s="3">
        <f>+L496/K496</f>
        <v>1.0925</v>
      </c>
      <c r="N496" s="3">
        <v>1.0925</v>
      </c>
      <c r="O496" s="3" t="s">
        <v>58</v>
      </c>
      <c r="P496" s="3" t="s">
        <v>58</v>
      </c>
      <c r="Q496" s="3" t="str">
        <f t="shared" si="73"/>
        <v>200-2025-12-31</v>
      </c>
      <c r="R496" s="3">
        <v>0</v>
      </c>
      <c r="S496" s="3">
        <v>1</v>
      </c>
      <c r="T496" s="3" t="s">
        <v>31</v>
      </c>
      <c r="U496" s="3" t="s">
        <v>37</v>
      </c>
      <c r="V496" s="3" t="s">
        <v>130</v>
      </c>
      <c r="W496" s="3" t="s">
        <v>60</v>
      </c>
      <c r="X496" s="3" t="s">
        <v>100</v>
      </c>
      <c r="Y496" s="3" t="s">
        <v>133</v>
      </c>
      <c r="Z496" s="3" t="s">
        <v>134</v>
      </c>
      <c r="AA496" s="3" t="s">
        <v>135</v>
      </c>
      <c r="AB496" s="3" t="s">
        <v>43</v>
      </c>
      <c r="AC496" s="3" t="s">
        <v>66</v>
      </c>
      <c r="AD496" s="3">
        <v>0</v>
      </c>
    </row>
    <row r="497" spans="1:30" x14ac:dyDescent="0.3">
      <c r="A497" s="3">
        <v>200</v>
      </c>
      <c r="B497" s="3" t="s">
        <v>129</v>
      </c>
      <c r="C497" s="3" t="s">
        <v>130</v>
      </c>
      <c r="D497" s="3" t="s">
        <v>66</v>
      </c>
      <c r="E497" s="3" t="s">
        <v>32</v>
      </c>
      <c r="F497" s="12">
        <v>46022</v>
      </c>
      <c r="G497" s="3">
        <v>2025</v>
      </c>
      <c r="H497" s="3" t="s">
        <v>44</v>
      </c>
      <c r="I497" s="3" t="s">
        <v>465</v>
      </c>
      <c r="J497" s="3">
        <v>2</v>
      </c>
      <c r="K497" s="3">
        <v>80</v>
      </c>
      <c r="L497" s="3">
        <v>87.4</v>
      </c>
      <c r="M497" s="3">
        <f>+L497/K497</f>
        <v>1.0925</v>
      </c>
      <c r="N497" s="3">
        <v>1.0925</v>
      </c>
      <c r="O497" s="3" t="s">
        <v>58</v>
      </c>
      <c r="P497" s="3" t="s">
        <v>58</v>
      </c>
      <c r="Q497" s="3" t="str">
        <f t="shared" si="73"/>
        <v>200-2025-12-31</v>
      </c>
      <c r="R497" s="3">
        <v>0</v>
      </c>
      <c r="S497" s="3">
        <v>1</v>
      </c>
      <c r="T497" s="3" t="s">
        <v>443</v>
      </c>
      <c r="U497" s="3" t="s">
        <v>37</v>
      </c>
      <c r="V497" s="3" t="s">
        <v>130</v>
      </c>
      <c r="W497" s="3" t="s">
        <v>60</v>
      </c>
      <c r="X497" s="3" t="s">
        <v>100</v>
      </c>
      <c r="Y497" s="3" t="s">
        <v>133</v>
      </c>
      <c r="Z497" s="3" t="s">
        <v>134</v>
      </c>
      <c r="AA497" s="3" t="s">
        <v>135</v>
      </c>
      <c r="AB497" s="3" t="s">
        <v>43</v>
      </c>
      <c r="AC497" s="3" t="s">
        <v>66</v>
      </c>
      <c r="AD497" s="3">
        <v>0</v>
      </c>
    </row>
    <row r="498" spans="1:30" x14ac:dyDescent="0.3">
      <c r="A498" s="3">
        <v>245</v>
      </c>
      <c r="B498" s="3" t="s">
        <v>185</v>
      </c>
      <c r="C498" s="3" t="s">
        <v>186</v>
      </c>
      <c r="D498" s="3" t="s">
        <v>31</v>
      </c>
      <c r="E498" s="3" t="s">
        <v>32</v>
      </c>
      <c r="F498" s="12">
        <v>46022</v>
      </c>
      <c r="G498" s="3">
        <v>2025</v>
      </c>
      <c r="H498" s="3" t="s">
        <v>44</v>
      </c>
      <c r="I498" s="3" t="s">
        <v>465</v>
      </c>
      <c r="J498" s="3"/>
      <c r="K498" s="3">
        <v>86.1</v>
      </c>
      <c r="L498" s="3">
        <v>86.2</v>
      </c>
      <c r="M498" s="3">
        <f t="shared" ref="M498" si="83">+L498/K498</f>
        <v>1.0011614401858304</v>
      </c>
      <c r="N498" s="3">
        <f t="shared" ref="N498" si="84">+L498/K498</f>
        <v>1.0011614401858304</v>
      </c>
      <c r="O498" s="3" t="s">
        <v>58</v>
      </c>
      <c r="P498" s="3" t="s">
        <v>58</v>
      </c>
      <c r="Q498" s="3" t="str">
        <f t="shared" si="73"/>
        <v>245-2025-12-31</v>
      </c>
      <c r="R498" s="3">
        <v>1</v>
      </c>
      <c r="S498" s="3">
        <v>1</v>
      </c>
      <c r="T498" s="3" t="s">
        <v>443</v>
      </c>
      <c r="U498" s="3" t="s">
        <v>37</v>
      </c>
      <c r="V498" s="3" t="s">
        <v>186</v>
      </c>
      <c r="W498" s="3" t="s">
        <v>112</v>
      </c>
      <c r="X498" s="3" t="s">
        <v>113</v>
      </c>
      <c r="Y498" s="3" t="s">
        <v>123</v>
      </c>
      <c r="Z498" s="3" t="s">
        <v>41</v>
      </c>
      <c r="AA498" s="3" t="s">
        <v>42</v>
      </c>
      <c r="AB498" s="3" t="s">
        <v>65</v>
      </c>
      <c r="AC498" s="3" t="s">
        <v>31</v>
      </c>
      <c r="AD498" s="3">
        <v>0</v>
      </c>
    </row>
    <row r="499" spans="1:30" x14ac:dyDescent="0.3">
      <c r="A499" s="3">
        <v>276</v>
      </c>
      <c r="B499" s="3" t="s">
        <v>201</v>
      </c>
      <c r="C499" s="3" t="s">
        <v>202</v>
      </c>
      <c r="D499" s="3" t="s">
        <v>31</v>
      </c>
      <c r="E499" s="3" t="s">
        <v>171</v>
      </c>
      <c r="F499" s="12">
        <v>46022</v>
      </c>
      <c r="G499" s="3">
        <v>2025</v>
      </c>
      <c r="H499" s="3" t="s">
        <v>44</v>
      </c>
      <c r="I499" s="3" t="s">
        <v>465</v>
      </c>
      <c r="J499" s="3"/>
      <c r="K499" s="3">
        <v>81</v>
      </c>
      <c r="L499" s="3">
        <v>82.81</v>
      </c>
      <c r="M499" s="3">
        <f t="shared" ref="M499:M500" si="85">+K499/L499</f>
        <v>0.97814273638449456</v>
      </c>
      <c r="N499" s="3">
        <f t="shared" ref="N499:N500" si="86">+K499/L499</f>
        <v>0.97814273638449456</v>
      </c>
      <c r="O499" s="3" t="s">
        <v>35</v>
      </c>
      <c r="P499" s="3" t="s">
        <v>245</v>
      </c>
      <c r="Q499" s="3" t="str">
        <f t="shared" si="73"/>
        <v>276-2025-12-31</v>
      </c>
      <c r="R499" s="3">
        <v>0</v>
      </c>
      <c r="S499" s="3">
        <v>1</v>
      </c>
      <c r="T499" s="3" t="s">
        <v>443</v>
      </c>
      <c r="U499" s="3" t="s">
        <v>37</v>
      </c>
      <c r="V499" s="3" t="s">
        <v>202</v>
      </c>
      <c r="W499" s="3" t="s">
        <v>73</v>
      </c>
      <c r="X499" s="3" t="s">
        <v>74</v>
      </c>
      <c r="Y499" s="3" t="s">
        <v>585</v>
      </c>
      <c r="Z499" s="3" t="s">
        <v>86</v>
      </c>
      <c r="AA499" s="3" t="s">
        <v>204</v>
      </c>
      <c r="AB499" s="3" t="s">
        <v>65</v>
      </c>
      <c r="AC499" s="3" t="s">
        <v>31</v>
      </c>
      <c r="AD499" s="3">
        <v>0</v>
      </c>
    </row>
    <row r="500" spans="1:30" x14ac:dyDescent="0.3">
      <c r="A500" s="3">
        <v>277</v>
      </c>
      <c r="B500" s="3" t="s">
        <v>210</v>
      </c>
      <c r="C500" s="3" t="s">
        <v>202</v>
      </c>
      <c r="D500" s="3" t="s">
        <v>31</v>
      </c>
      <c r="E500" s="3" t="s">
        <v>171</v>
      </c>
      <c r="F500" s="12">
        <v>46022</v>
      </c>
      <c r="G500" s="3">
        <v>2025</v>
      </c>
      <c r="H500" s="3" t="s">
        <v>44</v>
      </c>
      <c r="I500" s="3" t="s">
        <v>465</v>
      </c>
      <c r="J500" s="3"/>
      <c r="K500" s="3">
        <v>71</v>
      </c>
      <c r="L500" s="3">
        <v>68.400000000000006</v>
      </c>
      <c r="M500" s="3">
        <f t="shared" si="85"/>
        <v>1.0380116959064327</v>
      </c>
      <c r="N500" s="3">
        <f t="shared" si="86"/>
        <v>1.0380116959064327</v>
      </c>
      <c r="O500" s="3" t="s">
        <v>35</v>
      </c>
      <c r="P500" s="3" t="s">
        <v>245</v>
      </c>
      <c r="Q500" s="3" t="str">
        <f t="shared" si="73"/>
        <v>277-2025-12-31</v>
      </c>
      <c r="R500" s="3">
        <v>1</v>
      </c>
      <c r="S500" s="3">
        <v>1</v>
      </c>
      <c r="T500" s="3" t="s">
        <v>443</v>
      </c>
      <c r="U500" s="3" t="s">
        <v>37</v>
      </c>
      <c r="V500" s="3" t="s">
        <v>202</v>
      </c>
      <c r="W500" s="3" t="s">
        <v>73</v>
      </c>
      <c r="X500" s="3" t="s">
        <v>74</v>
      </c>
      <c r="Y500" s="3" t="s">
        <v>585</v>
      </c>
      <c r="Z500" s="3" t="s">
        <v>86</v>
      </c>
      <c r="AA500" s="3" t="s">
        <v>204</v>
      </c>
      <c r="AB500" s="3" t="s">
        <v>65</v>
      </c>
      <c r="AC500" s="3" t="s">
        <v>31</v>
      </c>
      <c r="AD500" s="3">
        <v>0</v>
      </c>
    </row>
    <row r="501" spans="1:30" x14ac:dyDescent="0.3">
      <c r="A501" s="3">
        <v>364</v>
      </c>
      <c r="B501" s="3" t="s">
        <v>271</v>
      </c>
      <c r="C501" s="3" t="s">
        <v>267</v>
      </c>
      <c r="D501" s="3" t="s">
        <v>31</v>
      </c>
      <c r="E501" s="3" t="s">
        <v>171</v>
      </c>
      <c r="F501" s="12">
        <v>46022</v>
      </c>
      <c r="G501" s="3">
        <v>2025</v>
      </c>
      <c r="H501" s="3" t="s">
        <v>44</v>
      </c>
      <c r="I501" s="3" t="s">
        <v>465</v>
      </c>
      <c r="J501" s="3"/>
      <c r="K501" s="3">
        <v>83197</v>
      </c>
      <c r="L501" s="3">
        <v>70233</v>
      </c>
      <c r="M501" s="3">
        <f t="shared" ref="M501:M502" si="87">+L501/K501</f>
        <v>0.84417707369256101</v>
      </c>
      <c r="N501" s="3">
        <f t="shared" ref="N501" si="88">+L501/K501</f>
        <v>0.84417707369256101</v>
      </c>
      <c r="O501" s="3" t="s">
        <v>35</v>
      </c>
      <c r="P501" s="3" t="s">
        <v>35</v>
      </c>
      <c r="Q501" s="3" t="str">
        <f t="shared" si="73"/>
        <v>364-2025-12-31</v>
      </c>
      <c r="R501" s="3">
        <v>0</v>
      </c>
      <c r="S501" s="3">
        <v>0</v>
      </c>
      <c r="T501" s="3" t="s">
        <v>443</v>
      </c>
      <c r="U501" s="3" t="s">
        <v>37</v>
      </c>
      <c r="V501" s="3" t="s">
        <v>267</v>
      </c>
      <c r="W501" s="3" t="s">
        <v>145</v>
      </c>
      <c r="X501" s="3" t="s">
        <v>179</v>
      </c>
      <c r="Y501" s="3" t="s">
        <v>273</v>
      </c>
      <c r="Z501" s="3" t="s">
        <v>274</v>
      </c>
      <c r="AA501" s="3" t="s">
        <v>275</v>
      </c>
      <c r="AB501" s="3" t="s">
        <v>78</v>
      </c>
      <c r="AC501" s="3" t="s">
        <v>66</v>
      </c>
      <c r="AD501" s="3">
        <v>0</v>
      </c>
    </row>
    <row r="502" spans="1:30" x14ac:dyDescent="0.3">
      <c r="A502" s="3">
        <v>369</v>
      </c>
      <c r="B502" s="3" t="s">
        <v>283</v>
      </c>
      <c r="C502" s="3" t="s">
        <v>267</v>
      </c>
      <c r="D502" s="3" t="s">
        <v>31</v>
      </c>
      <c r="E502" s="3" t="s">
        <v>32</v>
      </c>
      <c r="F502" s="12">
        <v>46022</v>
      </c>
      <c r="G502" s="3">
        <v>2025</v>
      </c>
      <c r="H502" s="3" t="s">
        <v>44</v>
      </c>
      <c r="I502" s="3" t="s">
        <v>465</v>
      </c>
      <c r="J502" s="3"/>
      <c r="K502" s="3">
        <v>190</v>
      </c>
      <c r="L502" s="3">
        <v>190</v>
      </c>
      <c r="M502" s="3">
        <f t="shared" si="87"/>
        <v>1</v>
      </c>
      <c r="N502" s="3">
        <f>+L502/K502</f>
        <v>1</v>
      </c>
      <c r="O502" s="3" t="s">
        <v>35</v>
      </c>
      <c r="P502" s="3" t="s">
        <v>35</v>
      </c>
      <c r="Q502" s="3" t="str">
        <f t="shared" si="73"/>
        <v>369-2025-12-31</v>
      </c>
      <c r="R502" s="3">
        <v>0</v>
      </c>
      <c r="S502" s="3">
        <v>0</v>
      </c>
      <c r="T502" s="3" t="s">
        <v>443</v>
      </c>
      <c r="U502" s="3" t="s">
        <v>37</v>
      </c>
      <c r="V502" s="3" t="s">
        <v>267</v>
      </c>
      <c r="W502" s="3" t="s">
        <v>145</v>
      </c>
      <c r="X502" s="3" t="s">
        <v>179</v>
      </c>
      <c r="Y502" s="3" t="s">
        <v>273</v>
      </c>
      <c r="Z502" s="3" t="s">
        <v>41</v>
      </c>
      <c r="AA502" s="3" t="s">
        <v>42</v>
      </c>
      <c r="AB502" s="3" t="s">
        <v>78</v>
      </c>
      <c r="AC502" s="3" t="s">
        <v>66</v>
      </c>
      <c r="AD502" s="3">
        <v>0</v>
      </c>
    </row>
    <row r="503" spans="1:30" x14ac:dyDescent="0.3">
      <c r="A503" s="3">
        <v>379</v>
      </c>
      <c r="B503" s="3" t="s">
        <v>301</v>
      </c>
      <c r="C503" s="3" t="s">
        <v>302</v>
      </c>
      <c r="D503" s="3" t="s">
        <v>31</v>
      </c>
      <c r="E503" s="3" t="s">
        <v>32</v>
      </c>
      <c r="F503" s="12">
        <v>46022</v>
      </c>
      <c r="G503" s="3">
        <v>2025</v>
      </c>
      <c r="H503" s="3" t="s">
        <v>44</v>
      </c>
      <c r="I503" s="3" t="s">
        <v>465</v>
      </c>
      <c r="J503" s="3"/>
      <c r="K503" s="3">
        <f>+K421+K420</f>
        <v>24628</v>
      </c>
      <c r="L503" s="3">
        <f>+L421+L420</f>
        <v>25426</v>
      </c>
      <c r="M503" s="3">
        <f>+L503/K503</f>
        <v>1.0324021439012505</v>
      </c>
      <c r="N503" s="3">
        <f>+L503/K503</f>
        <v>1.0324021439012505</v>
      </c>
      <c r="O503" s="3" t="s">
        <v>35</v>
      </c>
      <c r="P503" s="3" t="s">
        <v>35</v>
      </c>
      <c r="Q503" s="3" t="str">
        <f t="shared" si="73"/>
        <v>379-2025-12-31</v>
      </c>
      <c r="R503" s="3">
        <v>0</v>
      </c>
      <c r="S503" s="3">
        <v>0</v>
      </c>
      <c r="T503" s="3" t="s">
        <v>443</v>
      </c>
      <c r="U503" s="3" t="s">
        <v>37</v>
      </c>
      <c r="V503" s="3" t="s">
        <v>302</v>
      </c>
      <c r="W503" s="3" t="s">
        <v>38</v>
      </c>
      <c r="X503" s="3" t="s">
        <v>39</v>
      </c>
      <c r="Y503" s="3" t="s">
        <v>40</v>
      </c>
      <c r="Z503" s="3" t="s">
        <v>41</v>
      </c>
      <c r="AA503" s="3" t="s">
        <v>42</v>
      </c>
      <c r="AB503" s="3" t="s">
        <v>78</v>
      </c>
      <c r="AC503" s="3" t="s">
        <v>31</v>
      </c>
      <c r="AD503" s="3">
        <v>0</v>
      </c>
    </row>
    <row r="504" spans="1:30" x14ac:dyDescent="0.3">
      <c r="A504" s="3">
        <v>14</v>
      </c>
      <c r="B504" s="3" t="s">
        <v>29</v>
      </c>
      <c r="C504" s="3" t="s">
        <v>186</v>
      </c>
      <c r="D504" s="3" t="s">
        <v>31</v>
      </c>
      <c r="E504" s="3" t="s">
        <v>32</v>
      </c>
      <c r="F504" s="12">
        <v>46023</v>
      </c>
      <c r="G504" s="3">
        <v>2026</v>
      </c>
      <c r="H504" s="3" t="s">
        <v>484</v>
      </c>
      <c r="I504" s="3" t="s">
        <v>484</v>
      </c>
      <c r="J504" s="3"/>
      <c r="K504" s="3">
        <v>55756</v>
      </c>
      <c r="L504" s="11">
        <v>56931</v>
      </c>
      <c r="M504" s="3">
        <f>+L504/K504</f>
        <v>1.0210739651337972</v>
      </c>
      <c r="N504" s="3">
        <f>+L504/K504</f>
        <v>1.0210739651337972</v>
      </c>
      <c r="O504" s="3" t="s">
        <v>35</v>
      </c>
      <c r="P504" s="3" t="s">
        <v>35</v>
      </c>
      <c r="Q504" s="3" t="str">
        <f t="shared" si="73"/>
        <v>14-2026-01-01</v>
      </c>
      <c r="R504" s="3">
        <v>0</v>
      </c>
      <c r="S504" s="3">
        <v>0</v>
      </c>
      <c r="T504" s="3" t="s">
        <v>484</v>
      </c>
      <c r="U504" s="3" t="s">
        <v>37</v>
      </c>
      <c r="V504" s="3" t="s">
        <v>30</v>
      </c>
      <c r="W504" s="3" t="s">
        <v>38</v>
      </c>
      <c r="X504" s="3" t="s">
        <v>39</v>
      </c>
      <c r="Y504" s="3" t="s">
        <v>40</v>
      </c>
      <c r="Z504" s="3" t="s">
        <v>41</v>
      </c>
      <c r="AA504" s="3" t="s">
        <v>42</v>
      </c>
      <c r="AB504" s="3" t="s">
        <v>43</v>
      </c>
      <c r="AC504" s="3" t="s">
        <v>31</v>
      </c>
      <c r="AD504" s="3">
        <v>0</v>
      </c>
    </row>
    <row r="505" spans="1:30" x14ac:dyDescent="0.3">
      <c r="A505" s="3">
        <v>14.1</v>
      </c>
      <c r="B505" s="3" t="s">
        <v>353</v>
      </c>
      <c r="C505" s="3" t="s">
        <v>186</v>
      </c>
      <c r="D505" s="3" t="s">
        <v>31</v>
      </c>
      <c r="E505" s="3" t="s">
        <v>32</v>
      </c>
      <c r="F505" s="12">
        <v>46023</v>
      </c>
      <c r="G505" s="3">
        <v>2026</v>
      </c>
      <c r="H505" s="3" t="s">
        <v>484</v>
      </c>
      <c r="I505" s="3" t="s">
        <v>484</v>
      </c>
      <c r="J505" s="3"/>
      <c r="K505" s="3">
        <v>16981</v>
      </c>
      <c r="L505" s="3">
        <v>17472</v>
      </c>
      <c r="M505" s="3">
        <f>+L505/K505</f>
        <v>1.0289146693363171</v>
      </c>
      <c r="N505" s="3">
        <f>+L505/K505</f>
        <v>1.0289146693363171</v>
      </c>
      <c r="O505" s="3" t="s">
        <v>35</v>
      </c>
      <c r="P505" s="3" t="s">
        <v>35</v>
      </c>
      <c r="Q505" s="3" t="str">
        <f t="shared" si="73"/>
        <v>14,1-2026-01-01</v>
      </c>
      <c r="R505" s="3">
        <v>0</v>
      </c>
      <c r="S505" s="3">
        <v>0</v>
      </c>
      <c r="T505" s="3" t="s">
        <v>484</v>
      </c>
      <c r="U505" s="3" t="s">
        <v>37</v>
      </c>
      <c r="V505" s="3" t="s">
        <v>30</v>
      </c>
      <c r="W505" s="3" t="s">
        <v>38</v>
      </c>
      <c r="X505" s="3" t="s">
        <v>39</v>
      </c>
      <c r="Y505" s="3" t="s">
        <v>40</v>
      </c>
      <c r="Z505" s="3" t="s">
        <v>86</v>
      </c>
      <c r="AA505" s="3" t="s">
        <v>339</v>
      </c>
      <c r="AB505" s="3" t="s">
        <v>78</v>
      </c>
      <c r="AC505" s="3" t="s">
        <v>31</v>
      </c>
      <c r="AD505" s="3">
        <v>0</v>
      </c>
    </row>
    <row r="506" spans="1:30" x14ac:dyDescent="0.3">
      <c r="A506" s="3">
        <v>14.2</v>
      </c>
      <c r="B506" s="3" t="s">
        <v>359</v>
      </c>
      <c r="C506" s="3" t="s">
        <v>186</v>
      </c>
      <c r="D506" s="3" t="s">
        <v>31</v>
      </c>
      <c r="E506" s="3" t="s">
        <v>32</v>
      </c>
      <c r="F506" s="12">
        <v>46023</v>
      </c>
      <c r="G506" s="3">
        <v>2026</v>
      </c>
      <c r="H506" s="3" t="s">
        <v>484</v>
      </c>
      <c r="I506" s="3" t="s">
        <v>484</v>
      </c>
      <c r="J506" s="3"/>
      <c r="K506" s="3">
        <v>92409</v>
      </c>
      <c r="L506" s="3">
        <v>95964</v>
      </c>
      <c r="M506" s="3">
        <f>+L506/K506</f>
        <v>1.0384702788689413</v>
      </c>
      <c r="N506" s="3">
        <f>+L506/K506</f>
        <v>1.0384702788689413</v>
      </c>
      <c r="O506" s="3" t="s">
        <v>35</v>
      </c>
      <c r="P506" s="3" t="s">
        <v>35</v>
      </c>
      <c r="Q506" s="3" t="str">
        <f t="shared" si="73"/>
        <v>14,2-2026-01-01</v>
      </c>
      <c r="R506" s="3">
        <v>0</v>
      </c>
      <c r="S506" s="3">
        <v>0</v>
      </c>
      <c r="T506" s="3" t="s">
        <v>484</v>
      </c>
      <c r="U506" s="3" t="s">
        <v>37</v>
      </c>
      <c r="V506" s="3" t="s">
        <v>30</v>
      </c>
      <c r="W506" s="3" t="s">
        <v>38</v>
      </c>
      <c r="X506" s="3" t="s">
        <v>39</v>
      </c>
      <c r="Y506" s="3" t="s">
        <v>40</v>
      </c>
      <c r="Z506" s="3" t="s">
        <v>86</v>
      </c>
      <c r="AA506" s="3" t="s">
        <v>339</v>
      </c>
      <c r="AB506" s="3" t="s">
        <v>78</v>
      </c>
      <c r="AC506" s="3" t="s">
        <v>31</v>
      </c>
      <c r="AD506" s="3">
        <v>0</v>
      </c>
    </row>
    <row r="507" spans="1:30" x14ac:dyDescent="0.3">
      <c r="A507" s="3">
        <v>14.3</v>
      </c>
      <c r="B507" s="3" t="s">
        <v>365</v>
      </c>
      <c r="C507" s="3" t="s">
        <v>186</v>
      </c>
      <c r="D507" s="3" t="s">
        <v>31</v>
      </c>
      <c r="E507" s="3" t="s">
        <v>32</v>
      </c>
      <c r="F507" s="12">
        <v>46023</v>
      </c>
      <c r="G507" s="3">
        <v>2026</v>
      </c>
      <c r="H507" s="3" t="s">
        <v>484</v>
      </c>
      <c r="I507" s="3" t="s">
        <v>484</v>
      </c>
      <c r="J507" s="3"/>
      <c r="K507" s="3">
        <v>101379</v>
      </c>
      <c r="L507" s="3">
        <v>104367</v>
      </c>
      <c r="M507" s="3">
        <f t="shared" ref="M507:M508" si="89">+L507/K507</f>
        <v>1.0294735596129376</v>
      </c>
      <c r="N507" s="3">
        <f t="shared" ref="N507:N508" si="90">+L507/K507</f>
        <v>1.0294735596129376</v>
      </c>
      <c r="O507" s="3" t="s">
        <v>35</v>
      </c>
      <c r="P507" s="3" t="s">
        <v>35</v>
      </c>
      <c r="Q507" s="3" t="str">
        <f t="shared" si="73"/>
        <v>14,3-2026-01-01</v>
      </c>
      <c r="R507" s="3">
        <v>0</v>
      </c>
      <c r="S507" s="3">
        <v>0</v>
      </c>
      <c r="T507" s="3" t="s">
        <v>484</v>
      </c>
      <c r="U507" s="3" t="s">
        <v>37</v>
      </c>
      <c r="V507" s="3" t="s">
        <v>30</v>
      </c>
      <c r="W507" s="3" t="s">
        <v>38</v>
      </c>
      <c r="X507" s="3" t="s">
        <v>39</v>
      </c>
      <c r="Y507" s="3" t="s">
        <v>40</v>
      </c>
      <c r="Z507" s="3" t="s">
        <v>86</v>
      </c>
      <c r="AA507" s="3" t="s">
        <v>339</v>
      </c>
      <c r="AB507" s="3" t="s">
        <v>78</v>
      </c>
      <c r="AC507" s="3" t="s">
        <v>31</v>
      </c>
      <c r="AD507" s="3">
        <v>0</v>
      </c>
    </row>
    <row r="508" spans="1:30" x14ac:dyDescent="0.3">
      <c r="A508" s="3">
        <v>14.4</v>
      </c>
      <c r="B508" s="3" t="s">
        <v>371</v>
      </c>
      <c r="C508" s="3" t="s">
        <v>186</v>
      </c>
      <c r="D508" s="3" t="s">
        <v>31</v>
      </c>
      <c r="E508" s="3" t="s">
        <v>32</v>
      </c>
      <c r="F508" s="12">
        <v>46023</v>
      </c>
      <c r="G508" s="3">
        <v>2026</v>
      </c>
      <c r="H508" s="3" t="s">
        <v>484</v>
      </c>
      <c r="I508" s="3" t="s">
        <v>484</v>
      </c>
      <c r="J508" s="3"/>
      <c r="K508" s="3">
        <f>+K506+K507</f>
        <v>193788</v>
      </c>
      <c r="L508" s="3">
        <f>+L506+L507</f>
        <v>200331</v>
      </c>
      <c r="M508" s="3">
        <f t="shared" si="89"/>
        <v>1.033763700538733</v>
      </c>
      <c r="N508" s="3">
        <f t="shared" si="90"/>
        <v>1.033763700538733</v>
      </c>
      <c r="O508" s="3" t="s">
        <v>35</v>
      </c>
      <c r="P508" s="3" t="s">
        <v>35</v>
      </c>
      <c r="Q508" s="3" t="str">
        <f t="shared" si="73"/>
        <v>14,4-2026-01-01</v>
      </c>
      <c r="R508" s="3">
        <v>0</v>
      </c>
      <c r="S508" s="3">
        <v>0</v>
      </c>
      <c r="T508" s="3" t="s">
        <v>484</v>
      </c>
      <c r="U508" s="3" t="s">
        <v>37</v>
      </c>
      <c r="V508" s="3" t="s">
        <v>30</v>
      </c>
      <c r="W508" s="3" t="s">
        <v>38</v>
      </c>
      <c r="X508" s="3" t="s">
        <v>39</v>
      </c>
      <c r="Y508" s="3" t="s">
        <v>40</v>
      </c>
      <c r="Z508" s="3" t="s">
        <v>86</v>
      </c>
      <c r="AA508" s="3" t="s">
        <v>339</v>
      </c>
      <c r="AB508" s="3" t="s">
        <v>78</v>
      </c>
      <c r="AC508" s="3" t="s">
        <v>31</v>
      </c>
      <c r="AD508" s="3">
        <v>0</v>
      </c>
    </row>
    <row r="509" spans="1:30" x14ac:dyDescent="0.3">
      <c r="A509" s="3">
        <v>77</v>
      </c>
      <c r="B509" s="3" t="s">
        <v>55</v>
      </c>
      <c r="C509" s="3" t="s">
        <v>56</v>
      </c>
      <c r="D509" s="3" t="s">
        <v>57</v>
      </c>
      <c r="E509" s="3" t="s">
        <v>32</v>
      </c>
      <c r="F509" s="12">
        <v>46023</v>
      </c>
      <c r="G509" s="3">
        <v>2026</v>
      </c>
      <c r="H509" s="3" t="s">
        <v>484</v>
      </c>
      <c r="I509" s="3" t="s">
        <v>484</v>
      </c>
      <c r="J509" s="3"/>
      <c r="K509" s="3">
        <v>97</v>
      </c>
      <c r="L509" s="3">
        <v>97.17</v>
      </c>
      <c r="M509" s="3">
        <f>+L509/K509</f>
        <v>1.0017525773195877</v>
      </c>
      <c r="N509" s="3">
        <f>+L509/K509</f>
        <v>1.0017525773195877</v>
      </c>
      <c r="O509" s="3" t="s">
        <v>58</v>
      </c>
      <c r="P509" s="3" t="s">
        <v>58</v>
      </c>
      <c r="Q509" s="3" t="str">
        <f t="shared" si="73"/>
        <v>77-2026-01-01</v>
      </c>
      <c r="R509" s="3">
        <v>0</v>
      </c>
      <c r="S509" s="3">
        <v>1</v>
      </c>
      <c r="T509" s="3" t="s">
        <v>484</v>
      </c>
      <c r="U509" s="3" t="s">
        <v>37</v>
      </c>
      <c r="V509" s="3" t="s">
        <v>56</v>
      </c>
      <c r="W509" s="3" t="s">
        <v>60</v>
      </c>
      <c r="X509" s="3" t="s">
        <v>61</v>
      </c>
      <c r="Y509" s="3" t="s">
        <v>62</v>
      </c>
      <c r="Z509" s="3" t="s">
        <v>63</v>
      </c>
      <c r="AA509" s="3" t="s">
        <v>64</v>
      </c>
      <c r="AB509" s="3" t="s">
        <v>65</v>
      </c>
      <c r="AC509" s="3" t="s">
        <v>66</v>
      </c>
      <c r="AD509" s="3">
        <v>0</v>
      </c>
    </row>
    <row r="510" spans="1:30" x14ac:dyDescent="0.3">
      <c r="A510" s="3">
        <v>96</v>
      </c>
      <c r="B510" s="3" t="s">
        <v>70</v>
      </c>
      <c r="C510" s="3" t="s">
        <v>71</v>
      </c>
      <c r="D510" s="3" t="s">
        <v>66</v>
      </c>
      <c r="E510" s="3" t="s">
        <v>32</v>
      </c>
      <c r="F510" s="12">
        <v>46023</v>
      </c>
      <c r="G510" s="3">
        <v>2026</v>
      </c>
      <c r="H510" s="3" t="s">
        <v>484</v>
      </c>
      <c r="I510" s="3" t="s">
        <v>484</v>
      </c>
      <c r="J510" s="3"/>
      <c r="K510" s="3">
        <v>2531</v>
      </c>
      <c r="L510" s="3">
        <v>2383</v>
      </c>
      <c r="M510" s="3">
        <f>+L510/K510</f>
        <v>0.94152508889766895</v>
      </c>
      <c r="N510" s="3">
        <f>+L510/K510</f>
        <v>0.94152508889766895</v>
      </c>
      <c r="O510" s="3" t="s">
        <v>35</v>
      </c>
      <c r="P510" s="3" t="s">
        <v>35</v>
      </c>
      <c r="Q510" s="3" t="str">
        <f t="shared" si="73"/>
        <v>96-2026-01-01</v>
      </c>
      <c r="R510" s="3">
        <v>0</v>
      </c>
      <c r="S510" s="3">
        <v>0</v>
      </c>
      <c r="T510" s="3" t="s">
        <v>484</v>
      </c>
      <c r="U510" s="3" t="s">
        <v>37</v>
      </c>
      <c r="V510" s="3" t="s">
        <v>71</v>
      </c>
      <c r="W510" s="3" t="s">
        <v>73</v>
      </c>
      <c r="X510" s="3" t="s">
        <v>74</v>
      </c>
      <c r="Y510" s="3" t="s">
        <v>585</v>
      </c>
      <c r="Z510" s="3" t="s">
        <v>76</v>
      </c>
      <c r="AA510" s="3" t="s">
        <v>77</v>
      </c>
      <c r="AB510" s="3" t="s">
        <v>78</v>
      </c>
      <c r="AC510" s="3" t="s">
        <v>66</v>
      </c>
      <c r="AD510" s="3">
        <v>0</v>
      </c>
    </row>
    <row r="511" spans="1:30" x14ac:dyDescent="0.3">
      <c r="A511" s="3">
        <v>98</v>
      </c>
      <c r="B511" s="3" t="s">
        <v>91</v>
      </c>
      <c r="C511" s="3" t="s">
        <v>83</v>
      </c>
      <c r="D511" s="3" t="s">
        <v>31</v>
      </c>
      <c r="E511" s="3" t="s">
        <v>32</v>
      </c>
      <c r="F511" s="12">
        <v>46022</v>
      </c>
      <c r="G511" s="3">
        <v>2025</v>
      </c>
      <c r="H511" s="3" t="s">
        <v>44</v>
      </c>
      <c r="I511" s="3" t="s">
        <v>465</v>
      </c>
      <c r="J511" s="3"/>
      <c r="K511" s="3">
        <v>10</v>
      </c>
      <c r="L511" s="3">
        <v>10</v>
      </c>
      <c r="M511" s="3">
        <v>1</v>
      </c>
      <c r="N511" s="3">
        <v>1</v>
      </c>
      <c r="O511" s="3" t="s">
        <v>35</v>
      </c>
      <c r="P511" s="3" t="s">
        <v>35</v>
      </c>
      <c r="Q511" s="3" t="str">
        <f t="shared" si="73"/>
        <v>98-2025-12-31</v>
      </c>
      <c r="R511" s="3">
        <v>0</v>
      </c>
      <c r="S511" s="3">
        <v>0</v>
      </c>
      <c r="T511" s="3" t="s">
        <v>443</v>
      </c>
      <c r="U511" s="3" t="s">
        <v>37</v>
      </c>
      <c r="V511" s="3" t="s">
        <v>83</v>
      </c>
      <c r="W511" s="3" t="s">
        <v>38</v>
      </c>
      <c r="X511" s="3" t="s">
        <v>39</v>
      </c>
      <c r="Y511" s="3" t="s">
        <v>85</v>
      </c>
      <c r="Z511" s="3" t="s">
        <v>86</v>
      </c>
      <c r="AA511" s="3" t="s">
        <v>87</v>
      </c>
      <c r="AB511" s="3" t="s">
        <v>78</v>
      </c>
      <c r="AC511" s="3" t="s">
        <v>66</v>
      </c>
      <c r="AD511" s="3">
        <v>0</v>
      </c>
    </row>
    <row r="512" spans="1:30" x14ac:dyDescent="0.3">
      <c r="A512" s="3">
        <v>98</v>
      </c>
      <c r="B512" s="3" t="s">
        <v>91</v>
      </c>
      <c r="C512" s="3" t="s">
        <v>83</v>
      </c>
      <c r="D512" s="3" t="s">
        <v>31</v>
      </c>
      <c r="E512" s="3" t="s">
        <v>32</v>
      </c>
      <c r="F512" s="12">
        <v>46023</v>
      </c>
      <c r="G512" s="3">
        <v>2026</v>
      </c>
      <c r="H512" s="3" t="s">
        <v>484</v>
      </c>
      <c r="I512" s="3" t="s">
        <v>484</v>
      </c>
      <c r="J512" s="3"/>
      <c r="K512" s="3">
        <f>+K141+K144+K147+K511</f>
        <v>20</v>
      </c>
      <c r="L512" s="3">
        <f>+L141+L144+L147+L511</f>
        <v>20</v>
      </c>
      <c r="M512" s="3">
        <v>1</v>
      </c>
      <c r="N512" s="3">
        <v>1</v>
      </c>
      <c r="O512" s="3" t="s">
        <v>35</v>
      </c>
      <c r="P512" s="3" t="s">
        <v>35</v>
      </c>
      <c r="Q512" s="3" t="str">
        <f t="shared" si="73"/>
        <v>98-2026-01-01</v>
      </c>
      <c r="R512" s="3">
        <v>0</v>
      </c>
      <c r="S512" s="3">
        <v>0</v>
      </c>
      <c r="T512" s="3" t="s">
        <v>484</v>
      </c>
      <c r="U512" s="3" t="s">
        <v>37</v>
      </c>
      <c r="V512" s="3" t="s">
        <v>83</v>
      </c>
      <c r="W512" s="3" t="s">
        <v>38</v>
      </c>
      <c r="X512" s="3" t="s">
        <v>39</v>
      </c>
      <c r="Y512" s="3" t="s">
        <v>85</v>
      </c>
      <c r="Z512" s="3" t="s">
        <v>86</v>
      </c>
      <c r="AA512" s="3" t="s">
        <v>87</v>
      </c>
      <c r="AB512" s="3" t="s">
        <v>78</v>
      </c>
      <c r="AC512" s="3" t="s">
        <v>66</v>
      </c>
      <c r="AD512" s="3">
        <v>0</v>
      </c>
    </row>
    <row r="513" spans="1:30" x14ac:dyDescent="0.3">
      <c r="A513" s="3">
        <v>109</v>
      </c>
      <c r="B513" s="3" t="s">
        <v>96</v>
      </c>
      <c r="C513" s="3" t="s">
        <v>99</v>
      </c>
      <c r="D513" s="3" t="s">
        <v>66</v>
      </c>
      <c r="E513" s="3" t="s">
        <v>32</v>
      </c>
      <c r="F513" s="12">
        <v>46023</v>
      </c>
      <c r="G513" s="3">
        <v>2026</v>
      </c>
      <c r="H513" s="3" t="s">
        <v>484</v>
      </c>
      <c r="I513" s="3" t="s">
        <v>484</v>
      </c>
      <c r="J513" s="3"/>
      <c r="K513" s="3">
        <v>80</v>
      </c>
      <c r="L513" s="3">
        <v>94</v>
      </c>
      <c r="M513" s="3">
        <f t="shared" ref="M513" si="91">+L513/K513</f>
        <v>1.175</v>
      </c>
      <c r="N513" s="3">
        <v>1.0625</v>
      </c>
      <c r="O513" s="3" t="s">
        <v>58</v>
      </c>
      <c r="P513" s="3" t="s">
        <v>58</v>
      </c>
      <c r="Q513" s="3" t="str">
        <f t="shared" si="73"/>
        <v>109-2026-01-01</v>
      </c>
      <c r="R513" s="3">
        <v>0</v>
      </c>
      <c r="S513" s="3">
        <v>0</v>
      </c>
      <c r="T513" s="3" t="s">
        <v>484</v>
      </c>
      <c r="U513" s="3" t="s">
        <v>37</v>
      </c>
      <c r="V513" s="3" t="s">
        <v>99</v>
      </c>
      <c r="W513" s="3" t="s">
        <v>60</v>
      </c>
      <c r="X513" s="3" t="s">
        <v>100</v>
      </c>
      <c r="Y513" s="3" t="s">
        <v>584</v>
      </c>
      <c r="Z513" s="3" t="s">
        <v>101</v>
      </c>
      <c r="AA513" s="3" t="s">
        <v>102</v>
      </c>
      <c r="AB513" s="3" t="s">
        <v>65</v>
      </c>
      <c r="AC513" s="3" t="s">
        <v>66</v>
      </c>
      <c r="AD513" s="3">
        <v>0</v>
      </c>
    </row>
    <row r="514" spans="1:30" x14ac:dyDescent="0.3">
      <c r="A514" s="3">
        <v>148</v>
      </c>
      <c r="B514" s="3" t="s">
        <v>104</v>
      </c>
      <c r="C514" s="3" t="s">
        <v>105</v>
      </c>
      <c r="D514" s="3" t="s">
        <v>31</v>
      </c>
      <c r="E514" s="3" t="s">
        <v>32</v>
      </c>
      <c r="F514" s="12">
        <v>46023</v>
      </c>
      <c r="G514" s="3">
        <v>2026</v>
      </c>
      <c r="H514" s="3" t="s">
        <v>484</v>
      </c>
      <c r="I514" s="3" t="s">
        <v>484</v>
      </c>
      <c r="J514" s="3"/>
      <c r="K514" s="3">
        <v>5</v>
      </c>
      <c r="L514" s="3">
        <v>5.8624999999999998</v>
      </c>
      <c r="M514" s="3">
        <f>IF(+L514/K514&gt;1.3,1.3,L514/K514)</f>
        <v>1.1724999999999999</v>
      </c>
      <c r="N514" s="3">
        <f>+L514/K514</f>
        <v>1.1724999999999999</v>
      </c>
      <c r="O514" s="3" t="s">
        <v>58</v>
      </c>
      <c r="P514" s="3" t="s">
        <v>58</v>
      </c>
      <c r="Q514" s="3" t="str">
        <f t="shared" si="73"/>
        <v>148-2026-01-01</v>
      </c>
      <c r="R514" s="3">
        <v>0</v>
      </c>
      <c r="S514" s="3">
        <v>1</v>
      </c>
      <c r="T514" s="3" t="s">
        <v>484</v>
      </c>
      <c r="U514" s="3" t="s">
        <v>37</v>
      </c>
      <c r="V514" s="3" t="s">
        <v>105</v>
      </c>
      <c r="W514" s="3" t="s">
        <v>73</v>
      </c>
      <c r="X514" s="3" t="s">
        <v>74</v>
      </c>
      <c r="Y514" s="3" t="s">
        <v>585</v>
      </c>
      <c r="Z514" s="3" t="s">
        <v>76</v>
      </c>
      <c r="AA514" s="3" t="s">
        <v>77</v>
      </c>
      <c r="AB514" s="3" t="s">
        <v>43</v>
      </c>
      <c r="AC514" s="3" t="s">
        <v>31</v>
      </c>
      <c r="AD514" s="3">
        <v>0</v>
      </c>
    </row>
    <row r="515" spans="1:30" x14ac:dyDescent="0.3">
      <c r="A515" s="3">
        <v>193</v>
      </c>
      <c r="B515" s="13" t="s">
        <v>478</v>
      </c>
      <c r="C515" s="3" t="s">
        <v>30</v>
      </c>
      <c r="D515" s="3" t="s">
        <v>31</v>
      </c>
      <c r="E515" s="3" t="s">
        <v>32</v>
      </c>
      <c r="F515" s="12">
        <v>46023</v>
      </c>
      <c r="G515" s="3">
        <v>2026</v>
      </c>
      <c r="H515" s="3" t="s">
        <v>484</v>
      </c>
      <c r="I515" s="3" t="s">
        <v>484</v>
      </c>
      <c r="J515" s="3"/>
      <c r="K515" s="3">
        <v>94</v>
      </c>
      <c r="L515" s="3">
        <v>95</v>
      </c>
      <c r="M515" s="3">
        <f>+L515/K515</f>
        <v>1.0106382978723405</v>
      </c>
      <c r="N515" s="3">
        <f>+L515/K515</f>
        <v>1.0106382978723405</v>
      </c>
      <c r="O515" s="3" t="s">
        <v>58</v>
      </c>
      <c r="P515" s="3" t="s">
        <v>58</v>
      </c>
      <c r="Q515" s="3" t="str">
        <f t="shared" ref="Q515:Q578" si="92">A515&amp;"-"&amp;YEAR(F515)&amp;"-"&amp;IF(LEN(MONTH(F515))=1,"0"&amp;MONTH(F515),MONTH(F515))&amp;"-"&amp;IF(LEN(DAY(F515))=1,"0"&amp;DAY(F515),DAY(F515))</f>
        <v>193-2026-01-01</v>
      </c>
      <c r="R515" s="3">
        <v>1</v>
      </c>
      <c r="S515" s="3">
        <v>1</v>
      </c>
      <c r="T515" s="3" t="s">
        <v>484</v>
      </c>
      <c r="U515" s="3" t="s">
        <v>37</v>
      </c>
      <c r="V515" s="3" t="s">
        <v>30</v>
      </c>
      <c r="W515" s="3" t="s">
        <v>112</v>
      </c>
      <c r="X515" s="3" t="s">
        <v>113</v>
      </c>
      <c r="Y515" s="3" t="s">
        <v>114</v>
      </c>
      <c r="Z515" s="3" t="s">
        <v>63</v>
      </c>
      <c r="AA515" s="3" t="s">
        <v>115</v>
      </c>
      <c r="AB515" s="3" t="s">
        <v>65</v>
      </c>
      <c r="AC515" s="3" t="s">
        <v>31</v>
      </c>
      <c r="AD515" s="3">
        <v>0</v>
      </c>
    </row>
    <row r="516" spans="1:30" x14ac:dyDescent="0.3">
      <c r="A516" s="3">
        <v>194</v>
      </c>
      <c r="B516" s="3" t="s">
        <v>121</v>
      </c>
      <c r="C516" s="3" t="s">
        <v>30</v>
      </c>
      <c r="D516" s="3" t="s">
        <v>31</v>
      </c>
      <c r="E516" s="3" t="s">
        <v>32</v>
      </c>
      <c r="F516" s="12">
        <v>46023</v>
      </c>
      <c r="G516" s="3">
        <v>2026</v>
      </c>
      <c r="H516" s="3" t="s">
        <v>484</v>
      </c>
      <c r="I516" s="3" t="s">
        <v>484</v>
      </c>
      <c r="J516" s="3"/>
      <c r="K516" s="3">
        <v>85</v>
      </c>
      <c r="L516" s="3">
        <v>89.9</v>
      </c>
      <c r="M516" s="3">
        <f t="shared" ref="M516" si="93">+L516/K516</f>
        <v>1.0576470588235294</v>
      </c>
      <c r="N516" s="3">
        <f t="shared" ref="N516" si="94">+L516/K516</f>
        <v>1.0576470588235294</v>
      </c>
      <c r="O516" s="3" t="s">
        <v>58</v>
      </c>
      <c r="P516" s="3" t="s">
        <v>58</v>
      </c>
      <c r="Q516" s="3" t="str">
        <f t="shared" si="92"/>
        <v>194-2026-01-01</v>
      </c>
      <c r="R516" s="3">
        <v>0</v>
      </c>
      <c r="S516" s="3">
        <v>0</v>
      </c>
      <c r="T516" s="3" t="s">
        <v>484</v>
      </c>
      <c r="U516" s="3" t="s">
        <v>37</v>
      </c>
      <c r="V516" s="3" t="s">
        <v>30</v>
      </c>
      <c r="W516" s="3" t="s">
        <v>112</v>
      </c>
      <c r="X516" s="3" t="s">
        <v>113</v>
      </c>
      <c r="Y516" s="3" t="s">
        <v>123</v>
      </c>
      <c r="Z516" s="3" t="s">
        <v>41</v>
      </c>
      <c r="AA516" s="3" t="s">
        <v>124</v>
      </c>
      <c r="AB516" s="3" t="s">
        <v>43</v>
      </c>
      <c r="AC516" s="3" t="s">
        <v>66</v>
      </c>
      <c r="AD516" s="3">
        <v>0</v>
      </c>
    </row>
    <row r="517" spans="1:30" x14ac:dyDescent="0.3">
      <c r="A517" s="14">
        <v>200</v>
      </c>
      <c r="B517" s="3" t="s">
        <v>129</v>
      </c>
      <c r="C517" s="3" t="s">
        <v>130</v>
      </c>
      <c r="D517" s="3" t="s">
        <v>66</v>
      </c>
      <c r="E517" s="3" t="s">
        <v>32</v>
      </c>
      <c r="F517" s="12">
        <v>46023</v>
      </c>
      <c r="G517" s="3">
        <v>2026</v>
      </c>
      <c r="H517" s="3" t="s">
        <v>484</v>
      </c>
      <c r="I517" s="3" t="s">
        <v>484</v>
      </c>
      <c r="J517" s="3"/>
      <c r="K517" s="3">
        <v>80</v>
      </c>
      <c r="L517" s="3">
        <v>87.4</v>
      </c>
      <c r="M517" s="3">
        <f>+L517/K517</f>
        <v>1.0925</v>
      </c>
      <c r="N517" s="3">
        <v>1.0925</v>
      </c>
      <c r="O517" s="3" t="s">
        <v>58</v>
      </c>
      <c r="P517" s="3" t="s">
        <v>58</v>
      </c>
      <c r="Q517" s="3" t="str">
        <f t="shared" si="92"/>
        <v>200-2026-01-01</v>
      </c>
      <c r="R517" s="3">
        <v>0</v>
      </c>
      <c r="S517" s="3">
        <v>1</v>
      </c>
      <c r="T517" s="3" t="s">
        <v>484</v>
      </c>
      <c r="U517" s="3" t="s">
        <v>37</v>
      </c>
      <c r="V517" s="3" t="s">
        <v>130</v>
      </c>
      <c r="W517" s="3" t="s">
        <v>60</v>
      </c>
      <c r="X517" s="3" t="s">
        <v>100</v>
      </c>
      <c r="Y517" s="3" t="s">
        <v>133</v>
      </c>
      <c r="Z517" s="3" t="s">
        <v>134</v>
      </c>
      <c r="AA517" s="3" t="s">
        <v>135</v>
      </c>
      <c r="AB517" s="3" t="s">
        <v>43</v>
      </c>
      <c r="AC517" s="3" t="s">
        <v>66</v>
      </c>
      <c r="AD517" s="3">
        <v>0</v>
      </c>
    </row>
    <row r="518" spans="1:30" x14ac:dyDescent="0.3">
      <c r="A518" s="3">
        <v>202</v>
      </c>
      <c r="B518" s="3" t="s">
        <v>137</v>
      </c>
      <c r="C518" s="3" t="s">
        <v>130</v>
      </c>
      <c r="D518" s="3" t="s">
        <v>66</v>
      </c>
      <c r="E518" s="3" t="s">
        <v>32</v>
      </c>
      <c r="F518" s="12">
        <v>46023</v>
      </c>
      <c r="G518" s="3">
        <v>2026</v>
      </c>
      <c r="H518" s="3" t="s">
        <v>484</v>
      </c>
      <c r="I518" s="3" t="s">
        <v>484</v>
      </c>
      <c r="J518" s="3"/>
      <c r="K518" s="3">
        <v>68.7</v>
      </c>
      <c r="L518" s="3">
        <v>81</v>
      </c>
      <c r="M518" s="3">
        <f>+L518/K518</f>
        <v>1.1790393013100435</v>
      </c>
      <c r="N518" s="3">
        <f>+L518/K518</f>
        <v>1.1790393013100435</v>
      </c>
      <c r="O518" s="3" t="s">
        <v>245</v>
      </c>
      <c r="P518" s="3" t="s">
        <v>35</v>
      </c>
      <c r="Q518" s="3" t="str">
        <f t="shared" si="92"/>
        <v>202-2026-01-01</v>
      </c>
      <c r="R518" s="3">
        <v>1</v>
      </c>
      <c r="S518" s="3">
        <v>1</v>
      </c>
      <c r="T518" s="3" t="s">
        <v>484</v>
      </c>
      <c r="U518" s="3" t="s">
        <v>37</v>
      </c>
      <c r="V518" s="3" t="s">
        <v>130</v>
      </c>
      <c r="W518" s="3" t="s">
        <v>60</v>
      </c>
      <c r="X518" s="3" t="s">
        <v>100</v>
      </c>
      <c r="Y518" s="3" t="s">
        <v>139</v>
      </c>
      <c r="Z518" s="3" t="s">
        <v>63</v>
      </c>
      <c r="AA518" s="3" t="s">
        <v>115</v>
      </c>
      <c r="AB518" s="3" t="s">
        <v>43</v>
      </c>
      <c r="AC518" s="3" t="s">
        <v>66</v>
      </c>
      <c r="AD518" s="3">
        <v>0</v>
      </c>
    </row>
    <row r="519" spans="1:30" x14ac:dyDescent="0.3">
      <c r="A519" s="3">
        <v>203</v>
      </c>
      <c r="B519" s="3" t="s">
        <v>141</v>
      </c>
      <c r="C519" s="3" t="s">
        <v>142</v>
      </c>
      <c r="D519" s="3" t="s">
        <v>31</v>
      </c>
      <c r="E519" s="3" t="s">
        <v>32</v>
      </c>
      <c r="F519" s="12">
        <v>46023</v>
      </c>
      <c r="G519" s="3">
        <v>2026</v>
      </c>
      <c r="H519" s="3" t="s">
        <v>484</v>
      </c>
      <c r="I519" s="3" t="s">
        <v>484</v>
      </c>
      <c r="J519" s="3"/>
      <c r="K519" s="3">
        <f>+K203+K206+K209+K479</f>
        <v>1088227.5892360001</v>
      </c>
      <c r="L519" s="3">
        <f>+L203+L206+L209+L479</f>
        <v>1146226.222453973</v>
      </c>
      <c r="M519" s="3">
        <f t="shared" ref="M519" si="95">+L519/K519</f>
        <v>1.053296418682687</v>
      </c>
      <c r="N519" s="3">
        <f t="shared" ref="N519" si="96">+L519/K519</f>
        <v>1.053296418682687</v>
      </c>
      <c r="O519" s="3" t="s">
        <v>143</v>
      </c>
      <c r="P519" s="3" t="s">
        <v>143</v>
      </c>
      <c r="Q519" s="3" t="str">
        <f t="shared" si="92"/>
        <v>203-2026-01-01</v>
      </c>
      <c r="R519" s="3">
        <v>0</v>
      </c>
      <c r="S519" s="3">
        <v>0</v>
      </c>
      <c r="T519" s="3" t="s">
        <v>484</v>
      </c>
      <c r="U519" s="3" t="s">
        <v>37</v>
      </c>
      <c r="V519" s="3" t="s">
        <v>142</v>
      </c>
      <c r="W519" s="3" t="s">
        <v>145</v>
      </c>
      <c r="X519" s="3" t="s">
        <v>146</v>
      </c>
      <c r="Y519" s="3" t="s">
        <v>147</v>
      </c>
      <c r="Z519" s="3" t="s">
        <v>63</v>
      </c>
      <c r="AA519" s="3" t="s">
        <v>148</v>
      </c>
      <c r="AB519" s="3" t="s">
        <v>78</v>
      </c>
      <c r="AC519" s="3" t="s">
        <v>66</v>
      </c>
      <c r="AD519" s="3">
        <v>0</v>
      </c>
    </row>
    <row r="520" spans="1:30" x14ac:dyDescent="0.3">
      <c r="A520" s="3">
        <v>204</v>
      </c>
      <c r="B520" s="3" t="s">
        <v>154</v>
      </c>
      <c r="C520" s="3" t="s">
        <v>142</v>
      </c>
      <c r="D520" s="3" t="s">
        <v>31</v>
      </c>
      <c r="E520" s="3" t="s">
        <v>32</v>
      </c>
      <c r="F520" s="12">
        <v>46023</v>
      </c>
      <c r="G520" s="3">
        <v>2026</v>
      </c>
      <c r="H520" s="3" t="s">
        <v>484</v>
      </c>
      <c r="I520" s="3" t="s">
        <v>484</v>
      </c>
      <c r="J520" s="3"/>
      <c r="K520" s="3"/>
      <c r="L520" s="3">
        <f>128448131182/1000000</f>
        <v>128448.131182</v>
      </c>
      <c r="M520" s="3"/>
      <c r="N520" s="3"/>
      <c r="O520" s="3" t="s">
        <v>143</v>
      </c>
      <c r="P520" s="3" t="s">
        <v>143</v>
      </c>
      <c r="Q520" s="3" t="str">
        <f t="shared" si="92"/>
        <v>204-2026-01-01</v>
      </c>
      <c r="R520" s="3">
        <v>0</v>
      </c>
      <c r="S520" s="3">
        <v>0</v>
      </c>
      <c r="T520" s="3" t="s">
        <v>484</v>
      </c>
      <c r="U520" s="3" t="s">
        <v>37</v>
      </c>
      <c r="V520" s="3" t="s">
        <v>142</v>
      </c>
      <c r="W520" s="3" t="s">
        <v>145</v>
      </c>
      <c r="X520" s="3" t="s">
        <v>146</v>
      </c>
      <c r="Y520" s="3" t="s">
        <v>147</v>
      </c>
      <c r="Z520" s="3" t="s">
        <v>63</v>
      </c>
      <c r="AA520" s="3" t="s">
        <v>148</v>
      </c>
      <c r="AB520" s="3" t="s">
        <v>43</v>
      </c>
      <c r="AC520" s="3" t="s">
        <v>66</v>
      </c>
      <c r="AD520" s="3">
        <v>0</v>
      </c>
    </row>
    <row r="521" spans="1:30" x14ac:dyDescent="0.3">
      <c r="A521" s="3">
        <v>205</v>
      </c>
      <c r="B521" s="3" t="s">
        <v>161</v>
      </c>
      <c r="C521" s="3" t="s">
        <v>142</v>
      </c>
      <c r="D521" s="3" t="s">
        <v>31</v>
      </c>
      <c r="E521" s="3" t="s">
        <v>32</v>
      </c>
      <c r="F521" s="12">
        <v>46023</v>
      </c>
      <c r="G521" s="3">
        <v>2026</v>
      </c>
      <c r="H521" s="3" t="s">
        <v>484</v>
      </c>
      <c r="I521" s="3" t="s">
        <v>484</v>
      </c>
      <c r="J521" s="3"/>
      <c r="K521" s="3">
        <v>4684</v>
      </c>
      <c r="L521" s="3">
        <v>4684</v>
      </c>
      <c r="M521" s="3">
        <v>1.3</v>
      </c>
      <c r="N521" s="3">
        <v>1.8631019332578229</v>
      </c>
      <c r="O521" s="3" t="s">
        <v>143</v>
      </c>
      <c r="P521" s="3" t="s">
        <v>143</v>
      </c>
      <c r="Q521" s="3" t="str">
        <f t="shared" si="92"/>
        <v>205-2026-01-01</v>
      </c>
      <c r="R521" s="3">
        <v>0</v>
      </c>
      <c r="S521" s="3">
        <v>0</v>
      </c>
      <c r="T521" s="3" t="s">
        <v>484</v>
      </c>
      <c r="U521" s="3" t="s">
        <v>37</v>
      </c>
      <c r="V521" s="3" t="s">
        <v>142</v>
      </c>
      <c r="W521" s="3" t="s">
        <v>145</v>
      </c>
      <c r="X521" s="3" t="s">
        <v>146</v>
      </c>
      <c r="Y521" s="3" t="s">
        <v>147</v>
      </c>
      <c r="Z521" s="3" t="s">
        <v>63</v>
      </c>
      <c r="AA521" s="3" t="s">
        <v>148</v>
      </c>
      <c r="AB521" s="3" t="s">
        <v>78</v>
      </c>
      <c r="AC521" s="3" t="s">
        <v>66</v>
      </c>
      <c r="AD521" s="3">
        <v>0</v>
      </c>
    </row>
    <row r="522" spans="1:30" x14ac:dyDescent="0.3">
      <c r="A522" s="3">
        <v>244</v>
      </c>
      <c r="B522" s="3" t="s">
        <v>182</v>
      </c>
      <c r="C522" s="3" t="s">
        <v>177</v>
      </c>
      <c r="D522" s="3" t="s">
        <v>66</v>
      </c>
      <c r="E522" s="3" t="s">
        <v>171</v>
      </c>
      <c r="F522" s="12">
        <v>46023</v>
      </c>
      <c r="G522" s="3">
        <v>2026</v>
      </c>
      <c r="H522" s="3" t="s">
        <v>484</v>
      </c>
      <c r="I522" s="3" t="s">
        <v>484</v>
      </c>
      <c r="J522" s="3"/>
      <c r="K522" s="3">
        <v>25</v>
      </c>
      <c r="L522" s="3">
        <v>13</v>
      </c>
      <c r="M522" s="3">
        <f>IF(K522/L522&gt;1.3,1.3,K522/L522)</f>
        <v>1.3</v>
      </c>
      <c r="N522" s="3">
        <f>+K522/L522</f>
        <v>1.9230769230769231</v>
      </c>
      <c r="O522" s="3" t="s">
        <v>35</v>
      </c>
      <c r="P522" s="3" t="s">
        <v>35</v>
      </c>
      <c r="Q522" s="3" t="str">
        <f t="shared" si="92"/>
        <v>244-2026-01-01</v>
      </c>
      <c r="R522" s="3">
        <v>0</v>
      </c>
      <c r="S522" s="3">
        <v>0</v>
      </c>
      <c r="T522" s="3" t="s">
        <v>484</v>
      </c>
      <c r="U522" s="3" t="s">
        <v>37</v>
      </c>
      <c r="V522" s="3" t="s">
        <v>177</v>
      </c>
      <c r="W522" s="3" t="s">
        <v>145</v>
      </c>
      <c r="X522" s="3" t="s">
        <v>179</v>
      </c>
      <c r="Y522" s="3" t="s">
        <v>180</v>
      </c>
      <c r="Z522" s="3" t="s">
        <v>63</v>
      </c>
      <c r="AA522" s="3" t="s">
        <v>64</v>
      </c>
      <c r="AB522" s="3" t="s">
        <v>43</v>
      </c>
      <c r="AC522" s="3" t="s">
        <v>66</v>
      </c>
      <c r="AD522" s="3">
        <v>0</v>
      </c>
    </row>
    <row r="523" spans="1:30" x14ac:dyDescent="0.3">
      <c r="A523" s="3">
        <v>245</v>
      </c>
      <c r="B523" s="3" t="s">
        <v>185</v>
      </c>
      <c r="C523" s="3" t="s">
        <v>186</v>
      </c>
      <c r="D523" s="3" t="s">
        <v>31</v>
      </c>
      <c r="E523" s="3" t="s">
        <v>32</v>
      </c>
      <c r="F523" s="12">
        <v>46023</v>
      </c>
      <c r="G523" s="3">
        <v>2026</v>
      </c>
      <c r="H523" s="3" t="s">
        <v>484</v>
      </c>
      <c r="I523" s="3" t="s">
        <v>484</v>
      </c>
      <c r="J523" s="3"/>
      <c r="K523" s="3">
        <v>86.1</v>
      </c>
      <c r="L523" s="3">
        <v>86.2</v>
      </c>
      <c r="M523" s="3">
        <f t="shared" ref="M523:M524" si="97">+L523/K523</f>
        <v>1.0011614401858304</v>
      </c>
      <c r="N523" s="3">
        <f t="shared" ref="N523:N524" si="98">+L523/K523</f>
        <v>1.0011614401858304</v>
      </c>
      <c r="O523" s="3" t="s">
        <v>58</v>
      </c>
      <c r="P523" s="3" t="s">
        <v>58</v>
      </c>
      <c r="Q523" s="3" t="str">
        <f t="shared" si="92"/>
        <v>245-2026-01-01</v>
      </c>
      <c r="R523" s="3">
        <v>1</v>
      </c>
      <c r="S523" s="3">
        <v>1</v>
      </c>
      <c r="T523" s="3" t="s">
        <v>484</v>
      </c>
      <c r="U523" s="3" t="s">
        <v>37</v>
      </c>
      <c r="V523" s="3" t="s">
        <v>186</v>
      </c>
      <c r="W523" s="3" t="s">
        <v>112</v>
      </c>
      <c r="X523" s="3" t="s">
        <v>113</v>
      </c>
      <c r="Y523" s="3" t="s">
        <v>123</v>
      </c>
      <c r="Z523" s="3" t="s">
        <v>41</v>
      </c>
      <c r="AA523" s="3" t="s">
        <v>42</v>
      </c>
      <c r="AB523" s="3" t="s">
        <v>65</v>
      </c>
      <c r="AC523" s="3" t="s">
        <v>31</v>
      </c>
      <c r="AD523" s="3">
        <v>0</v>
      </c>
    </row>
    <row r="524" spans="1:30" x14ac:dyDescent="0.3">
      <c r="A524" s="3">
        <v>274</v>
      </c>
      <c r="B524" s="3" t="s">
        <v>480</v>
      </c>
      <c r="C524" s="3" t="s">
        <v>194</v>
      </c>
      <c r="D524" s="3" t="s">
        <v>31</v>
      </c>
      <c r="E524" s="3" t="s">
        <v>32</v>
      </c>
      <c r="F524" s="12">
        <v>46023</v>
      </c>
      <c r="G524" s="3">
        <v>2026</v>
      </c>
      <c r="H524" s="3" t="s">
        <v>484</v>
      </c>
      <c r="I524" s="3" t="s">
        <v>484</v>
      </c>
      <c r="J524" s="3"/>
      <c r="K524" s="3">
        <v>44737</v>
      </c>
      <c r="L524" s="11">
        <v>45646</v>
      </c>
      <c r="M524" s="3">
        <f t="shared" si="97"/>
        <v>1.02031875181617</v>
      </c>
      <c r="N524" s="3">
        <f t="shared" si="98"/>
        <v>1.02031875181617</v>
      </c>
      <c r="O524" s="3" t="s">
        <v>35</v>
      </c>
      <c r="P524" s="3" t="s">
        <v>35</v>
      </c>
      <c r="Q524" s="3" t="str">
        <f t="shared" si="92"/>
        <v>274-2026-01-01</v>
      </c>
      <c r="R524" s="3">
        <v>0</v>
      </c>
      <c r="S524" s="3">
        <v>0</v>
      </c>
      <c r="T524" s="3" t="s">
        <v>484</v>
      </c>
      <c r="U524" s="3" t="s">
        <v>37</v>
      </c>
      <c r="V524" s="3" t="s">
        <v>194</v>
      </c>
      <c r="W524" s="3" t="s">
        <v>38</v>
      </c>
      <c r="X524" s="3" t="s">
        <v>39</v>
      </c>
      <c r="Y524" s="3" t="s">
        <v>40</v>
      </c>
      <c r="Z524" s="3" t="s">
        <v>41</v>
      </c>
      <c r="AA524" s="3" t="s">
        <v>42</v>
      </c>
      <c r="AB524" s="3" t="s">
        <v>78</v>
      </c>
      <c r="AC524" s="3" t="s">
        <v>31</v>
      </c>
      <c r="AD524" s="3">
        <v>0</v>
      </c>
    </row>
    <row r="525" spans="1:30" x14ac:dyDescent="0.3">
      <c r="A525" s="3">
        <v>276</v>
      </c>
      <c r="B525" s="3" t="s">
        <v>201</v>
      </c>
      <c r="C525" s="3" t="s">
        <v>202</v>
      </c>
      <c r="D525" s="3" t="s">
        <v>31</v>
      </c>
      <c r="E525" s="3" t="s">
        <v>171</v>
      </c>
      <c r="F525" s="12">
        <v>46023</v>
      </c>
      <c r="G525" s="3">
        <v>2026</v>
      </c>
      <c r="H525" s="3" t="s">
        <v>484</v>
      </c>
      <c r="I525" s="3" t="s">
        <v>484</v>
      </c>
      <c r="J525" s="3"/>
      <c r="K525" s="3">
        <v>81</v>
      </c>
      <c r="L525" s="3">
        <v>82.81</v>
      </c>
      <c r="M525" s="3">
        <f t="shared" ref="M525:M526" si="99">+K525/L525</f>
        <v>0.97814273638449456</v>
      </c>
      <c r="N525" s="3">
        <f t="shared" ref="N525:N526" si="100">+K525/L525</f>
        <v>0.97814273638449456</v>
      </c>
      <c r="O525" s="3" t="s">
        <v>35</v>
      </c>
      <c r="P525" s="3" t="s">
        <v>245</v>
      </c>
      <c r="Q525" s="3" t="str">
        <f t="shared" si="92"/>
        <v>276-2026-01-01</v>
      </c>
      <c r="R525" s="3">
        <v>0</v>
      </c>
      <c r="S525" s="3">
        <v>1</v>
      </c>
      <c r="T525" s="3" t="s">
        <v>484</v>
      </c>
      <c r="U525" s="3" t="s">
        <v>37</v>
      </c>
      <c r="V525" s="3" t="s">
        <v>202</v>
      </c>
      <c r="W525" s="3" t="s">
        <v>73</v>
      </c>
      <c r="X525" s="3" t="s">
        <v>74</v>
      </c>
      <c r="Y525" s="3" t="s">
        <v>585</v>
      </c>
      <c r="Z525" s="3" t="s">
        <v>86</v>
      </c>
      <c r="AA525" s="3" t="s">
        <v>204</v>
      </c>
      <c r="AB525" s="3" t="s">
        <v>65</v>
      </c>
      <c r="AC525" s="3" t="s">
        <v>31</v>
      </c>
      <c r="AD525" s="3">
        <v>0</v>
      </c>
    </row>
    <row r="526" spans="1:30" x14ac:dyDescent="0.3">
      <c r="A526" s="3">
        <v>277</v>
      </c>
      <c r="B526" s="3" t="s">
        <v>210</v>
      </c>
      <c r="C526" s="3" t="s">
        <v>202</v>
      </c>
      <c r="D526" s="3" t="s">
        <v>31</v>
      </c>
      <c r="E526" s="3" t="s">
        <v>171</v>
      </c>
      <c r="F526" s="12">
        <v>46023</v>
      </c>
      <c r="G526" s="3">
        <v>2026</v>
      </c>
      <c r="H526" s="3" t="s">
        <v>484</v>
      </c>
      <c r="I526" s="3" t="s">
        <v>484</v>
      </c>
      <c r="J526" s="3"/>
      <c r="K526" s="3">
        <v>71</v>
      </c>
      <c r="L526" s="3">
        <v>68.400000000000006</v>
      </c>
      <c r="M526" s="3">
        <f t="shared" si="99"/>
        <v>1.0380116959064327</v>
      </c>
      <c r="N526" s="3">
        <f t="shared" si="100"/>
        <v>1.0380116959064327</v>
      </c>
      <c r="O526" s="3" t="s">
        <v>35</v>
      </c>
      <c r="P526" s="3" t="s">
        <v>245</v>
      </c>
      <c r="Q526" s="3" t="str">
        <f t="shared" si="92"/>
        <v>277-2026-01-01</v>
      </c>
      <c r="R526" s="3">
        <v>1</v>
      </c>
      <c r="S526" s="3">
        <v>1</v>
      </c>
      <c r="T526" s="3" t="s">
        <v>484</v>
      </c>
      <c r="U526" s="3" t="s">
        <v>37</v>
      </c>
      <c r="V526" s="3" t="s">
        <v>202</v>
      </c>
      <c r="W526" s="3" t="s">
        <v>73</v>
      </c>
      <c r="X526" s="3" t="s">
        <v>74</v>
      </c>
      <c r="Y526" s="3" t="s">
        <v>585</v>
      </c>
      <c r="Z526" s="3" t="s">
        <v>86</v>
      </c>
      <c r="AA526" s="3" t="s">
        <v>204</v>
      </c>
      <c r="AB526" s="3" t="s">
        <v>65</v>
      </c>
      <c r="AC526" s="3" t="s">
        <v>31</v>
      </c>
      <c r="AD526" s="3">
        <v>0</v>
      </c>
    </row>
    <row r="527" spans="1:30" x14ac:dyDescent="0.3">
      <c r="A527" s="3">
        <v>332</v>
      </c>
      <c r="B527" s="3" t="s">
        <v>239</v>
      </c>
      <c r="C527" s="3" t="s">
        <v>130</v>
      </c>
      <c r="D527" s="3" t="s">
        <v>31</v>
      </c>
      <c r="E527" s="3" t="s">
        <v>171</v>
      </c>
      <c r="F527" s="12">
        <v>46023</v>
      </c>
      <c r="G527" s="3">
        <v>2026</v>
      </c>
      <c r="H527" s="3" t="s">
        <v>484</v>
      </c>
      <c r="I527" s="3" t="s">
        <v>484</v>
      </c>
      <c r="J527" s="3"/>
      <c r="K527" s="3">
        <v>1.4</v>
      </c>
      <c r="L527" s="3">
        <v>0.85</v>
      </c>
      <c r="M527" s="3">
        <v>1.3</v>
      </c>
      <c r="N527" s="3">
        <v>1.6470588235294119</v>
      </c>
      <c r="O527" s="3" t="s">
        <v>245</v>
      </c>
      <c r="P527" s="3" t="s">
        <v>245</v>
      </c>
      <c r="Q527" s="3" t="str">
        <f t="shared" si="92"/>
        <v>332-2026-01-01</v>
      </c>
      <c r="R527" s="3">
        <v>2</v>
      </c>
      <c r="S527" s="3">
        <v>2</v>
      </c>
      <c r="T527" s="3" t="s">
        <v>484</v>
      </c>
      <c r="U527" s="3" t="s">
        <v>37</v>
      </c>
      <c r="V527" s="3" t="s">
        <v>130</v>
      </c>
      <c r="W527" s="3" t="s">
        <v>60</v>
      </c>
      <c r="X527" s="3" t="s">
        <v>100</v>
      </c>
      <c r="Y527" s="3" t="s">
        <v>586</v>
      </c>
      <c r="Z527" s="3" t="s">
        <v>134</v>
      </c>
      <c r="AA527" s="3" t="s">
        <v>135</v>
      </c>
      <c r="AB527" s="3" t="s">
        <v>65</v>
      </c>
      <c r="AC527" s="3" t="s">
        <v>66</v>
      </c>
      <c r="AD527" s="3">
        <v>0</v>
      </c>
    </row>
    <row r="528" spans="1:30" x14ac:dyDescent="0.3">
      <c r="A528" s="3">
        <v>364</v>
      </c>
      <c r="B528" s="3" t="s">
        <v>271</v>
      </c>
      <c r="C528" s="3" t="s">
        <v>267</v>
      </c>
      <c r="D528" s="3" t="s">
        <v>31</v>
      </c>
      <c r="E528" s="3" t="s">
        <v>171</v>
      </c>
      <c r="F528" s="12">
        <v>46023</v>
      </c>
      <c r="G528" s="3">
        <v>2026</v>
      </c>
      <c r="H528" s="3" t="s">
        <v>484</v>
      </c>
      <c r="I528" s="3" t="s">
        <v>484</v>
      </c>
      <c r="J528" s="3"/>
      <c r="K528" s="3">
        <f>+K369+K501</f>
        <v>162432</v>
      </c>
      <c r="L528" s="3">
        <f>+L369+L501</f>
        <v>158937</v>
      </c>
      <c r="M528" s="3">
        <f t="shared" ref="M528" si="101">+L528/K528</f>
        <v>0.97848330378250592</v>
      </c>
      <c r="N528" s="3">
        <f t="shared" ref="N528" si="102">+L528/K528</f>
        <v>0.97848330378250592</v>
      </c>
      <c r="O528" s="3" t="s">
        <v>35</v>
      </c>
      <c r="P528" s="3" t="s">
        <v>35</v>
      </c>
      <c r="Q528" s="3" t="str">
        <f t="shared" si="92"/>
        <v>364-2026-01-01</v>
      </c>
      <c r="R528" s="3">
        <v>0</v>
      </c>
      <c r="S528" s="3">
        <v>0</v>
      </c>
      <c r="T528" s="3" t="s">
        <v>484</v>
      </c>
      <c r="U528" s="3" t="s">
        <v>37</v>
      </c>
      <c r="V528" s="3" t="s">
        <v>267</v>
      </c>
      <c r="W528" s="3" t="s">
        <v>145</v>
      </c>
      <c r="X528" s="3" t="s">
        <v>179</v>
      </c>
      <c r="Y528" s="3" t="s">
        <v>273</v>
      </c>
      <c r="Z528" s="3" t="s">
        <v>274</v>
      </c>
      <c r="AA528" s="3" t="s">
        <v>275</v>
      </c>
      <c r="AB528" s="3" t="s">
        <v>78</v>
      </c>
      <c r="AC528" s="3" t="s">
        <v>66</v>
      </c>
      <c r="AD528" s="3">
        <v>0</v>
      </c>
    </row>
    <row r="529" spans="1:30" x14ac:dyDescent="0.3">
      <c r="A529" s="3">
        <v>367</v>
      </c>
      <c r="B529" s="3" t="s">
        <v>481</v>
      </c>
      <c r="C529" s="3" t="s">
        <v>267</v>
      </c>
      <c r="D529" s="3" t="s">
        <v>66</v>
      </c>
      <c r="E529" s="3" t="s">
        <v>32</v>
      </c>
      <c r="F529" s="12">
        <v>46023</v>
      </c>
      <c r="G529" s="3">
        <v>2026</v>
      </c>
      <c r="H529" s="3" t="s">
        <v>484</v>
      </c>
      <c r="I529" s="3" t="s">
        <v>484</v>
      </c>
      <c r="J529" s="3"/>
      <c r="K529" s="3">
        <v>5</v>
      </c>
      <c r="L529" s="3">
        <v>5.43</v>
      </c>
      <c r="M529" s="3">
        <f>+L529/K529</f>
        <v>1.0859999999999999</v>
      </c>
      <c r="N529" s="3">
        <f>+L529/K529</f>
        <v>1.0859999999999999</v>
      </c>
      <c r="O529" s="3" t="s">
        <v>58</v>
      </c>
      <c r="P529" s="3" t="s">
        <v>58</v>
      </c>
      <c r="Q529" s="3" t="str">
        <f t="shared" si="92"/>
        <v>367-2026-01-01</v>
      </c>
      <c r="R529" s="3">
        <v>1</v>
      </c>
      <c r="S529" s="3">
        <v>2</v>
      </c>
      <c r="T529" s="3" t="s">
        <v>484</v>
      </c>
      <c r="U529" s="3" t="s">
        <v>37</v>
      </c>
      <c r="V529" s="3" t="s">
        <v>267</v>
      </c>
      <c r="W529" s="3" t="s">
        <v>145</v>
      </c>
      <c r="X529" s="3" t="s">
        <v>179</v>
      </c>
      <c r="Y529" s="3" t="s">
        <v>281</v>
      </c>
      <c r="Z529" s="3" t="s">
        <v>41</v>
      </c>
      <c r="AA529" s="3" t="s">
        <v>42</v>
      </c>
      <c r="AB529" s="3" t="s">
        <v>43</v>
      </c>
      <c r="AC529" s="3" t="s">
        <v>66</v>
      </c>
      <c r="AD529" s="3">
        <v>0</v>
      </c>
    </row>
    <row r="530" spans="1:30" x14ac:dyDescent="0.3">
      <c r="A530" s="3">
        <v>369</v>
      </c>
      <c r="B530" s="3" t="s">
        <v>283</v>
      </c>
      <c r="C530" s="3" t="s">
        <v>267</v>
      </c>
      <c r="D530" s="3" t="s">
        <v>31</v>
      </c>
      <c r="E530" s="3" t="s">
        <v>32</v>
      </c>
      <c r="F530" s="12">
        <v>46023</v>
      </c>
      <c r="G530" s="3">
        <v>2026</v>
      </c>
      <c r="H530" s="3" t="s">
        <v>484</v>
      </c>
      <c r="I530" s="3" t="s">
        <v>484</v>
      </c>
      <c r="J530" s="3"/>
      <c r="K530" s="3">
        <f>+K502+K383</f>
        <v>378</v>
      </c>
      <c r="L530" s="3">
        <f>+L502+L383</f>
        <v>328</v>
      </c>
      <c r="M530" s="3">
        <f t="shared" ref="M530:M531" si="103">+L530/K530</f>
        <v>0.86772486772486768</v>
      </c>
      <c r="N530" s="3">
        <f>+L530/K530</f>
        <v>0.86772486772486768</v>
      </c>
      <c r="O530" s="3" t="s">
        <v>35</v>
      </c>
      <c r="P530" s="3" t="s">
        <v>35</v>
      </c>
      <c r="Q530" s="3" t="str">
        <f t="shared" si="92"/>
        <v>369-2026-01-01</v>
      </c>
      <c r="R530" s="3">
        <v>0</v>
      </c>
      <c r="S530" s="3">
        <v>0</v>
      </c>
      <c r="T530" s="3" t="s">
        <v>484</v>
      </c>
      <c r="U530" s="3" t="s">
        <v>37</v>
      </c>
      <c r="V530" s="3" t="s">
        <v>267</v>
      </c>
      <c r="W530" s="3" t="s">
        <v>145</v>
      </c>
      <c r="X530" s="3" t="s">
        <v>179</v>
      </c>
      <c r="Y530" s="3" t="s">
        <v>273</v>
      </c>
      <c r="Z530" s="3" t="s">
        <v>41</v>
      </c>
      <c r="AA530" s="3" t="s">
        <v>42</v>
      </c>
      <c r="AB530" s="3" t="s">
        <v>78</v>
      </c>
      <c r="AC530" s="3" t="s">
        <v>66</v>
      </c>
      <c r="AD530" s="3">
        <v>0</v>
      </c>
    </row>
    <row r="531" spans="1:30" x14ac:dyDescent="0.3">
      <c r="A531" s="3">
        <v>376</v>
      </c>
      <c r="B531" s="3" t="s">
        <v>473</v>
      </c>
      <c r="C531" s="3" t="s">
        <v>142</v>
      </c>
      <c r="D531" s="3" t="s">
        <v>31</v>
      </c>
      <c r="E531" s="3" t="s">
        <v>32</v>
      </c>
      <c r="F531" s="12">
        <v>46023</v>
      </c>
      <c r="G531" s="3">
        <v>2026</v>
      </c>
      <c r="H531" s="3" t="s">
        <v>484</v>
      </c>
      <c r="I531" s="3" t="s">
        <v>484</v>
      </c>
      <c r="J531" s="3"/>
      <c r="K531" s="3">
        <f>+K393+K391+K389+K387</f>
        <v>101274.06472913575</v>
      </c>
      <c r="L531" s="3">
        <f>+L393+L391+L389+L387</f>
        <v>112137.89274782965</v>
      </c>
      <c r="M531" s="3">
        <f t="shared" si="103"/>
        <v>1.1072715709372378</v>
      </c>
      <c r="N531" s="3">
        <f t="shared" ref="N531" si="104">+L531/K531</f>
        <v>1.1072715709372378</v>
      </c>
      <c r="O531" s="3" t="s">
        <v>143</v>
      </c>
      <c r="P531" s="3" t="s">
        <v>143</v>
      </c>
      <c r="Q531" s="3" t="str">
        <f t="shared" si="92"/>
        <v>376-2026-01-01</v>
      </c>
      <c r="R531" s="3">
        <v>0</v>
      </c>
      <c r="S531" s="3">
        <v>0</v>
      </c>
      <c r="T531" s="3" t="s">
        <v>484</v>
      </c>
      <c r="U531" s="3" t="s">
        <v>37</v>
      </c>
      <c r="V531" s="3" t="s">
        <v>142</v>
      </c>
      <c r="W531" s="3" t="s">
        <v>145</v>
      </c>
      <c r="X531" s="3" t="s">
        <v>146</v>
      </c>
      <c r="Y531" s="3" t="s">
        <v>147</v>
      </c>
      <c r="Z531" s="3" t="s">
        <v>63</v>
      </c>
      <c r="AA531" s="3" t="s">
        <v>148</v>
      </c>
      <c r="AB531" s="3" t="s">
        <v>78</v>
      </c>
      <c r="AC531" s="3" t="s">
        <v>66</v>
      </c>
      <c r="AD531" s="3">
        <v>0</v>
      </c>
    </row>
    <row r="532" spans="1:30" x14ac:dyDescent="0.3">
      <c r="A532" s="3">
        <v>379</v>
      </c>
      <c r="B532" s="3" t="s">
        <v>301</v>
      </c>
      <c r="C532" s="3" t="s">
        <v>302</v>
      </c>
      <c r="D532" s="3" t="s">
        <v>31</v>
      </c>
      <c r="E532" s="3" t="s">
        <v>32</v>
      </c>
      <c r="F532" s="12">
        <v>46023</v>
      </c>
      <c r="G532" s="3">
        <v>2026</v>
      </c>
      <c r="H532" s="3" t="s">
        <v>484</v>
      </c>
      <c r="I532" s="3" t="s">
        <v>484</v>
      </c>
      <c r="J532" s="3"/>
      <c r="K532" s="3">
        <f>+K413+K416+K419+K503</f>
        <v>90899</v>
      </c>
      <c r="L532" s="3">
        <f>+L413+L416+L419+L503</f>
        <v>92559</v>
      </c>
      <c r="M532" s="3">
        <f>+L532/K532</f>
        <v>1.0182620270850065</v>
      </c>
      <c r="N532" s="3">
        <f>+L532/K532</f>
        <v>1.0182620270850065</v>
      </c>
      <c r="O532" s="3" t="s">
        <v>35</v>
      </c>
      <c r="P532" s="3" t="s">
        <v>35</v>
      </c>
      <c r="Q532" s="3" t="str">
        <f t="shared" si="92"/>
        <v>379-2026-01-01</v>
      </c>
      <c r="R532" s="3">
        <v>0</v>
      </c>
      <c r="S532" s="3">
        <v>0</v>
      </c>
      <c r="T532" s="3" t="s">
        <v>484</v>
      </c>
      <c r="U532" s="3" t="s">
        <v>37</v>
      </c>
      <c r="V532" s="3" t="s">
        <v>302</v>
      </c>
      <c r="W532" s="3" t="s">
        <v>38</v>
      </c>
      <c r="X532" s="3" t="s">
        <v>39</v>
      </c>
      <c r="Y532" s="3" t="s">
        <v>40</v>
      </c>
      <c r="Z532" s="3" t="s">
        <v>41</v>
      </c>
      <c r="AA532" s="3" t="s">
        <v>42</v>
      </c>
      <c r="AB532" s="3" t="s">
        <v>78</v>
      </c>
      <c r="AC532" s="3" t="s">
        <v>31</v>
      </c>
      <c r="AD532" s="3">
        <v>0</v>
      </c>
    </row>
    <row r="533" spans="1:30" x14ac:dyDescent="0.3">
      <c r="A533" s="3">
        <v>385</v>
      </c>
      <c r="B533" s="3" t="s">
        <v>309</v>
      </c>
      <c r="C533" s="3" t="s">
        <v>310</v>
      </c>
      <c r="D533" s="3" t="s">
        <v>31</v>
      </c>
      <c r="E533" s="3" t="s">
        <v>32</v>
      </c>
      <c r="F533" s="12">
        <v>46023</v>
      </c>
      <c r="G533" s="3">
        <v>2026</v>
      </c>
      <c r="H533" s="3" t="s">
        <v>484</v>
      </c>
      <c r="I533" s="3" t="s">
        <v>484</v>
      </c>
      <c r="J533" s="3"/>
      <c r="K533" s="3">
        <f>+K484+K427+K425+K423</f>
        <v>60024.456511000004</v>
      </c>
      <c r="L533" s="3">
        <f>+L484+L427+L425+L423</f>
        <v>59545.798287999998</v>
      </c>
      <c r="M533" s="3">
        <f>L533/K533</f>
        <v>0.99202561337790229</v>
      </c>
      <c r="N533" s="3">
        <f>L533/K533</f>
        <v>0.99202561337790229</v>
      </c>
      <c r="O533" s="3" t="s">
        <v>143</v>
      </c>
      <c r="P533" s="3" t="s">
        <v>143</v>
      </c>
      <c r="Q533" s="3" t="str">
        <f t="shared" si="92"/>
        <v>385-2026-01-01</v>
      </c>
      <c r="R533" s="3">
        <v>0</v>
      </c>
      <c r="S533" s="3">
        <v>0</v>
      </c>
      <c r="T533" s="3" t="s">
        <v>484</v>
      </c>
      <c r="U533" s="3" t="s">
        <v>37</v>
      </c>
      <c r="V533" s="3" t="s">
        <v>310</v>
      </c>
      <c r="W533" s="3" t="s">
        <v>312</v>
      </c>
      <c r="X533" s="3" t="s">
        <v>313</v>
      </c>
      <c r="Y533" s="3" t="s">
        <v>314</v>
      </c>
      <c r="Z533" s="3"/>
      <c r="AA533" s="3"/>
      <c r="AB533" s="3" t="s">
        <v>43</v>
      </c>
      <c r="AC533" s="3" t="s">
        <v>66</v>
      </c>
      <c r="AD533" s="3">
        <v>0</v>
      </c>
    </row>
    <row r="534" spans="1:30" x14ac:dyDescent="0.3">
      <c r="A534" s="3">
        <v>386.1</v>
      </c>
      <c r="B534" s="3" t="s">
        <v>377</v>
      </c>
      <c r="C534" s="3" t="s">
        <v>310</v>
      </c>
      <c r="D534" s="3" t="s">
        <v>31</v>
      </c>
      <c r="E534" s="3" t="s">
        <v>32</v>
      </c>
      <c r="F534" s="12">
        <v>46023</v>
      </c>
      <c r="G534" s="3">
        <v>2026</v>
      </c>
      <c r="H534" s="3" t="s">
        <v>484</v>
      </c>
      <c r="I534" s="3" t="s">
        <v>484</v>
      </c>
      <c r="J534" s="3"/>
      <c r="K534" s="3">
        <f>+K483+K434+K432+K430</f>
        <v>9719.0247151999993</v>
      </c>
      <c r="L534" s="3">
        <f>+L483+L434+L432+L430</f>
        <v>14069.243124000001</v>
      </c>
      <c r="M534" s="3">
        <f>IF(+L534/K534&gt;1.3,1.3,L534/K534)</f>
        <v>1.3</v>
      </c>
      <c r="N534" s="3">
        <f>+L534/K534</f>
        <v>1.4475982453256353</v>
      </c>
      <c r="O534" s="3" t="s">
        <v>143</v>
      </c>
      <c r="P534" s="3" t="s">
        <v>143</v>
      </c>
      <c r="Q534" s="3" t="str">
        <f t="shared" si="92"/>
        <v>386,1-2026-01-01</v>
      </c>
      <c r="R534" s="3">
        <v>0</v>
      </c>
      <c r="S534" s="3">
        <v>0</v>
      </c>
      <c r="T534" s="3" t="s">
        <v>484</v>
      </c>
      <c r="U534" s="3" t="s">
        <v>37</v>
      </c>
      <c r="V534" s="3" t="s">
        <v>310</v>
      </c>
      <c r="W534" s="3" t="s">
        <v>312</v>
      </c>
      <c r="X534" s="3" t="s">
        <v>313</v>
      </c>
      <c r="Y534" s="3" t="s">
        <v>314</v>
      </c>
      <c r="Z534" s="3"/>
      <c r="AA534" s="3"/>
      <c r="AB534" s="3" t="s">
        <v>78</v>
      </c>
      <c r="AC534" s="3" t="s">
        <v>66</v>
      </c>
      <c r="AD534" s="3">
        <v>0</v>
      </c>
    </row>
    <row r="535" spans="1:30" x14ac:dyDescent="0.3">
      <c r="A535" s="3">
        <v>386.2</v>
      </c>
      <c r="B535" s="3" t="s">
        <v>382</v>
      </c>
      <c r="C535" s="3" t="s">
        <v>310</v>
      </c>
      <c r="D535" s="3" t="s">
        <v>31</v>
      </c>
      <c r="E535" s="3" t="s">
        <v>32</v>
      </c>
      <c r="F535" s="12">
        <v>46023</v>
      </c>
      <c r="G535" s="3">
        <v>2026</v>
      </c>
      <c r="H535" s="3" t="s">
        <v>484</v>
      </c>
      <c r="I535" s="3" t="s">
        <v>484</v>
      </c>
      <c r="J535" s="3"/>
      <c r="K535" s="3">
        <f>+K443+K441+K439+K437</f>
        <v>27575.2022841</v>
      </c>
      <c r="L535" s="3">
        <f>+L443+L441+L439+L437</f>
        <v>26848.239661</v>
      </c>
      <c r="M535" s="3">
        <f t="shared" ref="M535" si="105">L535/K535</f>
        <v>0.97363708829366702</v>
      </c>
      <c r="N535" s="3">
        <f t="shared" ref="N535:N536" si="106">L535/K535</f>
        <v>0.97363708829366702</v>
      </c>
      <c r="O535" s="3" t="s">
        <v>143</v>
      </c>
      <c r="P535" s="3" t="s">
        <v>143</v>
      </c>
      <c r="Q535" s="3" t="str">
        <f t="shared" si="92"/>
        <v>386,2-2026-01-01</v>
      </c>
      <c r="R535" s="3">
        <v>0</v>
      </c>
      <c r="S535" s="3">
        <v>0</v>
      </c>
      <c r="T535" s="3" t="s">
        <v>484</v>
      </c>
      <c r="U535" s="3" t="s">
        <v>37</v>
      </c>
      <c r="V535" s="3" t="s">
        <v>310</v>
      </c>
      <c r="W535" s="3" t="s">
        <v>312</v>
      </c>
      <c r="X535" s="3" t="s">
        <v>313</v>
      </c>
      <c r="Y535" s="3" t="s">
        <v>314</v>
      </c>
      <c r="Z535" s="3"/>
      <c r="AA535" s="3"/>
      <c r="AB535" s="3" t="s">
        <v>78</v>
      </c>
      <c r="AC535" s="3" t="s">
        <v>66</v>
      </c>
      <c r="AD535" s="3">
        <v>0</v>
      </c>
    </row>
    <row r="536" spans="1:30" x14ac:dyDescent="0.3">
      <c r="A536" s="3">
        <v>386.3</v>
      </c>
      <c r="B536" s="3" t="s">
        <v>387</v>
      </c>
      <c r="C536" s="3" t="s">
        <v>310</v>
      </c>
      <c r="D536" s="3" t="s">
        <v>31</v>
      </c>
      <c r="E536" s="3" t="s">
        <v>32</v>
      </c>
      <c r="F536" s="12">
        <v>46023</v>
      </c>
      <c r="G536" s="3">
        <v>2026</v>
      </c>
      <c r="H536" s="3" t="s">
        <v>484</v>
      </c>
      <c r="I536" s="3" t="s">
        <v>484</v>
      </c>
      <c r="J536" s="3"/>
      <c r="K536" s="3">
        <f>+K451+K449+K447+K445</f>
        <v>19404.541402700001</v>
      </c>
      <c r="L536" s="3">
        <f>+L451+L449+L447+L445</f>
        <v>18628.315503000002</v>
      </c>
      <c r="M536" s="3">
        <f t="shared" ref="M536" si="107">IF(L536/K536&gt;1.3,1.3,L536/K536)</f>
        <v>0.95999771993622107</v>
      </c>
      <c r="N536" s="3">
        <f t="shared" si="106"/>
        <v>0.95999771993622107</v>
      </c>
      <c r="O536" s="3" t="s">
        <v>143</v>
      </c>
      <c r="P536" s="3" t="s">
        <v>143</v>
      </c>
      <c r="Q536" s="3" t="str">
        <f t="shared" si="92"/>
        <v>386,3-2026-01-01</v>
      </c>
      <c r="R536" s="3">
        <v>0</v>
      </c>
      <c r="S536" s="3">
        <v>0</v>
      </c>
      <c r="T536" s="3" t="s">
        <v>484</v>
      </c>
      <c r="U536" s="3" t="s">
        <v>37</v>
      </c>
      <c r="V536" s="3" t="s">
        <v>310</v>
      </c>
      <c r="W536" s="3" t="s">
        <v>312</v>
      </c>
      <c r="X536" s="3" t="s">
        <v>313</v>
      </c>
      <c r="Y536" s="3" t="s">
        <v>314</v>
      </c>
      <c r="Z536" s="3"/>
      <c r="AA536" s="3"/>
      <c r="AB536" s="3" t="s">
        <v>78</v>
      </c>
      <c r="AC536" s="3" t="s">
        <v>66</v>
      </c>
      <c r="AD536" s="3">
        <v>0</v>
      </c>
    </row>
    <row r="537" spans="1:30" x14ac:dyDescent="0.3">
      <c r="A537" s="3">
        <v>423</v>
      </c>
      <c r="B537" s="3" t="s">
        <v>320</v>
      </c>
      <c r="C537" s="3" t="s">
        <v>83</v>
      </c>
      <c r="D537" s="3" t="s">
        <v>66</v>
      </c>
      <c r="E537" s="3" t="s">
        <v>32</v>
      </c>
      <c r="F537" s="12">
        <v>46023</v>
      </c>
      <c r="G537" s="3">
        <v>2026</v>
      </c>
      <c r="H537" s="3" t="s">
        <v>484</v>
      </c>
      <c r="I537" s="3" t="s">
        <v>484</v>
      </c>
      <c r="J537" s="3"/>
      <c r="K537" s="3">
        <v>12</v>
      </c>
      <c r="L537" s="3">
        <v>15.1</v>
      </c>
      <c r="M537" s="3">
        <f>+L537/K537</f>
        <v>1.2583333333333333</v>
      </c>
      <c r="N537" s="3">
        <f>+L537/K537</f>
        <v>1.2583333333333333</v>
      </c>
      <c r="O537" s="3" t="s">
        <v>245</v>
      </c>
      <c r="P537" s="3" t="s">
        <v>245</v>
      </c>
      <c r="Q537" s="3" t="str">
        <f t="shared" si="92"/>
        <v>423-2026-01-01</v>
      </c>
      <c r="R537" s="3">
        <v>1</v>
      </c>
      <c r="S537" s="3">
        <v>1</v>
      </c>
      <c r="T537" s="3" t="s">
        <v>484</v>
      </c>
      <c r="U537" s="3" t="s">
        <v>37</v>
      </c>
      <c r="V537" s="3" t="s">
        <v>83</v>
      </c>
      <c r="W537" s="3" t="s">
        <v>38</v>
      </c>
      <c r="X537" s="3" t="s">
        <v>39</v>
      </c>
      <c r="Y537" s="3" t="s">
        <v>322</v>
      </c>
      <c r="Z537" s="3" t="s">
        <v>274</v>
      </c>
      <c r="AA537" s="3" t="s">
        <v>275</v>
      </c>
      <c r="AB537" s="3" t="s">
        <v>43</v>
      </c>
      <c r="AC537" s="3" t="s">
        <v>66</v>
      </c>
      <c r="AD537" s="3">
        <v>0</v>
      </c>
    </row>
    <row r="538" spans="1:30" x14ac:dyDescent="0.3">
      <c r="A538" s="3">
        <v>424</v>
      </c>
      <c r="B538" s="3" t="s">
        <v>325</v>
      </c>
      <c r="C538" s="3" t="s">
        <v>83</v>
      </c>
      <c r="D538" s="3" t="s">
        <v>66</v>
      </c>
      <c r="E538" s="3" t="s">
        <v>32</v>
      </c>
      <c r="F538" s="12">
        <v>46023</v>
      </c>
      <c r="G538" s="3">
        <v>2026</v>
      </c>
      <c r="H538" s="3" t="s">
        <v>484</v>
      </c>
      <c r="I538" s="3" t="s">
        <v>484</v>
      </c>
      <c r="J538" s="3"/>
      <c r="K538" s="3">
        <v>9</v>
      </c>
      <c r="L538" s="3">
        <v>11</v>
      </c>
      <c r="M538" s="3">
        <f>+L538/K538</f>
        <v>1.2222222222222223</v>
      </c>
      <c r="N538" s="3">
        <f>+L538/K538</f>
        <v>1.2222222222222223</v>
      </c>
      <c r="O538" s="3" t="s">
        <v>35</v>
      </c>
      <c r="P538" s="3" t="s">
        <v>35</v>
      </c>
      <c r="Q538" s="3" t="str">
        <f t="shared" si="92"/>
        <v>424-2026-01-01</v>
      </c>
      <c r="R538" s="3">
        <v>0</v>
      </c>
      <c r="S538" s="3">
        <v>0</v>
      </c>
      <c r="T538" s="3" t="s">
        <v>484</v>
      </c>
      <c r="U538" s="3" t="s">
        <v>37</v>
      </c>
      <c r="V538" s="3" t="s">
        <v>83</v>
      </c>
      <c r="W538" s="3" t="s">
        <v>38</v>
      </c>
      <c r="X538" s="3" t="s">
        <v>39</v>
      </c>
      <c r="Y538" s="3" t="s">
        <v>322</v>
      </c>
      <c r="Z538" s="3" t="s">
        <v>274</v>
      </c>
      <c r="AA538" s="3" t="s">
        <v>275</v>
      </c>
      <c r="AB538" s="3" t="s">
        <v>43</v>
      </c>
      <c r="AC538" s="3" t="s">
        <v>66</v>
      </c>
      <c r="AD538" s="3">
        <v>0</v>
      </c>
    </row>
    <row r="539" spans="1:30" x14ac:dyDescent="0.3">
      <c r="A539" s="3">
        <v>466</v>
      </c>
      <c r="B539" s="3" t="s">
        <v>341</v>
      </c>
      <c r="C539" s="3" t="s">
        <v>30</v>
      </c>
      <c r="D539" s="3" t="s">
        <v>31</v>
      </c>
      <c r="E539" s="3" t="s">
        <v>32</v>
      </c>
      <c r="F539" s="12">
        <v>46023</v>
      </c>
      <c r="G539" s="3">
        <v>2026</v>
      </c>
      <c r="H539" s="3" t="s">
        <v>484</v>
      </c>
      <c r="I539" s="3" t="s">
        <v>484</v>
      </c>
      <c r="J539" s="3"/>
      <c r="K539" s="3">
        <v>55</v>
      </c>
      <c r="L539" s="3">
        <v>58.6</v>
      </c>
      <c r="M539" s="3">
        <f t="shared" ref="M539" si="108">+L539/K539</f>
        <v>1.0654545454545454</v>
      </c>
      <c r="N539" s="3">
        <f>+L539/K539</f>
        <v>1.0654545454545454</v>
      </c>
      <c r="O539" s="3" t="s">
        <v>35</v>
      </c>
      <c r="P539" s="3" t="s">
        <v>245</v>
      </c>
      <c r="Q539" s="3" t="str">
        <f t="shared" si="92"/>
        <v>466-2026-01-01</v>
      </c>
      <c r="R539" s="3">
        <v>1</v>
      </c>
      <c r="S539" s="3">
        <v>1</v>
      </c>
      <c r="T539" s="3" t="s">
        <v>484</v>
      </c>
      <c r="U539" s="3" t="s">
        <v>37</v>
      </c>
      <c r="V539" s="3" t="s">
        <v>342</v>
      </c>
      <c r="W539" s="3" t="s">
        <v>112</v>
      </c>
      <c r="X539" s="3" t="s">
        <v>113</v>
      </c>
      <c r="Y539" s="3" t="s">
        <v>114</v>
      </c>
      <c r="Z539" s="3" t="s">
        <v>41</v>
      </c>
      <c r="AA539" s="3" t="s">
        <v>102</v>
      </c>
      <c r="AB539" s="3" t="s">
        <v>43</v>
      </c>
      <c r="AC539" s="3" t="s">
        <v>66</v>
      </c>
      <c r="AD539" s="3">
        <v>0</v>
      </c>
    </row>
    <row r="540" spans="1:30" x14ac:dyDescent="0.3">
      <c r="A540" s="3">
        <v>1</v>
      </c>
      <c r="B540" s="3" t="s">
        <v>549</v>
      </c>
      <c r="C540" s="3" t="s">
        <v>349</v>
      </c>
      <c r="D540" s="3" t="s">
        <v>57</v>
      </c>
      <c r="E540" s="3" t="s">
        <v>32</v>
      </c>
      <c r="F540" s="12">
        <v>45291</v>
      </c>
      <c r="G540" s="8">
        <v>2023</v>
      </c>
      <c r="H540" s="7" t="s">
        <v>44</v>
      </c>
      <c r="I540" s="7" t="s">
        <v>49</v>
      </c>
      <c r="J540" s="3">
        <v>2</v>
      </c>
      <c r="K540" s="9">
        <v>100</v>
      </c>
      <c r="L540" s="9">
        <v>100</v>
      </c>
      <c r="M540" s="3">
        <f>IF(L540/K540&gt;1,1,L540/K540)</f>
        <v>1</v>
      </c>
      <c r="N540" s="3">
        <f>IF(L540/K540&gt;1,1,L540/K540)</f>
        <v>1</v>
      </c>
      <c r="O540" s="3" t="s">
        <v>58</v>
      </c>
      <c r="P540" s="3" t="s">
        <v>58</v>
      </c>
      <c r="Q540" s="3" t="str">
        <f t="shared" si="92"/>
        <v>1-2023-12-31</v>
      </c>
      <c r="R540" s="3">
        <v>0</v>
      </c>
      <c r="S540" s="3">
        <v>0</v>
      </c>
      <c r="T540" s="3" t="s">
        <v>443</v>
      </c>
      <c r="U540" s="3" t="s">
        <v>37</v>
      </c>
      <c r="V540" s="3" t="s">
        <v>349</v>
      </c>
      <c r="W540" s="3" t="s">
        <v>73</v>
      </c>
      <c r="X540" s="3" t="s">
        <v>218</v>
      </c>
      <c r="Y540" s="3" t="s">
        <v>351</v>
      </c>
      <c r="Z540" s="3" t="s">
        <v>86</v>
      </c>
      <c r="AA540" s="3" t="s">
        <v>87</v>
      </c>
      <c r="AB540" s="3" t="s">
        <v>43</v>
      </c>
      <c r="AC540" s="3" t="s">
        <v>66</v>
      </c>
      <c r="AD540" s="3">
        <v>1</v>
      </c>
    </row>
    <row r="541" spans="1:30" x14ac:dyDescent="0.3">
      <c r="A541" s="3">
        <v>2</v>
      </c>
      <c r="B541" s="3" t="s">
        <v>489</v>
      </c>
      <c r="C541" s="3" t="s">
        <v>521</v>
      </c>
      <c r="D541" s="3" t="s">
        <v>57</v>
      </c>
      <c r="E541" s="3" t="s">
        <v>32</v>
      </c>
      <c r="F541" s="12">
        <v>44926</v>
      </c>
      <c r="G541" s="8">
        <v>2022</v>
      </c>
      <c r="H541" s="7" t="s">
        <v>44</v>
      </c>
      <c r="I541" s="7" t="s">
        <v>45</v>
      </c>
      <c r="J541" s="3">
        <v>2</v>
      </c>
      <c r="K541" s="3">
        <v>66</v>
      </c>
      <c r="L541" s="3">
        <v>69</v>
      </c>
      <c r="M541" s="3">
        <f t="shared" ref="M541:M602" si="109">IF(L541/K541&gt;1,1,L541/K541)</f>
        <v>1</v>
      </c>
      <c r="N541" s="3">
        <f t="shared" ref="N541:N601" si="110">IF(L541/K541&gt;1,1,L541/K541)</f>
        <v>1</v>
      </c>
      <c r="O541" s="3" t="s">
        <v>58</v>
      </c>
      <c r="P541" s="3" t="s">
        <v>58</v>
      </c>
      <c r="Q541" s="3" t="str">
        <f t="shared" si="92"/>
        <v>2-2022-12-31</v>
      </c>
      <c r="R541" s="3">
        <v>0</v>
      </c>
      <c r="S541" s="3">
        <v>0</v>
      </c>
      <c r="T541" s="3" t="s">
        <v>443</v>
      </c>
      <c r="U541" s="3" t="s">
        <v>37</v>
      </c>
      <c r="V541" s="3" t="s">
        <v>521</v>
      </c>
      <c r="W541" s="3" t="s">
        <v>60</v>
      </c>
      <c r="X541" s="3" t="s">
        <v>100</v>
      </c>
      <c r="Y541" s="3" t="s">
        <v>133</v>
      </c>
      <c r="Z541" s="3" t="s">
        <v>134</v>
      </c>
      <c r="AA541" s="3" t="s">
        <v>532</v>
      </c>
      <c r="AB541" s="3" t="s">
        <v>43</v>
      </c>
      <c r="AC541" s="3" t="s">
        <v>66</v>
      </c>
      <c r="AD541" s="3">
        <v>1</v>
      </c>
    </row>
    <row r="542" spans="1:30" x14ac:dyDescent="0.3">
      <c r="A542" s="3">
        <v>2</v>
      </c>
      <c r="B542" s="3" t="s">
        <v>489</v>
      </c>
      <c r="C542" s="3" t="s">
        <v>521</v>
      </c>
      <c r="D542" s="3" t="s">
        <v>57</v>
      </c>
      <c r="E542" s="3" t="s">
        <v>32</v>
      </c>
      <c r="F542" s="12">
        <v>45291</v>
      </c>
      <c r="G542" s="8">
        <v>2023</v>
      </c>
      <c r="H542" s="7" t="s">
        <v>44</v>
      </c>
      <c r="I542" s="7" t="s">
        <v>49</v>
      </c>
      <c r="J542" s="3">
        <v>2</v>
      </c>
      <c r="K542" s="3">
        <v>100</v>
      </c>
      <c r="L542" s="3">
        <v>100</v>
      </c>
      <c r="M542" s="3">
        <f t="shared" si="109"/>
        <v>1</v>
      </c>
      <c r="N542" s="3">
        <f t="shared" si="110"/>
        <v>1</v>
      </c>
      <c r="O542" s="3" t="s">
        <v>58</v>
      </c>
      <c r="P542" s="3" t="s">
        <v>58</v>
      </c>
      <c r="Q542" s="3" t="str">
        <f t="shared" si="92"/>
        <v>2-2023-12-31</v>
      </c>
      <c r="R542" s="3">
        <v>0</v>
      </c>
      <c r="S542" s="3">
        <v>0</v>
      </c>
      <c r="T542" s="3" t="s">
        <v>443</v>
      </c>
      <c r="U542" s="3" t="s">
        <v>37</v>
      </c>
      <c r="V542" s="3" t="s">
        <v>521</v>
      </c>
      <c r="W542" s="3" t="s">
        <v>60</v>
      </c>
      <c r="X542" s="3" t="s">
        <v>100</v>
      </c>
      <c r="Y542" s="3" t="s">
        <v>133</v>
      </c>
      <c r="Z542" s="3" t="s">
        <v>134</v>
      </c>
      <c r="AA542" s="3" t="s">
        <v>532</v>
      </c>
      <c r="AB542" s="3" t="s">
        <v>43</v>
      </c>
      <c r="AC542" s="3" t="s">
        <v>66</v>
      </c>
      <c r="AD542" s="3">
        <v>1</v>
      </c>
    </row>
    <row r="543" spans="1:30" x14ac:dyDescent="0.3">
      <c r="A543" s="3">
        <v>3</v>
      </c>
      <c r="B543" s="3" t="s">
        <v>490</v>
      </c>
      <c r="C543" s="3" t="s">
        <v>522</v>
      </c>
      <c r="D543" s="3" t="s">
        <v>57</v>
      </c>
      <c r="E543" s="3" t="s">
        <v>32</v>
      </c>
      <c r="F543" s="12">
        <v>45291</v>
      </c>
      <c r="G543" s="8">
        <v>2023</v>
      </c>
      <c r="H543" s="7" t="s">
        <v>44</v>
      </c>
      <c r="I543" s="7" t="s">
        <v>49</v>
      </c>
      <c r="J543" s="3">
        <v>2</v>
      </c>
      <c r="K543" s="9">
        <v>100</v>
      </c>
      <c r="L543" s="9">
        <v>100</v>
      </c>
      <c r="M543" s="3">
        <f t="shared" si="109"/>
        <v>1</v>
      </c>
      <c r="N543" s="3">
        <f t="shared" si="110"/>
        <v>1</v>
      </c>
      <c r="O543" s="3" t="s">
        <v>58</v>
      </c>
      <c r="P543" s="3" t="s">
        <v>58</v>
      </c>
      <c r="Q543" s="3" t="str">
        <f t="shared" si="92"/>
        <v>3-2023-12-31</v>
      </c>
      <c r="R543" s="3">
        <v>0</v>
      </c>
      <c r="S543" s="3">
        <v>0</v>
      </c>
      <c r="T543" s="3" t="s">
        <v>443</v>
      </c>
      <c r="U543" s="3" t="s">
        <v>37</v>
      </c>
      <c r="V543" s="3" t="s">
        <v>522</v>
      </c>
      <c r="W543" s="3" t="s">
        <v>60</v>
      </c>
      <c r="X543" s="3" t="s">
        <v>262</v>
      </c>
      <c r="Y543" s="3" t="s">
        <v>533</v>
      </c>
      <c r="Z543" s="3" t="s">
        <v>101</v>
      </c>
      <c r="AA543" s="3" t="s">
        <v>534</v>
      </c>
      <c r="AB543" s="3" t="s">
        <v>43</v>
      </c>
      <c r="AC543" s="3" t="s">
        <v>66</v>
      </c>
      <c r="AD543" s="3">
        <v>1</v>
      </c>
    </row>
    <row r="544" spans="1:30" x14ac:dyDescent="0.3">
      <c r="A544" s="3">
        <v>4</v>
      </c>
      <c r="B544" s="3" t="s">
        <v>491</v>
      </c>
      <c r="C544" s="3" t="s">
        <v>521</v>
      </c>
      <c r="D544" s="3" t="s">
        <v>57</v>
      </c>
      <c r="E544" s="3" t="s">
        <v>32</v>
      </c>
      <c r="F544" s="12">
        <v>44926</v>
      </c>
      <c r="G544" s="8">
        <v>2022</v>
      </c>
      <c r="H544" s="7" t="s">
        <v>44</v>
      </c>
      <c r="I544" s="7" t="s">
        <v>45</v>
      </c>
      <c r="J544" s="3">
        <v>2</v>
      </c>
      <c r="K544" s="3">
        <v>39</v>
      </c>
      <c r="L544" s="3">
        <v>37</v>
      </c>
      <c r="M544" s="3">
        <f t="shared" si="109"/>
        <v>0.94871794871794868</v>
      </c>
      <c r="N544" s="3">
        <f t="shared" si="110"/>
        <v>0.94871794871794868</v>
      </c>
      <c r="O544" s="3"/>
      <c r="P544" s="3"/>
      <c r="Q544" s="3" t="str">
        <f t="shared" si="92"/>
        <v>4-2022-12-31</v>
      </c>
      <c r="R544" s="3">
        <v>0</v>
      </c>
      <c r="S544" s="3">
        <v>0</v>
      </c>
      <c r="T544" s="3" t="s">
        <v>443</v>
      </c>
      <c r="U544" s="3" t="s">
        <v>37</v>
      </c>
      <c r="V544" s="3" t="s">
        <v>521</v>
      </c>
      <c r="W544" s="3" t="s">
        <v>145</v>
      </c>
      <c r="X544" s="3" t="s">
        <v>179</v>
      </c>
      <c r="Y544" s="3" t="s">
        <v>180</v>
      </c>
      <c r="Z544" s="3" t="s">
        <v>101</v>
      </c>
      <c r="AA544" s="3" t="s">
        <v>264</v>
      </c>
      <c r="AB544" s="3" t="s">
        <v>43</v>
      </c>
      <c r="AC544" s="3" t="s">
        <v>66</v>
      </c>
      <c r="AD544" s="3">
        <v>1</v>
      </c>
    </row>
    <row r="545" spans="1:30" x14ac:dyDescent="0.3">
      <c r="A545" s="3">
        <v>4</v>
      </c>
      <c r="B545" s="3" t="s">
        <v>491</v>
      </c>
      <c r="C545" s="3" t="s">
        <v>523</v>
      </c>
      <c r="D545" s="3" t="s">
        <v>57</v>
      </c>
      <c r="E545" s="3" t="s">
        <v>32</v>
      </c>
      <c r="F545" s="12">
        <v>45291</v>
      </c>
      <c r="G545" s="8">
        <v>2023</v>
      </c>
      <c r="H545" s="7" t="s">
        <v>44</v>
      </c>
      <c r="I545" s="7" t="s">
        <v>49</v>
      </c>
      <c r="J545" s="3">
        <v>2</v>
      </c>
      <c r="K545" s="9">
        <v>100</v>
      </c>
      <c r="L545" s="9">
        <v>100</v>
      </c>
      <c r="M545" s="3">
        <f t="shared" si="109"/>
        <v>1</v>
      </c>
      <c r="N545" s="3">
        <f t="shared" si="110"/>
        <v>1</v>
      </c>
      <c r="O545" s="3"/>
      <c r="P545" s="3"/>
      <c r="Q545" s="3" t="str">
        <f t="shared" si="92"/>
        <v>4-2023-12-31</v>
      </c>
      <c r="R545" s="3">
        <v>0</v>
      </c>
      <c r="S545" s="3">
        <v>0</v>
      </c>
      <c r="T545" s="3" t="s">
        <v>443</v>
      </c>
      <c r="U545" s="3" t="s">
        <v>37</v>
      </c>
      <c r="V545" s="3" t="s">
        <v>523</v>
      </c>
      <c r="W545" s="3" t="s">
        <v>145</v>
      </c>
      <c r="X545" s="3" t="s">
        <v>179</v>
      </c>
      <c r="Y545" s="3" t="s">
        <v>180</v>
      </c>
      <c r="Z545" s="3" t="s">
        <v>101</v>
      </c>
      <c r="AA545" s="3" t="s">
        <v>264</v>
      </c>
      <c r="AB545" s="3" t="s">
        <v>43</v>
      </c>
      <c r="AC545" s="3" t="s">
        <v>66</v>
      </c>
      <c r="AD545" s="3">
        <v>1</v>
      </c>
    </row>
    <row r="546" spans="1:30" x14ac:dyDescent="0.3">
      <c r="A546" s="3">
        <v>5</v>
      </c>
      <c r="B546" s="3" t="s">
        <v>492</v>
      </c>
      <c r="C546" s="3" t="s">
        <v>267</v>
      </c>
      <c r="D546" s="3" t="s">
        <v>57</v>
      </c>
      <c r="E546" s="3" t="s">
        <v>32</v>
      </c>
      <c r="F546" s="12">
        <v>45291</v>
      </c>
      <c r="G546" s="8">
        <v>2023</v>
      </c>
      <c r="H546" s="7" t="s">
        <v>44</v>
      </c>
      <c r="I546" s="7" t="s">
        <v>49</v>
      </c>
      <c r="J546" s="3"/>
      <c r="K546" s="9">
        <v>78</v>
      </c>
      <c r="L546" s="9">
        <v>74</v>
      </c>
      <c r="M546" s="3">
        <f t="shared" si="109"/>
        <v>0.94871794871794868</v>
      </c>
      <c r="N546" s="3">
        <f t="shared" si="110"/>
        <v>0.94871794871794868</v>
      </c>
      <c r="O546" s="3" t="s">
        <v>58</v>
      </c>
      <c r="P546" s="3" t="s">
        <v>58</v>
      </c>
      <c r="Q546" s="3" t="str">
        <f t="shared" si="92"/>
        <v>5-2023-12-31</v>
      </c>
      <c r="R546" s="3">
        <v>0</v>
      </c>
      <c r="S546" s="3">
        <v>0</v>
      </c>
      <c r="T546" s="3" t="s">
        <v>443</v>
      </c>
      <c r="U546" s="3" t="s">
        <v>37</v>
      </c>
      <c r="V546" s="3" t="s">
        <v>267</v>
      </c>
      <c r="W546" s="3" t="s">
        <v>145</v>
      </c>
      <c r="X546" s="3" t="s">
        <v>179</v>
      </c>
      <c r="Y546" s="3" t="s">
        <v>269</v>
      </c>
      <c r="Z546" s="3" t="s">
        <v>41</v>
      </c>
      <c r="AA546" s="3" t="s">
        <v>124</v>
      </c>
      <c r="AB546" s="3" t="s">
        <v>43</v>
      </c>
      <c r="AC546" s="3" t="s">
        <v>66</v>
      </c>
      <c r="AD546" s="3">
        <v>1</v>
      </c>
    </row>
    <row r="547" spans="1:30" x14ac:dyDescent="0.3">
      <c r="A547" s="3">
        <v>5</v>
      </c>
      <c r="B547" s="3" t="s">
        <v>492</v>
      </c>
      <c r="C547" s="3" t="s">
        <v>267</v>
      </c>
      <c r="D547" s="3" t="s">
        <v>57</v>
      </c>
      <c r="E547" s="3" t="s">
        <v>32</v>
      </c>
      <c r="F547" s="12">
        <v>45657</v>
      </c>
      <c r="G547" s="8">
        <v>2024</v>
      </c>
      <c r="H547" s="7" t="s">
        <v>44</v>
      </c>
      <c r="I547" s="7" t="s">
        <v>53</v>
      </c>
      <c r="J547" s="3"/>
      <c r="K547" s="9">
        <v>100</v>
      </c>
      <c r="L547" s="9">
        <v>100</v>
      </c>
      <c r="M547" s="3">
        <f t="shared" si="109"/>
        <v>1</v>
      </c>
      <c r="N547" s="3">
        <f t="shared" si="110"/>
        <v>1</v>
      </c>
      <c r="O547" s="3" t="s">
        <v>58</v>
      </c>
      <c r="P547" s="3" t="s">
        <v>58</v>
      </c>
      <c r="Q547" s="3" t="str">
        <f t="shared" si="92"/>
        <v>5-2024-12-31</v>
      </c>
      <c r="R547" s="3">
        <v>0</v>
      </c>
      <c r="S547" s="3">
        <v>0</v>
      </c>
      <c r="T547" s="3" t="s">
        <v>443</v>
      </c>
      <c r="U547" s="3" t="s">
        <v>37</v>
      </c>
      <c r="V547" s="3" t="s">
        <v>267</v>
      </c>
      <c r="W547" s="3" t="s">
        <v>145</v>
      </c>
      <c r="X547" s="3" t="s">
        <v>179</v>
      </c>
      <c r="Y547" s="3" t="s">
        <v>269</v>
      </c>
      <c r="Z547" s="3" t="s">
        <v>41</v>
      </c>
      <c r="AA547" s="3" t="s">
        <v>124</v>
      </c>
      <c r="AB547" s="3" t="s">
        <v>43</v>
      </c>
      <c r="AC547" s="3" t="s">
        <v>66</v>
      </c>
      <c r="AD547" s="3">
        <v>1</v>
      </c>
    </row>
    <row r="548" spans="1:30" x14ac:dyDescent="0.3">
      <c r="A548" s="3">
        <v>6</v>
      </c>
      <c r="B548" s="3" t="s">
        <v>493</v>
      </c>
      <c r="C548" s="3" t="s">
        <v>524</v>
      </c>
      <c r="D548" s="3" t="s">
        <v>57</v>
      </c>
      <c r="E548" s="3" t="s">
        <v>32</v>
      </c>
      <c r="F548" s="12">
        <v>45291</v>
      </c>
      <c r="G548" s="8">
        <v>2023</v>
      </c>
      <c r="H548" s="7" t="s">
        <v>44</v>
      </c>
      <c r="I548" s="7" t="s">
        <v>49</v>
      </c>
      <c r="J548" s="3">
        <v>2</v>
      </c>
      <c r="K548" s="9">
        <v>98</v>
      </c>
      <c r="L548" s="9">
        <v>95</v>
      </c>
      <c r="M548" s="3">
        <f t="shared" si="109"/>
        <v>0.96938775510204078</v>
      </c>
      <c r="N548" s="3">
        <f t="shared" si="110"/>
        <v>0.96938775510204078</v>
      </c>
      <c r="O548" s="3" t="s">
        <v>58</v>
      </c>
      <c r="P548" s="3" t="s">
        <v>58</v>
      </c>
      <c r="Q548" s="3" t="str">
        <f t="shared" si="92"/>
        <v>6-2023-12-31</v>
      </c>
      <c r="R548" s="3">
        <v>0</v>
      </c>
      <c r="S548" s="3">
        <v>0</v>
      </c>
      <c r="T548" s="3" t="s">
        <v>443</v>
      </c>
      <c r="U548" s="3" t="s">
        <v>37</v>
      </c>
      <c r="V548" s="3" t="s">
        <v>524</v>
      </c>
      <c r="W548" s="3" t="s">
        <v>60</v>
      </c>
      <c r="X548" s="3" t="s">
        <v>61</v>
      </c>
      <c r="Y548" s="3" t="s">
        <v>62</v>
      </c>
      <c r="Z548" s="3" t="s">
        <v>101</v>
      </c>
      <c r="AA548" s="3" t="s">
        <v>264</v>
      </c>
      <c r="AB548" s="3" t="s">
        <v>43</v>
      </c>
      <c r="AC548" s="3" t="s">
        <v>66</v>
      </c>
      <c r="AD548" s="3">
        <v>1</v>
      </c>
    </row>
    <row r="549" spans="1:30" x14ac:dyDescent="0.3">
      <c r="A549" s="3">
        <v>6</v>
      </c>
      <c r="B549" s="3" t="s">
        <v>493</v>
      </c>
      <c r="C549" s="3" t="s">
        <v>524</v>
      </c>
      <c r="D549" s="3" t="s">
        <v>57</v>
      </c>
      <c r="E549" s="3" t="s">
        <v>32</v>
      </c>
      <c r="F549" s="12">
        <v>45657</v>
      </c>
      <c r="G549" s="8">
        <v>2024</v>
      </c>
      <c r="H549" s="7" t="s">
        <v>44</v>
      </c>
      <c r="I549" s="7" t="s">
        <v>53</v>
      </c>
      <c r="J549" s="3">
        <v>2</v>
      </c>
      <c r="K549" s="9">
        <v>100</v>
      </c>
      <c r="L549" s="9">
        <v>100</v>
      </c>
      <c r="M549" s="3">
        <f t="shared" si="109"/>
        <v>1</v>
      </c>
      <c r="N549" s="3">
        <f t="shared" si="110"/>
        <v>1</v>
      </c>
      <c r="O549" s="3" t="s">
        <v>58</v>
      </c>
      <c r="P549" s="3" t="s">
        <v>58</v>
      </c>
      <c r="Q549" s="3" t="str">
        <f t="shared" si="92"/>
        <v>6-2024-12-31</v>
      </c>
      <c r="R549" s="3">
        <v>0</v>
      </c>
      <c r="S549" s="3">
        <v>0</v>
      </c>
      <c r="T549" s="3" t="s">
        <v>443</v>
      </c>
      <c r="U549" s="3" t="s">
        <v>37</v>
      </c>
      <c r="V549" s="3" t="s">
        <v>524</v>
      </c>
      <c r="W549" s="3" t="s">
        <v>60</v>
      </c>
      <c r="X549" s="3" t="s">
        <v>61</v>
      </c>
      <c r="Y549" s="3" t="s">
        <v>62</v>
      </c>
      <c r="Z549" s="3" t="s">
        <v>101</v>
      </c>
      <c r="AA549" s="3" t="s">
        <v>264</v>
      </c>
      <c r="AB549" s="3" t="s">
        <v>43</v>
      </c>
      <c r="AC549" s="3" t="s">
        <v>66</v>
      </c>
      <c r="AD549" s="3">
        <v>1</v>
      </c>
    </row>
    <row r="550" spans="1:30" x14ac:dyDescent="0.3">
      <c r="A550" s="3">
        <v>7</v>
      </c>
      <c r="B550" s="3" t="s">
        <v>494</v>
      </c>
      <c r="C550" s="3" t="s">
        <v>524</v>
      </c>
      <c r="D550" s="3" t="s">
        <v>57</v>
      </c>
      <c r="E550" s="3" t="s">
        <v>32</v>
      </c>
      <c r="F550" s="12">
        <v>45291</v>
      </c>
      <c r="G550" s="8">
        <v>2023</v>
      </c>
      <c r="H550" s="7" t="s">
        <v>44</v>
      </c>
      <c r="I550" s="7" t="s">
        <v>49</v>
      </c>
      <c r="J550" s="3">
        <v>2</v>
      </c>
      <c r="K550" s="9">
        <v>98</v>
      </c>
      <c r="L550" s="9">
        <v>84</v>
      </c>
      <c r="M550" s="3">
        <f t="shared" si="109"/>
        <v>0.8571428571428571</v>
      </c>
      <c r="N550" s="3">
        <f t="shared" si="110"/>
        <v>0.8571428571428571</v>
      </c>
      <c r="O550" s="3" t="s">
        <v>58</v>
      </c>
      <c r="P550" s="3" t="s">
        <v>58</v>
      </c>
      <c r="Q550" s="3" t="str">
        <f t="shared" si="92"/>
        <v>7-2023-12-31</v>
      </c>
      <c r="R550" s="3">
        <v>0</v>
      </c>
      <c r="S550" s="3">
        <v>0</v>
      </c>
      <c r="T550" s="3" t="s">
        <v>443</v>
      </c>
      <c r="U550" s="3" t="s">
        <v>37</v>
      </c>
      <c r="V550" s="3" t="s">
        <v>524</v>
      </c>
      <c r="W550" s="3" t="s">
        <v>60</v>
      </c>
      <c r="X550" s="3" t="s">
        <v>61</v>
      </c>
      <c r="Y550" s="3" t="s">
        <v>62</v>
      </c>
      <c r="Z550" s="3" t="s">
        <v>101</v>
      </c>
      <c r="AA550" s="3" t="s">
        <v>264</v>
      </c>
      <c r="AB550" s="3" t="s">
        <v>43</v>
      </c>
      <c r="AC550" s="3" t="s">
        <v>66</v>
      </c>
      <c r="AD550" s="3">
        <v>1</v>
      </c>
    </row>
    <row r="551" spans="1:30" x14ac:dyDescent="0.3">
      <c r="A551" s="3">
        <v>7</v>
      </c>
      <c r="B551" s="3" t="s">
        <v>494</v>
      </c>
      <c r="C551" s="3" t="s">
        <v>524</v>
      </c>
      <c r="D551" s="3" t="s">
        <v>57</v>
      </c>
      <c r="E551" s="3" t="s">
        <v>32</v>
      </c>
      <c r="F551" s="12">
        <v>45657</v>
      </c>
      <c r="G551" s="8">
        <v>2024</v>
      </c>
      <c r="H551" s="7" t="s">
        <v>44</v>
      </c>
      <c r="I551" s="7" t="s">
        <v>53</v>
      </c>
      <c r="J551" s="3">
        <v>2</v>
      </c>
      <c r="K551" s="9">
        <v>100</v>
      </c>
      <c r="L551" s="9">
        <v>100</v>
      </c>
      <c r="M551" s="3">
        <f t="shared" si="109"/>
        <v>1</v>
      </c>
      <c r="N551" s="3">
        <f t="shared" si="110"/>
        <v>1</v>
      </c>
      <c r="O551" s="3" t="s">
        <v>58</v>
      </c>
      <c r="P551" s="3" t="s">
        <v>58</v>
      </c>
      <c r="Q551" s="3" t="str">
        <f t="shared" si="92"/>
        <v>7-2024-12-31</v>
      </c>
      <c r="R551" s="3">
        <v>0</v>
      </c>
      <c r="S551" s="3">
        <v>0</v>
      </c>
      <c r="T551" s="3" t="s">
        <v>443</v>
      </c>
      <c r="U551" s="3" t="s">
        <v>37</v>
      </c>
      <c r="V551" s="3" t="s">
        <v>524</v>
      </c>
      <c r="W551" s="3" t="s">
        <v>60</v>
      </c>
      <c r="X551" s="3" t="s">
        <v>61</v>
      </c>
      <c r="Y551" s="3" t="s">
        <v>62</v>
      </c>
      <c r="Z551" s="3" t="s">
        <v>101</v>
      </c>
      <c r="AA551" s="3" t="s">
        <v>264</v>
      </c>
      <c r="AB551" s="3" t="s">
        <v>43</v>
      </c>
      <c r="AC551" s="3" t="s">
        <v>66</v>
      </c>
      <c r="AD551" s="3">
        <v>1</v>
      </c>
    </row>
    <row r="552" spans="1:30" x14ac:dyDescent="0.3">
      <c r="A552" s="3">
        <v>8</v>
      </c>
      <c r="B552" s="3" t="s">
        <v>495</v>
      </c>
      <c r="C552" s="3" t="s">
        <v>349</v>
      </c>
      <c r="D552" s="3" t="s">
        <v>57</v>
      </c>
      <c r="E552" s="3" t="s">
        <v>32</v>
      </c>
      <c r="F552" s="12">
        <v>45291</v>
      </c>
      <c r="G552" s="8">
        <v>2023</v>
      </c>
      <c r="H552" s="7" t="s">
        <v>44</v>
      </c>
      <c r="I552" s="7" t="s">
        <v>49</v>
      </c>
      <c r="J552" s="3">
        <v>2</v>
      </c>
      <c r="K552" s="9">
        <v>100</v>
      </c>
      <c r="L552" s="9">
        <v>100</v>
      </c>
      <c r="M552" s="3">
        <f t="shared" si="109"/>
        <v>1</v>
      </c>
      <c r="N552" s="3">
        <f t="shared" si="110"/>
        <v>1</v>
      </c>
      <c r="O552" s="3"/>
      <c r="P552" s="3"/>
      <c r="Q552" s="3" t="str">
        <f t="shared" si="92"/>
        <v>8-2023-12-31</v>
      </c>
      <c r="R552" s="3">
        <v>0</v>
      </c>
      <c r="S552" s="3">
        <v>0</v>
      </c>
      <c r="T552" s="3"/>
      <c r="U552" s="3" t="s">
        <v>37</v>
      </c>
      <c r="V552" s="3" t="s">
        <v>349</v>
      </c>
      <c r="W552" s="3" t="s">
        <v>73</v>
      </c>
      <c r="X552" s="3" t="s">
        <v>74</v>
      </c>
      <c r="Y552" s="3" t="s">
        <v>351</v>
      </c>
      <c r="Z552" s="3" t="s">
        <v>101</v>
      </c>
      <c r="AA552" s="3" t="s">
        <v>264</v>
      </c>
      <c r="AB552" s="3" t="s">
        <v>43</v>
      </c>
      <c r="AC552" s="3" t="s">
        <v>66</v>
      </c>
      <c r="AD552" s="3">
        <v>1</v>
      </c>
    </row>
    <row r="553" spans="1:30" x14ac:dyDescent="0.3">
      <c r="A553" s="3">
        <v>9</v>
      </c>
      <c r="B553" s="3" t="s">
        <v>551</v>
      </c>
      <c r="C553" s="3" t="s">
        <v>524</v>
      </c>
      <c r="D553" s="3" t="s">
        <v>57</v>
      </c>
      <c r="E553" s="3" t="s">
        <v>32</v>
      </c>
      <c r="F553" s="12">
        <v>45291</v>
      </c>
      <c r="G553" s="8">
        <v>2023</v>
      </c>
      <c r="H553" s="7" t="s">
        <v>44</v>
      </c>
      <c r="I553" s="7" t="s">
        <v>49</v>
      </c>
      <c r="J553" s="3">
        <v>2</v>
      </c>
      <c r="K553" s="9">
        <v>98</v>
      </c>
      <c r="L553" s="9">
        <v>95</v>
      </c>
      <c r="M553" s="3">
        <f t="shared" si="109"/>
        <v>0.96938775510204078</v>
      </c>
      <c r="N553" s="3">
        <f t="shared" si="110"/>
        <v>0.96938775510204078</v>
      </c>
      <c r="O553" s="3" t="s">
        <v>58</v>
      </c>
      <c r="P553" s="3" t="s">
        <v>58</v>
      </c>
      <c r="Q553" s="3" t="str">
        <f t="shared" si="92"/>
        <v>9-2023-12-31</v>
      </c>
      <c r="R553" s="3">
        <v>0</v>
      </c>
      <c r="S553" s="3">
        <v>0</v>
      </c>
      <c r="T553" s="3" t="s">
        <v>443</v>
      </c>
      <c r="U553" s="3" t="s">
        <v>37</v>
      </c>
      <c r="V553" s="3" t="s">
        <v>524</v>
      </c>
      <c r="W553" s="3" t="s">
        <v>60</v>
      </c>
      <c r="X553" s="3" t="s">
        <v>61</v>
      </c>
      <c r="Y553" s="3" t="s">
        <v>62</v>
      </c>
      <c r="Z553" s="3" t="s">
        <v>101</v>
      </c>
      <c r="AA553" s="3" t="s">
        <v>264</v>
      </c>
      <c r="AB553" s="3" t="s">
        <v>43</v>
      </c>
      <c r="AC553" s="3" t="s">
        <v>66</v>
      </c>
      <c r="AD553" s="3">
        <v>1</v>
      </c>
    </row>
    <row r="554" spans="1:30" x14ac:dyDescent="0.3">
      <c r="A554" s="3">
        <v>9</v>
      </c>
      <c r="B554" s="3" t="s">
        <v>551</v>
      </c>
      <c r="C554" s="3" t="s">
        <v>524</v>
      </c>
      <c r="D554" s="3" t="s">
        <v>57</v>
      </c>
      <c r="E554" s="3" t="s">
        <v>32</v>
      </c>
      <c r="F554" s="12">
        <v>45657</v>
      </c>
      <c r="G554" s="8">
        <v>2024</v>
      </c>
      <c r="H554" s="7" t="s">
        <v>44</v>
      </c>
      <c r="I554" s="7" t="s">
        <v>53</v>
      </c>
      <c r="J554" s="3">
        <v>2</v>
      </c>
      <c r="K554" s="9">
        <v>100</v>
      </c>
      <c r="L554" s="9">
        <v>100</v>
      </c>
      <c r="M554" s="3">
        <f t="shared" si="109"/>
        <v>1</v>
      </c>
      <c r="N554" s="3">
        <f t="shared" si="110"/>
        <v>1</v>
      </c>
      <c r="O554" s="3" t="s">
        <v>58</v>
      </c>
      <c r="P554" s="3" t="s">
        <v>58</v>
      </c>
      <c r="Q554" s="3" t="str">
        <f t="shared" si="92"/>
        <v>9-2024-12-31</v>
      </c>
      <c r="R554" s="3">
        <v>0</v>
      </c>
      <c r="S554" s="3">
        <v>0</v>
      </c>
      <c r="T554" s="3" t="s">
        <v>443</v>
      </c>
      <c r="U554" s="3" t="s">
        <v>37</v>
      </c>
      <c r="V554" s="3" t="s">
        <v>524</v>
      </c>
      <c r="W554" s="3" t="s">
        <v>60</v>
      </c>
      <c r="X554" s="3" t="s">
        <v>61</v>
      </c>
      <c r="Y554" s="3" t="s">
        <v>62</v>
      </c>
      <c r="Z554" s="3" t="s">
        <v>101</v>
      </c>
      <c r="AA554" s="3" t="s">
        <v>264</v>
      </c>
      <c r="AB554" s="3" t="s">
        <v>43</v>
      </c>
      <c r="AC554" s="3" t="s">
        <v>66</v>
      </c>
      <c r="AD554" s="3">
        <v>1</v>
      </c>
    </row>
    <row r="555" spans="1:30" x14ac:dyDescent="0.3">
      <c r="A555" s="3">
        <v>10</v>
      </c>
      <c r="B555" s="3" t="s">
        <v>496</v>
      </c>
      <c r="C555" s="3" t="s">
        <v>216</v>
      </c>
      <c r="D555" s="3" t="s">
        <v>57</v>
      </c>
      <c r="E555" s="3" t="s">
        <v>32</v>
      </c>
      <c r="F555" s="12">
        <v>45291</v>
      </c>
      <c r="G555" s="8">
        <v>2023</v>
      </c>
      <c r="H555" s="7" t="s">
        <v>44</v>
      </c>
      <c r="I555" s="7" t="s">
        <v>49</v>
      </c>
      <c r="J555" s="3">
        <v>2</v>
      </c>
      <c r="K555" s="9">
        <v>47</v>
      </c>
      <c r="L555" s="9">
        <v>47</v>
      </c>
      <c r="M555" s="3">
        <f t="shared" si="109"/>
        <v>1</v>
      </c>
      <c r="N555" s="3">
        <f t="shared" si="110"/>
        <v>1</v>
      </c>
      <c r="O555" s="3">
        <v>0</v>
      </c>
      <c r="P555" s="3">
        <v>0</v>
      </c>
      <c r="Q555" s="3" t="str">
        <f t="shared" si="92"/>
        <v>10-2023-12-31</v>
      </c>
      <c r="R555" s="3">
        <v>0</v>
      </c>
      <c r="S555" s="3">
        <v>0</v>
      </c>
      <c r="T555" s="3" t="s">
        <v>443</v>
      </c>
      <c r="U555" s="3" t="s">
        <v>37</v>
      </c>
      <c r="V555" s="3" t="s">
        <v>216</v>
      </c>
      <c r="W555" s="3" t="s">
        <v>73</v>
      </c>
      <c r="X555" s="3" t="s">
        <v>74</v>
      </c>
      <c r="Y555" s="3" t="s">
        <v>585</v>
      </c>
      <c r="Z555" s="3" t="s">
        <v>86</v>
      </c>
      <c r="AA555" s="3" t="s">
        <v>87</v>
      </c>
      <c r="AB555" s="3" t="s">
        <v>43</v>
      </c>
      <c r="AC555" s="3" t="s">
        <v>66</v>
      </c>
      <c r="AD555" s="3">
        <v>1</v>
      </c>
    </row>
    <row r="556" spans="1:30" x14ac:dyDescent="0.3">
      <c r="A556" s="3">
        <v>10</v>
      </c>
      <c r="B556" s="3" t="s">
        <v>496</v>
      </c>
      <c r="C556" s="3" t="s">
        <v>216</v>
      </c>
      <c r="D556" s="3" t="s">
        <v>57</v>
      </c>
      <c r="E556" s="3" t="s">
        <v>32</v>
      </c>
      <c r="F556" s="12">
        <v>45657</v>
      </c>
      <c r="G556" s="8">
        <v>2024</v>
      </c>
      <c r="H556" s="7" t="s">
        <v>44</v>
      </c>
      <c r="I556" s="7" t="s">
        <v>53</v>
      </c>
      <c r="J556" s="3">
        <v>2</v>
      </c>
      <c r="K556" s="9">
        <v>100</v>
      </c>
      <c r="L556" s="9">
        <v>100</v>
      </c>
      <c r="M556" s="3">
        <f t="shared" si="109"/>
        <v>1</v>
      </c>
      <c r="N556" s="3">
        <f t="shared" si="110"/>
        <v>1</v>
      </c>
      <c r="O556" s="3">
        <v>0</v>
      </c>
      <c r="P556" s="3">
        <v>0</v>
      </c>
      <c r="Q556" s="3" t="str">
        <f t="shared" si="92"/>
        <v>10-2024-12-31</v>
      </c>
      <c r="R556" s="3">
        <v>0</v>
      </c>
      <c r="S556" s="3">
        <v>0</v>
      </c>
      <c r="T556" s="3" t="s">
        <v>443</v>
      </c>
      <c r="U556" s="3" t="s">
        <v>37</v>
      </c>
      <c r="V556" s="3" t="s">
        <v>216</v>
      </c>
      <c r="W556" s="3" t="s">
        <v>73</v>
      </c>
      <c r="X556" s="3" t="s">
        <v>74</v>
      </c>
      <c r="Y556" s="3" t="s">
        <v>585</v>
      </c>
      <c r="Z556" s="3" t="s">
        <v>86</v>
      </c>
      <c r="AA556" s="3" t="s">
        <v>87</v>
      </c>
      <c r="AB556" s="3" t="s">
        <v>43</v>
      </c>
      <c r="AC556" s="3" t="s">
        <v>66</v>
      </c>
      <c r="AD556" s="3">
        <v>1</v>
      </c>
    </row>
    <row r="557" spans="1:30" x14ac:dyDescent="0.3">
      <c r="A557" s="3">
        <v>11</v>
      </c>
      <c r="B557" s="3" t="s">
        <v>550</v>
      </c>
      <c r="C557" s="3" t="s">
        <v>525</v>
      </c>
      <c r="D557" s="3" t="s">
        <v>57</v>
      </c>
      <c r="E557" s="3" t="s">
        <v>32</v>
      </c>
      <c r="F557" s="12">
        <v>45657</v>
      </c>
      <c r="G557" s="8">
        <v>2024</v>
      </c>
      <c r="H557" s="7" t="s">
        <v>44</v>
      </c>
      <c r="I557" s="7" t="s">
        <v>53</v>
      </c>
      <c r="J557" s="3">
        <v>2</v>
      </c>
      <c r="K557" s="9">
        <v>0</v>
      </c>
      <c r="L557" s="9">
        <v>0</v>
      </c>
      <c r="M557" s="15">
        <v>0</v>
      </c>
      <c r="N557" s="15">
        <v>0</v>
      </c>
      <c r="O557" s="3" t="s">
        <v>544</v>
      </c>
      <c r="P557" s="3" t="s">
        <v>544</v>
      </c>
      <c r="Q557" s="3" t="str">
        <f t="shared" si="92"/>
        <v>11-2024-12-31</v>
      </c>
      <c r="R557" s="3">
        <v>0</v>
      </c>
      <c r="S557" s="3">
        <v>0</v>
      </c>
      <c r="T557" s="3" t="s">
        <v>443</v>
      </c>
      <c r="U557" s="3" t="s">
        <v>37</v>
      </c>
      <c r="V557" s="3" t="s">
        <v>525</v>
      </c>
      <c r="W557" s="3" t="s">
        <v>312</v>
      </c>
      <c r="X557" s="3" t="s">
        <v>535</v>
      </c>
      <c r="Y557" s="3" t="s">
        <v>536</v>
      </c>
      <c r="Z557" s="3" t="s">
        <v>86</v>
      </c>
      <c r="AA557" s="3" t="s">
        <v>87</v>
      </c>
      <c r="AB557" s="3" t="s">
        <v>43</v>
      </c>
      <c r="AC557" s="3" t="s">
        <v>66</v>
      </c>
      <c r="AD557" s="3">
        <v>1</v>
      </c>
    </row>
    <row r="558" spans="1:30" x14ac:dyDescent="0.3">
      <c r="A558" s="3">
        <v>12</v>
      </c>
      <c r="B558" s="3" t="s">
        <v>545</v>
      </c>
      <c r="C558" s="3" t="s">
        <v>525</v>
      </c>
      <c r="D558" s="3" t="s">
        <v>57</v>
      </c>
      <c r="E558" s="3" t="s">
        <v>32</v>
      </c>
      <c r="F558" s="12">
        <v>45291</v>
      </c>
      <c r="G558" s="8">
        <v>2023</v>
      </c>
      <c r="H558" s="7" t="s">
        <v>44</v>
      </c>
      <c r="I558" s="7" t="s">
        <v>49</v>
      </c>
      <c r="J558" s="3">
        <v>2</v>
      </c>
      <c r="K558" s="3">
        <v>65</v>
      </c>
      <c r="L558" s="3">
        <v>51</v>
      </c>
      <c r="M558" s="3">
        <f t="shared" si="109"/>
        <v>0.7846153846153846</v>
      </c>
      <c r="N558" s="3">
        <f t="shared" si="110"/>
        <v>0.7846153846153846</v>
      </c>
      <c r="O558" s="3"/>
      <c r="P558" s="3"/>
      <c r="Q558" s="3" t="str">
        <f t="shared" si="92"/>
        <v>12-2023-12-31</v>
      </c>
      <c r="R558" s="3">
        <v>0</v>
      </c>
      <c r="S558" s="3">
        <v>0</v>
      </c>
      <c r="T558" s="3" t="s">
        <v>443</v>
      </c>
      <c r="U558" s="3" t="s">
        <v>37</v>
      </c>
      <c r="V558" s="3" t="s">
        <v>525</v>
      </c>
      <c r="W558" s="3" t="s">
        <v>312</v>
      </c>
      <c r="X558" s="3" t="s">
        <v>535</v>
      </c>
      <c r="Y558" s="3" t="s">
        <v>537</v>
      </c>
      <c r="Z558" s="3" t="s">
        <v>86</v>
      </c>
      <c r="AA558" s="3" t="s">
        <v>87</v>
      </c>
      <c r="AB558" s="3" t="s">
        <v>43</v>
      </c>
      <c r="AC558" s="3" t="s">
        <v>66</v>
      </c>
      <c r="AD558" s="3">
        <v>1</v>
      </c>
    </row>
    <row r="559" spans="1:30" x14ac:dyDescent="0.3">
      <c r="A559" s="3">
        <v>12</v>
      </c>
      <c r="B559" s="3" t="s">
        <v>545</v>
      </c>
      <c r="C559" s="3" t="s">
        <v>525</v>
      </c>
      <c r="D559" s="3" t="s">
        <v>57</v>
      </c>
      <c r="E559" s="3" t="s">
        <v>32</v>
      </c>
      <c r="F559" s="12">
        <v>45657</v>
      </c>
      <c r="G559" s="8">
        <v>2024</v>
      </c>
      <c r="H559" s="7" t="s">
        <v>44</v>
      </c>
      <c r="I559" s="7" t="s">
        <v>53</v>
      </c>
      <c r="J559" s="3">
        <v>2</v>
      </c>
      <c r="K559" s="9">
        <v>76</v>
      </c>
      <c r="L559" s="9">
        <v>56</v>
      </c>
      <c r="M559" s="3">
        <f t="shared" si="109"/>
        <v>0.73684210526315785</v>
      </c>
      <c r="N559" s="3">
        <f t="shared" si="110"/>
        <v>0.73684210526315785</v>
      </c>
      <c r="O559" s="3"/>
      <c r="P559" s="3"/>
      <c r="Q559" s="3" t="str">
        <f t="shared" si="92"/>
        <v>12-2024-12-31</v>
      </c>
      <c r="R559" s="3">
        <v>0</v>
      </c>
      <c r="S559" s="3">
        <v>0</v>
      </c>
      <c r="T559" s="3" t="s">
        <v>443</v>
      </c>
      <c r="U559" s="3" t="s">
        <v>37</v>
      </c>
      <c r="V559" s="3" t="s">
        <v>525</v>
      </c>
      <c r="W559" s="3" t="s">
        <v>312</v>
      </c>
      <c r="X559" s="3" t="s">
        <v>535</v>
      </c>
      <c r="Y559" s="3" t="s">
        <v>537</v>
      </c>
      <c r="Z559" s="3" t="s">
        <v>86</v>
      </c>
      <c r="AA559" s="3" t="s">
        <v>87</v>
      </c>
      <c r="AB559" s="3" t="s">
        <v>43</v>
      </c>
      <c r="AC559" s="3" t="s">
        <v>66</v>
      </c>
      <c r="AD559" s="3">
        <v>1</v>
      </c>
    </row>
    <row r="560" spans="1:30" x14ac:dyDescent="0.3">
      <c r="A560" s="3">
        <v>13</v>
      </c>
      <c r="B560" s="3" t="s">
        <v>546</v>
      </c>
      <c r="C560" s="3" t="s">
        <v>526</v>
      </c>
      <c r="D560" s="3" t="s">
        <v>57</v>
      </c>
      <c r="E560" s="3" t="s">
        <v>32</v>
      </c>
      <c r="F560" s="12">
        <v>45291</v>
      </c>
      <c r="G560" s="8">
        <v>2023</v>
      </c>
      <c r="H560" s="7" t="s">
        <v>44</v>
      </c>
      <c r="I560" s="7" t="s">
        <v>49</v>
      </c>
      <c r="J560" s="3">
        <v>2</v>
      </c>
      <c r="K560" s="3">
        <v>100</v>
      </c>
      <c r="L560" s="3">
        <v>99</v>
      </c>
      <c r="M560" s="3">
        <f t="shared" si="109"/>
        <v>0.99</v>
      </c>
      <c r="N560" s="3">
        <f t="shared" si="110"/>
        <v>0.99</v>
      </c>
      <c r="O560" s="3" t="s">
        <v>58</v>
      </c>
      <c r="P560" s="3" t="s">
        <v>58</v>
      </c>
      <c r="Q560" s="3" t="str">
        <f t="shared" si="92"/>
        <v>13-2023-12-31</v>
      </c>
      <c r="R560" s="3">
        <v>0</v>
      </c>
      <c r="S560" s="3">
        <v>0</v>
      </c>
      <c r="T560" s="3" t="s">
        <v>443</v>
      </c>
      <c r="U560" s="3" t="s">
        <v>37</v>
      </c>
      <c r="V560" s="3" t="s">
        <v>526</v>
      </c>
      <c r="W560" s="3" t="s">
        <v>112</v>
      </c>
      <c r="X560" s="3" t="s">
        <v>113</v>
      </c>
      <c r="Y560" s="3" t="s">
        <v>538</v>
      </c>
      <c r="Z560" s="3" t="s">
        <v>86</v>
      </c>
      <c r="AA560" s="3" t="s">
        <v>87</v>
      </c>
      <c r="AB560" s="3" t="s">
        <v>43</v>
      </c>
      <c r="AC560" s="3" t="s">
        <v>66</v>
      </c>
      <c r="AD560" s="3">
        <v>1</v>
      </c>
    </row>
    <row r="561" spans="1:30" x14ac:dyDescent="0.3">
      <c r="A561" s="3">
        <v>13</v>
      </c>
      <c r="B561" s="3" t="s">
        <v>546</v>
      </c>
      <c r="C561" s="3" t="s">
        <v>526</v>
      </c>
      <c r="D561" s="3" t="s">
        <v>57</v>
      </c>
      <c r="E561" s="3" t="s">
        <v>32</v>
      </c>
      <c r="F561" s="12">
        <v>45657</v>
      </c>
      <c r="G561" s="8">
        <v>2024</v>
      </c>
      <c r="H561" s="7" t="s">
        <v>44</v>
      </c>
      <c r="I561" s="7" t="s">
        <v>53</v>
      </c>
      <c r="J561" s="3">
        <v>2</v>
      </c>
      <c r="K561" s="3">
        <v>100</v>
      </c>
      <c r="L561" s="3">
        <v>100</v>
      </c>
      <c r="M561" s="3">
        <f t="shared" si="109"/>
        <v>1</v>
      </c>
      <c r="N561" s="3">
        <f t="shared" si="110"/>
        <v>1</v>
      </c>
      <c r="O561" s="3" t="s">
        <v>58</v>
      </c>
      <c r="P561" s="3" t="s">
        <v>58</v>
      </c>
      <c r="Q561" s="3" t="str">
        <f t="shared" si="92"/>
        <v>13-2024-12-31</v>
      </c>
      <c r="R561" s="3">
        <v>0</v>
      </c>
      <c r="S561" s="3">
        <v>0</v>
      </c>
      <c r="T561" s="3" t="s">
        <v>443</v>
      </c>
      <c r="U561" s="3" t="s">
        <v>37</v>
      </c>
      <c r="V561" s="3" t="s">
        <v>526</v>
      </c>
      <c r="W561" s="3" t="s">
        <v>112</v>
      </c>
      <c r="X561" s="3" t="s">
        <v>113</v>
      </c>
      <c r="Y561" s="3" t="s">
        <v>538</v>
      </c>
      <c r="Z561" s="3" t="s">
        <v>86</v>
      </c>
      <c r="AA561" s="3" t="s">
        <v>87</v>
      </c>
      <c r="AB561" s="3" t="s">
        <v>43</v>
      </c>
      <c r="AC561" s="3" t="s">
        <v>66</v>
      </c>
      <c r="AD561" s="3">
        <v>1</v>
      </c>
    </row>
    <row r="562" spans="1:30" x14ac:dyDescent="0.3">
      <c r="A562" s="5">
        <v>900</v>
      </c>
      <c r="B562" s="6" t="s">
        <v>548</v>
      </c>
      <c r="C562" s="3" t="s">
        <v>342</v>
      </c>
      <c r="D562" s="3" t="s">
        <v>57</v>
      </c>
      <c r="E562" s="3" t="s">
        <v>32</v>
      </c>
      <c r="F562" s="12">
        <v>45657</v>
      </c>
      <c r="G562" s="8">
        <v>2024</v>
      </c>
      <c r="H562" s="7" t="s">
        <v>44</v>
      </c>
      <c r="I562" s="7" t="s">
        <v>53</v>
      </c>
      <c r="J562" s="3">
        <v>2</v>
      </c>
      <c r="K562" s="10">
        <v>100</v>
      </c>
      <c r="L562" s="10">
        <v>100</v>
      </c>
      <c r="M562" s="3">
        <f t="shared" si="109"/>
        <v>1</v>
      </c>
      <c r="N562" s="3">
        <f t="shared" si="110"/>
        <v>1</v>
      </c>
      <c r="O562" s="3" t="s">
        <v>58</v>
      </c>
      <c r="P562" s="3" t="s">
        <v>58</v>
      </c>
      <c r="Q562" s="3" t="str">
        <f t="shared" si="92"/>
        <v>900-2024-12-31</v>
      </c>
      <c r="R562" s="3">
        <v>0</v>
      </c>
      <c r="S562" s="3">
        <v>0</v>
      </c>
      <c r="T562" s="3" t="s">
        <v>443</v>
      </c>
      <c r="U562" s="3" t="s">
        <v>37</v>
      </c>
      <c r="V562" s="3" t="s">
        <v>342</v>
      </c>
      <c r="W562" s="3" t="s">
        <v>112</v>
      </c>
      <c r="X562" s="3" t="s">
        <v>113</v>
      </c>
      <c r="Y562" s="3" t="s">
        <v>538</v>
      </c>
      <c r="Z562" s="3" t="s">
        <v>63</v>
      </c>
      <c r="AA562" s="3" t="s">
        <v>539</v>
      </c>
      <c r="AB562" s="3" t="s">
        <v>43</v>
      </c>
      <c r="AC562" s="3" t="s">
        <v>66</v>
      </c>
      <c r="AD562" s="3">
        <v>1</v>
      </c>
    </row>
    <row r="563" spans="1:30" x14ac:dyDescent="0.3">
      <c r="A563" s="5">
        <v>901</v>
      </c>
      <c r="B563" s="6" t="s">
        <v>497</v>
      </c>
      <c r="C563" s="3" t="s">
        <v>527</v>
      </c>
      <c r="D563" s="3" t="s">
        <v>57</v>
      </c>
      <c r="E563" s="3" t="s">
        <v>32</v>
      </c>
      <c r="F563" s="12">
        <v>45657</v>
      </c>
      <c r="G563" s="8">
        <v>2024</v>
      </c>
      <c r="H563" s="7" t="s">
        <v>44</v>
      </c>
      <c r="I563" s="7" t="s">
        <v>53</v>
      </c>
      <c r="J563" s="3">
        <v>2</v>
      </c>
      <c r="K563" s="11">
        <v>82</v>
      </c>
      <c r="L563" s="11">
        <v>72</v>
      </c>
      <c r="M563" s="3">
        <f t="shared" si="109"/>
        <v>0.87804878048780488</v>
      </c>
      <c r="N563" s="3">
        <f t="shared" si="110"/>
        <v>0.87804878048780488</v>
      </c>
      <c r="O563" s="3"/>
      <c r="P563" s="3"/>
      <c r="Q563" s="3" t="str">
        <f t="shared" si="92"/>
        <v>901-2024-12-31</v>
      </c>
      <c r="R563" s="3">
        <v>0</v>
      </c>
      <c r="S563" s="3">
        <v>0</v>
      </c>
      <c r="T563" s="3"/>
      <c r="U563" s="3" t="s">
        <v>37</v>
      </c>
      <c r="V563" s="3" t="s">
        <v>527</v>
      </c>
      <c r="W563" s="3" t="s">
        <v>312</v>
      </c>
      <c r="X563" s="3" t="s">
        <v>313</v>
      </c>
      <c r="Y563" s="3" t="s">
        <v>540</v>
      </c>
      <c r="Z563" s="3" t="s">
        <v>86</v>
      </c>
      <c r="AA563" s="3" t="s">
        <v>87</v>
      </c>
      <c r="AB563" s="3" t="s">
        <v>43</v>
      </c>
      <c r="AC563" s="3" t="s">
        <v>66</v>
      </c>
      <c r="AD563" s="3">
        <v>1</v>
      </c>
    </row>
    <row r="564" spans="1:30" x14ac:dyDescent="0.3">
      <c r="A564" s="5">
        <v>902</v>
      </c>
      <c r="B564" s="6" t="s">
        <v>498</v>
      </c>
      <c r="C564" s="3" t="s">
        <v>528</v>
      </c>
      <c r="D564" s="3" t="s">
        <v>57</v>
      </c>
      <c r="E564" s="3" t="s">
        <v>32</v>
      </c>
      <c r="F564" s="12">
        <v>45657</v>
      </c>
      <c r="G564" s="8">
        <v>2024</v>
      </c>
      <c r="H564" s="7" t="s">
        <v>44</v>
      </c>
      <c r="I564" s="7" t="s">
        <v>53</v>
      </c>
      <c r="J564" s="3">
        <v>2</v>
      </c>
      <c r="K564" s="10">
        <v>100</v>
      </c>
      <c r="L564" s="10">
        <v>100</v>
      </c>
      <c r="M564" s="3">
        <f t="shared" si="109"/>
        <v>1</v>
      </c>
      <c r="N564" s="3">
        <f t="shared" si="110"/>
        <v>1</v>
      </c>
      <c r="O564" s="3"/>
      <c r="P564" s="3"/>
      <c r="Q564" s="3" t="str">
        <f t="shared" si="92"/>
        <v>902-2024-12-31</v>
      </c>
      <c r="R564" s="3">
        <v>0</v>
      </c>
      <c r="S564" s="3">
        <v>0</v>
      </c>
      <c r="T564" s="3" t="s">
        <v>443</v>
      </c>
      <c r="U564" s="3" t="s">
        <v>37</v>
      </c>
      <c r="V564" s="3" t="s">
        <v>528</v>
      </c>
      <c r="W564" s="3" t="s">
        <v>73</v>
      </c>
      <c r="X564" s="3" t="s">
        <v>74</v>
      </c>
      <c r="Y564" s="3" t="s">
        <v>585</v>
      </c>
      <c r="Z564" s="3" t="s">
        <v>76</v>
      </c>
      <c r="AA564" s="3" t="s">
        <v>77</v>
      </c>
      <c r="AB564" s="3" t="s">
        <v>43</v>
      </c>
      <c r="AC564" s="3" t="s">
        <v>66</v>
      </c>
      <c r="AD564" s="3">
        <v>1</v>
      </c>
    </row>
    <row r="565" spans="1:30" x14ac:dyDescent="0.3">
      <c r="A565" s="5">
        <v>903</v>
      </c>
      <c r="B565" s="6" t="s">
        <v>499</v>
      </c>
      <c r="C565" s="3" t="s">
        <v>529</v>
      </c>
      <c r="D565" s="3" t="s">
        <v>57</v>
      </c>
      <c r="E565" s="3" t="s">
        <v>32</v>
      </c>
      <c r="F565" s="12">
        <v>45657</v>
      </c>
      <c r="G565" s="8">
        <v>2024</v>
      </c>
      <c r="H565" s="7" t="s">
        <v>44</v>
      </c>
      <c r="I565" s="7" t="s">
        <v>53</v>
      </c>
      <c r="J565" s="3"/>
      <c r="K565" s="10">
        <v>49</v>
      </c>
      <c r="L565" s="10">
        <v>49</v>
      </c>
      <c r="M565" s="3">
        <f t="shared" si="109"/>
        <v>1</v>
      </c>
      <c r="N565" s="3">
        <f t="shared" si="110"/>
        <v>1</v>
      </c>
      <c r="O565" s="3"/>
      <c r="P565" s="3"/>
      <c r="Q565" s="3" t="str">
        <f t="shared" si="92"/>
        <v>903-2024-12-31</v>
      </c>
      <c r="R565" s="3">
        <v>0</v>
      </c>
      <c r="S565" s="3">
        <v>0</v>
      </c>
      <c r="T565" s="3"/>
      <c r="U565" s="3" t="s">
        <v>37</v>
      </c>
      <c r="V565" s="3" t="s">
        <v>529</v>
      </c>
      <c r="W565" s="3" t="s">
        <v>112</v>
      </c>
      <c r="X565" s="3" t="s">
        <v>113</v>
      </c>
      <c r="Y565" s="3" t="s">
        <v>541</v>
      </c>
      <c r="Z565" s="3" t="s">
        <v>101</v>
      </c>
      <c r="AA565" s="3" t="s">
        <v>264</v>
      </c>
      <c r="AB565" s="3" t="s">
        <v>43</v>
      </c>
      <c r="AC565" s="3" t="s">
        <v>66</v>
      </c>
      <c r="AD565" s="3">
        <v>1</v>
      </c>
    </row>
    <row r="566" spans="1:30" x14ac:dyDescent="0.3">
      <c r="A566" s="5">
        <v>905</v>
      </c>
      <c r="B566" s="6" t="s">
        <v>501</v>
      </c>
      <c r="C566" s="3" t="s">
        <v>527</v>
      </c>
      <c r="D566" s="3" t="s">
        <v>57</v>
      </c>
      <c r="E566" s="3" t="s">
        <v>32</v>
      </c>
      <c r="F566" s="12">
        <v>45657</v>
      </c>
      <c r="G566" s="8">
        <v>2024</v>
      </c>
      <c r="H566" s="7" t="s">
        <v>44</v>
      </c>
      <c r="I566" s="7" t="s">
        <v>53</v>
      </c>
      <c r="J566" s="3">
        <v>2</v>
      </c>
      <c r="K566" s="10">
        <v>100</v>
      </c>
      <c r="L566" s="10">
        <v>100</v>
      </c>
      <c r="M566" s="3">
        <f t="shared" si="109"/>
        <v>1</v>
      </c>
      <c r="N566" s="3">
        <f t="shared" si="110"/>
        <v>1</v>
      </c>
      <c r="O566" s="3" t="s">
        <v>58</v>
      </c>
      <c r="P566" s="3" t="s">
        <v>58</v>
      </c>
      <c r="Q566" s="3" t="str">
        <f t="shared" si="92"/>
        <v>905-2024-12-31</v>
      </c>
      <c r="R566" s="3">
        <v>0</v>
      </c>
      <c r="S566" s="3">
        <v>0</v>
      </c>
      <c r="T566" s="3" t="s">
        <v>443</v>
      </c>
      <c r="U566" s="3" t="s">
        <v>37</v>
      </c>
      <c r="V566" s="3" t="s">
        <v>527</v>
      </c>
      <c r="W566" s="3" t="s">
        <v>73</v>
      </c>
      <c r="X566" s="3" t="s">
        <v>218</v>
      </c>
      <c r="Y566" s="3" t="s">
        <v>331</v>
      </c>
      <c r="Z566" s="3" t="s">
        <v>86</v>
      </c>
      <c r="AA566" s="3" t="s">
        <v>87</v>
      </c>
      <c r="AB566" s="3" t="s">
        <v>43</v>
      </c>
      <c r="AC566" s="3" t="s">
        <v>66</v>
      </c>
      <c r="AD566" s="3">
        <v>1</v>
      </c>
    </row>
    <row r="567" spans="1:30" x14ac:dyDescent="0.3">
      <c r="A567" s="5">
        <v>906</v>
      </c>
      <c r="B567" s="6" t="s">
        <v>502</v>
      </c>
      <c r="C567" s="3" t="s">
        <v>527</v>
      </c>
      <c r="D567" s="3" t="s">
        <v>57</v>
      </c>
      <c r="E567" s="3" t="s">
        <v>32</v>
      </c>
      <c r="F567" s="12">
        <v>45657</v>
      </c>
      <c r="G567" s="8">
        <v>2024</v>
      </c>
      <c r="H567" s="7" t="s">
        <v>44</v>
      </c>
      <c r="I567" s="7" t="s">
        <v>53</v>
      </c>
      <c r="J567" s="3">
        <v>2</v>
      </c>
      <c r="K567" s="10">
        <v>100</v>
      </c>
      <c r="L567" s="10">
        <v>100</v>
      </c>
      <c r="M567" s="3">
        <f t="shared" si="109"/>
        <v>1</v>
      </c>
      <c r="N567" s="3">
        <f t="shared" si="110"/>
        <v>1</v>
      </c>
      <c r="O567" s="3" t="s">
        <v>58</v>
      </c>
      <c r="P567" s="3" t="s">
        <v>58</v>
      </c>
      <c r="Q567" s="3" t="str">
        <f t="shared" si="92"/>
        <v>906-2024-12-31</v>
      </c>
      <c r="R567" s="3">
        <v>0</v>
      </c>
      <c r="S567" s="3">
        <v>0</v>
      </c>
      <c r="T567" s="3" t="s">
        <v>443</v>
      </c>
      <c r="U567" s="3" t="s">
        <v>37</v>
      </c>
      <c r="V567" s="3" t="s">
        <v>527</v>
      </c>
      <c r="W567" s="3" t="s">
        <v>73</v>
      </c>
      <c r="X567" s="3" t="s">
        <v>74</v>
      </c>
      <c r="Y567" s="3" t="s">
        <v>585</v>
      </c>
      <c r="Z567" s="3" t="s">
        <v>76</v>
      </c>
      <c r="AA567" s="3" t="s">
        <v>77</v>
      </c>
      <c r="AB567" s="3" t="s">
        <v>43</v>
      </c>
      <c r="AC567" s="3" t="s">
        <v>66</v>
      </c>
      <c r="AD567" s="3">
        <v>1</v>
      </c>
    </row>
    <row r="568" spans="1:30" x14ac:dyDescent="0.3">
      <c r="A568" s="5">
        <v>907</v>
      </c>
      <c r="B568" s="6" t="s">
        <v>503</v>
      </c>
      <c r="C568" s="3" t="s">
        <v>527</v>
      </c>
      <c r="D568" s="3" t="s">
        <v>57</v>
      </c>
      <c r="E568" s="3" t="s">
        <v>32</v>
      </c>
      <c r="F568" s="12">
        <v>45657</v>
      </c>
      <c r="G568" s="8">
        <v>2024</v>
      </c>
      <c r="H568" s="7" t="s">
        <v>44</v>
      </c>
      <c r="I568" s="7" t="s">
        <v>53</v>
      </c>
      <c r="J568" s="3">
        <v>2</v>
      </c>
      <c r="K568" s="10">
        <v>100</v>
      </c>
      <c r="L568" s="10">
        <v>100</v>
      </c>
      <c r="M568" s="3">
        <f t="shared" si="109"/>
        <v>1</v>
      </c>
      <c r="N568" s="3">
        <f t="shared" si="110"/>
        <v>1</v>
      </c>
      <c r="O568" s="3" t="s">
        <v>58</v>
      </c>
      <c r="P568" s="3" t="s">
        <v>58</v>
      </c>
      <c r="Q568" s="3" t="str">
        <f t="shared" si="92"/>
        <v>907-2024-12-31</v>
      </c>
      <c r="R568" s="3">
        <v>0</v>
      </c>
      <c r="S568" s="3">
        <v>0</v>
      </c>
      <c r="T568" s="3" t="s">
        <v>443</v>
      </c>
      <c r="U568" s="3" t="s">
        <v>37</v>
      </c>
      <c r="V568" s="3" t="s">
        <v>527</v>
      </c>
      <c r="W568" s="3" t="s">
        <v>73</v>
      </c>
      <c r="X568" s="3" t="s">
        <v>218</v>
      </c>
      <c r="Y568" s="3" t="s">
        <v>331</v>
      </c>
      <c r="Z568" s="3" t="s">
        <v>86</v>
      </c>
      <c r="AA568" s="3" t="s">
        <v>339</v>
      </c>
      <c r="AB568" s="3" t="s">
        <v>43</v>
      </c>
      <c r="AC568" s="3" t="s">
        <v>66</v>
      </c>
      <c r="AD568" s="3">
        <v>1</v>
      </c>
    </row>
    <row r="569" spans="1:30" x14ac:dyDescent="0.3">
      <c r="A569" s="5">
        <v>908</v>
      </c>
      <c r="B569" s="6" t="s">
        <v>504</v>
      </c>
      <c r="C569" s="3" t="s">
        <v>83</v>
      </c>
      <c r="D569" s="3" t="s">
        <v>57</v>
      </c>
      <c r="E569" s="3" t="s">
        <v>32</v>
      </c>
      <c r="F569" s="12">
        <v>45657</v>
      </c>
      <c r="G569" s="8">
        <v>2024</v>
      </c>
      <c r="H569" s="7" t="s">
        <v>44</v>
      </c>
      <c r="I569" s="7" t="s">
        <v>53</v>
      </c>
      <c r="J569" s="3">
        <v>2</v>
      </c>
      <c r="K569" s="10">
        <v>100</v>
      </c>
      <c r="L569" s="10">
        <v>100</v>
      </c>
      <c r="M569" s="3">
        <f t="shared" si="109"/>
        <v>1</v>
      </c>
      <c r="N569" s="3">
        <f t="shared" si="110"/>
        <v>1</v>
      </c>
      <c r="O569" s="3" t="s">
        <v>58</v>
      </c>
      <c r="P569" s="3" t="s">
        <v>58</v>
      </c>
      <c r="Q569" s="3" t="str">
        <f t="shared" si="92"/>
        <v>908-2024-12-31</v>
      </c>
      <c r="R569" s="3">
        <v>0</v>
      </c>
      <c r="S569" s="3">
        <v>0</v>
      </c>
      <c r="T569" s="3" t="s">
        <v>443</v>
      </c>
      <c r="U569" s="3" t="s">
        <v>37</v>
      </c>
      <c r="V569" s="3" t="s">
        <v>83</v>
      </c>
      <c r="W569" s="3" t="s">
        <v>38</v>
      </c>
      <c r="X569" s="3" t="s">
        <v>39</v>
      </c>
      <c r="Y569" s="3" t="s">
        <v>85</v>
      </c>
      <c r="Z569" s="3" t="s">
        <v>63</v>
      </c>
      <c r="AA569" s="3" t="s">
        <v>539</v>
      </c>
      <c r="AB569" s="3" t="s">
        <v>43</v>
      </c>
      <c r="AC569" s="3" t="s">
        <v>66</v>
      </c>
      <c r="AD569" s="3">
        <v>1</v>
      </c>
    </row>
    <row r="570" spans="1:30" x14ac:dyDescent="0.3">
      <c r="A570" s="3" t="s">
        <v>485</v>
      </c>
      <c r="B570" s="3" t="s">
        <v>486</v>
      </c>
      <c r="C570" s="3" t="s">
        <v>487</v>
      </c>
      <c r="D570" s="3" t="s">
        <v>57</v>
      </c>
      <c r="E570" s="3" t="s">
        <v>32</v>
      </c>
      <c r="F570" s="12">
        <v>44926</v>
      </c>
      <c r="G570" s="8">
        <v>2022</v>
      </c>
      <c r="H570" s="7" t="s">
        <v>44</v>
      </c>
      <c r="I570" s="7" t="s">
        <v>45</v>
      </c>
      <c r="J570" s="3">
        <v>2</v>
      </c>
      <c r="K570" s="3">
        <v>87</v>
      </c>
      <c r="L570" s="3">
        <v>89</v>
      </c>
      <c r="M570" s="3">
        <f t="shared" si="109"/>
        <v>1</v>
      </c>
      <c r="N570" s="3">
        <f t="shared" si="110"/>
        <v>1</v>
      </c>
      <c r="O570" s="3">
        <v>0</v>
      </c>
      <c r="P570" s="3">
        <v>0</v>
      </c>
      <c r="Q570" s="3" t="str">
        <f t="shared" si="92"/>
        <v>10.1-2022-12-31</v>
      </c>
      <c r="R570" s="3">
        <v>0</v>
      </c>
      <c r="S570" s="3">
        <v>0</v>
      </c>
      <c r="T570" s="3" t="s">
        <v>443</v>
      </c>
      <c r="U570" s="3" t="s">
        <v>37</v>
      </c>
      <c r="V570" s="3" t="s">
        <v>487</v>
      </c>
      <c r="W570" s="3" t="s">
        <v>73</v>
      </c>
      <c r="X570" s="3" t="s">
        <v>74</v>
      </c>
      <c r="Y570" s="3" t="s">
        <v>585</v>
      </c>
      <c r="Z570" s="3" t="s">
        <v>86</v>
      </c>
      <c r="AA570" s="3" t="s">
        <v>87</v>
      </c>
      <c r="AB570" s="3" t="s">
        <v>43</v>
      </c>
      <c r="AC570" s="3" t="s">
        <v>66</v>
      </c>
      <c r="AD570" s="3">
        <v>1</v>
      </c>
    </row>
    <row r="571" spans="1:30" x14ac:dyDescent="0.3">
      <c r="A571" s="3" t="s">
        <v>485</v>
      </c>
      <c r="B571" s="3" t="s">
        <v>486</v>
      </c>
      <c r="C571" s="3" t="s">
        <v>487</v>
      </c>
      <c r="D571" s="3" t="s">
        <v>57</v>
      </c>
      <c r="E571" s="3" t="s">
        <v>32</v>
      </c>
      <c r="F571" s="12">
        <v>45291</v>
      </c>
      <c r="G571" s="8">
        <v>2023</v>
      </c>
      <c r="H571" s="7" t="s">
        <v>44</v>
      </c>
      <c r="I571" s="7" t="s">
        <v>49</v>
      </c>
      <c r="J571" s="3">
        <v>2</v>
      </c>
      <c r="K571" s="3">
        <v>100</v>
      </c>
      <c r="L571" s="3">
        <v>100</v>
      </c>
      <c r="M571" s="3">
        <f t="shared" si="109"/>
        <v>1</v>
      </c>
      <c r="N571" s="3">
        <f t="shared" si="110"/>
        <v>1</v>
      </c>
      <c r="O571" s="3">
        <v>0</v>
      </c>
      <c r="P571" s="3">
        <v>0</v>
      </c>
      <c r="Q571" s="3" t="str">
        <f t="shared" si="92"/>
        <v>10.1-2023-12-31</v>
      </c>
      <c r="R571" s="3">
        <v>0</v>
      </c>
      <c r="S571" s="3">
        <v>0</v>
      </c>
      <c r="T571" s="3" t="s">
        <v>443</v>
      </c>
      <c r="U571" s="3" t="s">
        <v>37</v>
      </c>
      <c r="V571" s="3" t="s">
        <v>487</v>
      </c>
      <c r="W571" s="3" t="s">
        <v>73</v>
      </c>
      <c r="X571" s="3" t="s">
        <v>74</v>
      </c>
      <c r="Y571" s="3" t="s">
        <v>585</v>
      </c>
      <c r="Z571" s="3" t="s">
        <v>86</v>
      </c>
      <c r="AA571" s="3" t="s">
        <v>87</v>
      </c>
      <c r="AB571" s="3" t="s">
        <v>43</v>
      </c>
      <c r="AC571" s="3" t="s">
        <v>66</v>
      </c>
      <c r="AD571" s="3">
        <v>1</v>
      </c>
    </row>
    <row r="572" spans="1:30" x14ac:dyDescent="0.3">
      <c r="A572" s="3" t="s">
        <v>488</v>
      </c>
      <c r="B572" s="3" t="s">
        <v>547</v>
      </c>
      <c r="C572" s="3" t="s">
        <v>521</v>
      </c>
      <c r="D572" s="3" t="s">
        <v>57</v>
      </c>
      <c r="E572" s="3" t="s">
        <v>32</v>
      </c>
      <c r="F572" s="12">
        <v>44926</v>
      </c>
      <c r="G572" s="8">
        <v>2022</v>
      </c>
      <c r="H572" s="7" t="s">
        <v>44</v>
      </c>
      <c r="I572" s="7" t="s">
        <v>45</v>
      </c>
      <c r="J572" s="3">
        <v>2</v>
      </c>
      <c r="K572" s="3">
        <v>57</v>
      </c>
      <c r="L572" s="3">
        <v>71</v>
      </c>
      <c r="M572" s="3">
        <f t="shared" si="109"/>
        <v>1</v>
      </c>
      <c r="N572" s="3">
        <f t="shared" si="110"/>
        <v>1</v>
      </c>
      <c r="O572" s="3" t="s">
        <v>58</v>
      </c>
      <c r="P572" s="3" t="s">
        <v>58</v>
      </c>
      <c r="Q572" s="3" t="str">
        <f t="shared" si="92"/>
        <v>13.1-2022-12-31</v>
      </c>
      <c r="R572" s="3">
        <v>0</v>
      </c>
      <c r="S572" s="3">
        <v>0</v>
      </c>
      <c r="T572" s="3" t="s">
        <v>443</v>
      </c>
      <c r="U572" s="3" t="s">
        <v>37</v>
      </c>
      <c r="V572" s="3" t="s">
        <v>521</v>
      </c>
      <c r="W572" s="3" t="s">
        <v>112</v>
      </c>
      <c r="X572" s="3" t="s">
        <v>113</v>
      </c>
      <c r="Y572" s="3" t="s">
        <v>538</v>
      </c>
      <c r="Z572" s="3" t="s">
        <v>63</v>
      </c>
      <c r="AA572" s="3" t="s">
        <v>334</v>
      </c>
      <c r="AB572" s="3" t="s">
        <v>43</v>
      </c>
      <c r="AC572" s="3" t="s">
        <v>66</v>
      </c>
      <c r="AD572" s="3">
        <v>1</v>
      </c>
    </row>
    <row r="573" spans="1:30" x14ac:dyDescent="0.3">
      <c r="A573" s="3" t="s">
        <v>488</v>
      </c>
      <c r="B573" s="3" t="s">
        <v>547</v>
      </c>
      <c r="C573" s="3" t="s">
        <v>521</v>
      </c>
      <c r="D573" s="3" t="s">
        <v>57</v>
      </c>
      <c r="E573" s="3" t="s">
        <v>32</v>
      </c>
      <c r="F573" s="12">
        <v>45291</v>
      </c>
      <c r="G573" s="8">
        <v>2023</v>
      </c>
      <c r="H573" s="7" t="s">
        <v>44</v>
      </c>
      <c r="I573" s="7" t="s">
        <v>49</v>
      </c>
      <c r="J573" s="3">
        <v>2</v>
      </c>
      <c r="K573" s="3">
        <v>100</v>
      </c>
      <c r="L573" s="3">
        <v>100</v>
      </c>
      <c r="M573" s="3">
        <f t="shared" si="109"/>
        <v>1</v>
      </c>
      <c r="N573" s="3">
        <f t="shared" si="110"/>
        <v>1</v>
      </c>
      <c r="O573" s="3" t="s">
        <v>58</v>
      </c>
      <c r="P573" s="3" t="s">
        <v>58</v>
      </c>
      <c r="Q573" s="3" t="str">
        <f t="shared" si="92"/>
        <v>13.1-2023-12-31</v>
      </c>
      <c r="R573" s="3">
        <v>0</v>
      </c>
      <c r="S573" s="3">
        <v>0</v>
      </c>
      <c r="T573" s="3" t="s">
        <v>443</v>
      </c>
      <c r="U573" s="3" t="s">
        <v>37</v>
      </c>
      <c r="V573" s="3" t="s">
        <v>521</v>
      </c>
      <c r="W573" s="3" t="s">
        <v>112</v>
      </c>
      <c r="X573" s="3" t="s">
        <v>113</v>
      </c>
      <c r="Y573" s="3" t="s">
        <v>538</v>
      </c>
      <c r="Z573" s="3" t="s">
        <v>63</v>
      </c>
      <c r="AA573" s="3" t="s">
        <v>334</v>
      </c>
      <c r="AB573" s="3" t="s">
        <v>43</v>
      </c>
      <c r="AC573" s="3" t="s">
        <v>66</v>
      </c>
      <c r="AD573" s="3">
        <v>1</v>
      </c>
    </row>
    <row r="574" spans="1:30" x14ac:dyDescent="0.3">
      <c r="A574" s="3">
        <v>1</v>
      </c>
      <c r="B574" s="3" t="s">
        <v>549</v>
      </c>
      <c r="C574" s="3" t="s">
        <v>349</v>
      </c>
      <c r="D574" s="3" t="s">
        <v>57</v>
      </c>
      <c r="E574" s="3" t="s">
        <v>32</v>
      </c>
      <c r="F574" s="12">
        <v>46023</v>
      </c>
      <c r="G574" s="3">
        <v>2026</v>
      </c>
      <c r="H574" s="3" t="s">
        <v>484</v>
      </c>
      <c r="I574" s="3" t="s">
        <v>484</v>
      </c>
      <c r="J574" s="3"/>
      <c r="K574" s="9">
        <v>100</v>
      </c>
      <c r="L574" s="9">
        <v>100</v>
      </c>
      <c r="M574" s="3">
        <f t="shared" si="109"/>
        <v>1</v>
      </c>
      <c r="N574" s="3">
        <f t="shared" si="110"/>
        <v>1</v>
      </c>
      <c r="O574" s="3" t="s">
        <v>58</v>
      </c>
      <c r="P574" s="3" t="s">
        <v>58</v>
      </c>
      <c r="Q574" s="3" t="str">
        <f t="shared" si="92"/>
        <v>1-2026-01-01</v>
      </c>
      <c r="R574" s="3">
        <v>0</v>
      </c>
      <c r="S574" s="3">
        <v>0</v>
      </c>
      <c r="T574" s="3" t="s">
        <v>484</v>
      </c>
      <c r="U574" s="3" t="s">
        <v>37</v>
      </c>
      <c r="V574" s="3" t="s">
        <v>349</v>
      </c>
      <c r="W574" s="3" t="s">
        <v>73</v>
      </c>
      <c r="X574" s="3" t="s">
        <v>218</v>
      </c>
      <c r="Y574" s="3" t="s">
        <v>351</v>
      </c>
      <c r="Z574" s="3" t="s">
        <v>86</v>
      </c>
      <c r="AA574" s="3" t="s">
        <v>87</v>
      </c>
      <c r="AB574" s="3" t="s">
        <v>43</v>
      </c>
      <c r="AC574" s="3" t="s">
        <v>66</v>
      </c>
      <c r="AD574" s="3">
        <v>1</v>
      </c>
    </row>
    <row r="575" spans="1:30" x14ac:dyDescent="0.3">
      <c r="A575" s="3">
        <v>2</v>
      </c>
      <c r="B575" s="3" t="s">
        <v>489</v>
      </c>
      <c r="C575" s="3" t="s">
        <v>521</v>
      </c>
      <c r="D575" s="3" t="s">
        <v>57</v>
      </c>
      <c r="E575" s="3" t="s">
        <v>32</v>
      </c>
      <c r="F575" s="12">
        <v>46023</v>
      </c>
      <c r="G575" s="3">
        <v>2026</v>
      </c>
      <c r="H575" s="3" t="s">
        <v>484</v>
      </c>
      <c r="I575" s="3" t="s">
        <v>484</v>
      </c>
      <c r="J575" s="3"/>
      <c r="K575" s="3">
        <v>100</v>
      </c>
      <c r="L575" s="3">
        <v>100</v>
      </c>
      <c r="M575" s="3">
        <f t="shared" si="109"/>
        <v>1</v>
      </c>
      <c r="N575" s="3">
        <f t="shared" si="110"/>
        <v>1</v>
      </c>
      <c r="O575" s="3" t="s">
        <v>58</v>
      </c>
      <c r="P575" s="3" t="s">
        <v>58</v>
      </c>
      <c r="Q575" s="3" t="str">
        <f t="shared" si="92"/>
        <v>2-2026-01-01</v>
      </c>
      <c r="R575" s="3">
        <v>0</v>
      </c>
      <c r="S575" s="3">
        <v>0</v>
      </c>
      <c r="T575" s="3" t="s">
        <v>484</v>
      </c>
      <c r="U575" s="3" t="s">
        <v>37</v>
      </c>
      <c r="V575" s="3" t="s">
        <v>521</v>
      </c>
      <c r="W575" s="3" t="s">
        <v>60</v>
      </c>
      <c r="X575" s="3" t="s">
        <v>100</v>
      </c>
      <c r="Y575" s="3" t="s">
        <v>133</v>
      </c>
      <c r="Z575" s="3" t="s">
        <v>134</v>
      </c>
      <c r="AA575" s="3" t="s">
        <v>532</v>
      </c>
      <c r="AB575" s="3" t="s">
        <v>43</v>
      </c>
      <c r="AC575" s="3" t="s">
        <v>66</v>
      </c>
      <c r="AD575" s="3">
        <v>1</v>
      </c>
    </row>
    <row r="576" spans="1:30" x14ac:dyDescent="0.3">
      <c r="A576" s="3">
        <v>3</v>
      </c>
      <c r="B576" s="3" t="s">
        <v>490</v>
      </c>
      <c r="C576" s="3" t="s">
        <v>522</v>
      </c>
      <c r="D576" s="3" t="s">
        <v>57</v>
      </c>
      <c r="E576" s="3" t="s">
        <v>32</v>
      </c>
      <c r="F576" s="12">
        <v>46023</v>
      </c>
      <c r="G576" s="3">
        <v>2026</v>
      </c>
      <c r="H576" s="3" t="s">
        <v>484</v>
      </c>
      <c r="I576" s="3" t="s">
        <v>484</v>
      </c>
      <c r="J576" s="3"/>
      <c r="K576" s="9">
        <v>100</v>
      </c>
      <c r="L576" s="9">
        <v>100</v>
      </c>
      <c r="M576" s="3">
        <f t="shared" si="109"/>
        <v>1</v>
      </c>
      <c r="N576" s="3">
        <f t="shared" si="110"/>
        <v>1</v>
      </c>
      <c r="O576" s="3" t="s">
        <v>58</v>
      </c>
      <c r="P576" s="3" t="s">
        <v>58</v>
      </c>
      <c r="Q576" s="3" t="str">
        <f t="shared" si="92"/>
        <v>3-2026-01-01</v>
      </c>
      <c r="R576" s="3">
        <v>0</v>
      </c>
      <c r="S576" s="3">
        <v>0</v>
      </c>
      <c r="T576" s="3" t="s">
        <v>484</v>
      </c>
      <c r="U576" s="3" t="s">
        <v>37</v>
      </c>
      <c r="V576" s="3" t="s">
        <v>522</v>
      </c>
      <c r="W576" s="3" t="s">
        <v>60</v>
      </c>
      <c r="X576" s="3" t="s">
        <v>262</v>
      </c>
      <c r="Y576" s="3" t="s">
        <v>533</v>
      </c>
      <c r="Z576" s="3" t="s">
        <v>101</v>
      </c>
      <c r="AA576" s="3" t="s">
        <v>534</v>
      </c>
      <c r="AB576" s="3" t="s">
        <v>43</v>
      </c>
      <c r="AC576" s="3" t="s">
        <v>66</v>
      </c>
      <c r="AD576" s="3">
        <v>1</v>
      </c>
    </row>
    <row r="577" spans="1:30" x14ac:dyDescent="0.3">
      <c r="A577" s="3">
        <v>4</v>
      </c>
      <c r="B577" s="3" t="s">
        <v>491</v>
      </c>
      <c r="C577" s="3" t="s">
        <v>523</v>
      </c>
      <c r="D577" s="3" t="s">
        <v>57</v>
      </c>
      <c r="E577" s="3" t="s">
        <v>32</v>
      </c>
      <c r="F577" s="12">
        <v>46023</v>
      </c>
      <c r="G577" s="3">
        <v>2026</v>
      </c>
      <c r="H577" s="3" t="s">
        <v>484</v>
      </c>
      <c r="I577" s="3" t="s">
        <v>484</v>
      </c>
      <c r="J577" s="3"/>
      <c r="K577" s="9">
        <v>100</v>
      </c>
      <c r="L577" s="9">
        <v>100</v>
      </c>
      <c r="M577" s="3">
        <f t="shared" si="109"/>
        <v>1</v>
      </c>
      <c r="N577" s="3">
        <f t="shared" si="110"/>
        <v>1</v>
      </c>
      <c r="O577" s="3"/>
      <c r="P577" s="3"/>
      <c r="Q577" s="3" t="str">
        <f t="shared" si="92"/>
        <v>4-2026-01-01</v>
      </c>
      <c r="R577" s="3">
        <v>0</v>
      </c>
      <c r="S577" s="3">
        <v>0</v>
      </c>
      <c r="T577" s="3" t="s">
        <v>484</v>
      </c>
      <c r="U577" s="3" t="s">
        <v>37</v>
      </c>
      <c r="V577" s="3" t="s">
        <v>523</v>
      </c>
      <c r="W577" s="3" t="s">
        <v>145</v>
      </c>
      <c r="X577" s="3" t="s">
        <v>179</v>
      </c>
      <c r="Y577" s="3" t="s">
        <v>180</v>
      </c>
      <c r="Z577" s="3" t="s">
        <v>101</v>
      </c>
      <c r="AA577" s="3" t="s">
        <v>264</v>
      </c>
      <c r="AB577" s="3" t="s">
        <v>43</v>
      </c>
      <c r="AC577" s="3" t="s">
        <v>66</v>
      </c>
      <c r="AD577" s="3">
        <v>1</v>
      </c>
    </row>
    <row r="578" spans="1:30" x14ac:dyDescent="0.3">
      <c r="A578" s="3">
        <v>6</v>
      </c>
      <c r="B578" s="3" t="s">
        <v>493</v>
      </c>
      <c r="C578" s="3" t="s">
        <v>524</v>
      </c>
      <c r="D578" s="3" t="s">
        <v>57</v>
      </c>
      <c r="E578" s="3" t="s">
        <v>32</v>
      </c>
      <c r="F578" s="12">
        <v>46023</v>
      </c>
      <c r="G578" s="3">
        <v>2026</v>
      </c>
      <c r="H578" s="3" t="s">
        <v>484</v>
      </c>
      <c r="I578" s="3" t="s">
        <v>484</v>
      </c>
      <c r="J578" s="3"/>
      <c r="K578" s="9">
        <v>100</v>
      </c>
      <c r="L578" s="9">
        <v>100</v>
      </c>
      <c r="M578" s="3">
        <f t="shared" si="109"/>
        <v>1</v>
      </c>
      <c r="N578" s="3">
        <f t="shared" si="110"/>
        <v>1</v>
      </c>
      <c r="O578" s="3" t="s">
        <v>58</v>
      </c>
      <c r="P578" s="3" t="s">
        <v>58</v>
      </c>
      <c r="Q578" s="3" t="str">
        <f t="shared" si="92"/>
        <v>6-2026-01-01</v>
      </c>
      <c r="R578" s="3">
        <v>0</v>
      </c>
      <c r="S578" s="3">
        <v>0</v>
      </c>
      <c r="T578" s="3" t="s">
        <v>484</v>
      </c>
      <c r="U578" s="3" t="s">
        <v>37</v>
      </c>
      <c r="V578" s="3" t="s">
        <v>524</v>
      </c>
      <c r="W578" s="3" t="s">
        <v>60</v>
      </c>
      <c r="X578" s="3" t="s">
        <v>61</v>
      </c>
      <c r="Y578" s="3" t="s">
        <v>62</v>
      </c>
      <c r="Z578" s="3" t="s">
        <v>101</v>
      </c>
      <c r="AA578" s="3" t="s">
        <v>264</v>
      </c>
      <c r="AB578" s="3" t="s">
        <v>43</v>
      </c>
      <c r="AC578" s="3" t="s">
        <v>66</v>
      </c>
      <c r="AD578" s="3">
        <v>1</v>
      </c>
    </row>
    <row r="579" spans="1:30" x14ac:dyDescent="0.3">
      <c r="A579" s="3">
        <v>7</v>
      </c>
      <c r="B579" s="3" t="s">
        <v>494</v>
      </c>
      <c r="C579" s="3" t="s">
        <v>524</v>
      </c>
      <c r="D579" s="3" t="s">
        <v>57</v>
      </c>
      <c r="E579" s="3" t="s">
        <v>32</v>
      </c>
      <c r="F579" s="12">
        <v>46023</v>
      </c>
      <c r="G579" s="3">
        <v>2026</v>
      </c>
      <c r="H579" s="3" t="s">
        <v>484</v>
      </c>
      <c r="I579" s="3" t="s">
        <v>484</v>
      </c>
      <c r="J579" s="3"/>
      <c r="K579" s="9">
        <v>100</v>
      </c>
      <c r="L579" s="9">
        <v>100</v>
      </c>
      <c r="M579" s="3">
        <f t="shared" si="109"/>
        <v>1</v>
      </c>
      <c r="N579" s="3">
        <f t="shared" si="110"/>
        <v>1</v>
      </c>
      <c r="O579" s="3" t="s">
        <v>58</v>
      </c>
      <c r="P579" s="3" t="s">
        <v>58</v>
      </c>
      <c r="Q579" s="3" t="str">
        <f t="shared" ref="Q579:Q642" si="111">A579&amp;"-"&amp;YEAR(F579)&amp;"-"&amp;IF(LEN(MONTH(F579))=1,"0"&amp;MONTH(F579),MONTH(F579))&amp;"-"&amp;IF(LEN(DAY(F579))=1,"0"&amp;DAY(F579),DAY(F579))</f>
        <v>7-2026-01-01</v>
      </c>
      <c r="R579" s="3">
        <v>0</v>
      </c>
      <c r="S579" s="3">
        <v>0</v>
      </c>
      <c r="T579" s="3" t="s">
        <v>484</v>
      </c>
      <c r="U579" s="3" t="s">
        <v>37</v>
      </c>
      <c r="V579" s="3" t="s">
        <v>524</v>
      </c>
      <c r="W579" s="3" t="s">
        <v>60</v>
      </c>
      <c r="X579" s="3" t="s">
        <v>61</v>
      </c>
      <c r="Y579" s="3" t="s">
        <v>62</v>
      </c>
      <c r="Z579" s="3" t="s">
        <v>101</v>
      </c>
      <c r="AA579" s="3" t="s">
        <v>264</v>
      </c>
      <c r="AB579" s="3" t="s">
        <v>43</v>
      </c>
      <c r="AC579" s="3" t="s">
        <v>66</v>
      </c>
      <c r="AD579" s="3">
        <v>1</v>
      </c>
    </row>
    <row r="580" spans="1:30" x14ac:dyDescent="0.3">
      <c r="A580" s="3">
        <v>9</v>
      </c>
      <c r="B580" s="3" t="s">
        <v>551</v>
      </c>
      <c r="C580" s="3" t="s">
        <v>524</v>
      </c>
      <c r="D580" s="3" t="s">
        <v>57</v>
      </c>
      <c r="E580" s="3" t="s">
        <v>32</v>
      </c>
      <c r="F580" s="12">
        <v>46023</v>
      </c>
      <c r="G580" s="3">
        <v>2026</v>
      </c>
      <c r="H580" s="3" t="s">
        <v>484</v>
      </c>
      <c r="I580" s="3" t="s">
        <v>484</v>
      </c>
      <c r="J580" s="3"/>
      <c r="K580" s="9">
        <v>100</v>
      </c>
      <c r="L580" s="9">
        <v>100</v>
      </c>
      <c r="M580" s="3">
        <f t="shared" si="109"/>
        <v>1</v>
      </c>
      <c r="N580" s="3">
        <f t="shared" si="110"/>
        <v>1</v>
      </c>
      <c r="O580" s="3" t="s">
        <v>58</v>
      </c>
      <c r="P580" s="3" t="s">
        <v>58</v>
      </c>
      <c r="Q580" s="3" t="str">
        <f t="shared" si="111"/>
        <v>9-2026-01-01</v>
      </c>
      <c r="R580" s="3">
        <v>0</v>
      </c>
      <c r="S580" s="3">
        <v>0</v>
      </c>
      <c r="T580" s="3" t="s">
        <v>484</v>
      </c>
      <c r="U580" s="3" t="s">
        <v>37</v>
      </c>
      <c r="V580" s="3" t="s">
        <v>524</v>
      </c>
      <c r="W580" s="3" t="s">
        <v>60</v>
      </c>
      <c r="X580" s="3" t="s">
        <v>61</v>
      </c>
      <c r="Y580" s="3" t="s">
        <v>62</v>
      </c>
      <c r="Z580" s="3" t="s">
        <v>101</v>
      </c>
      <c r="AA580" s="3" t="s">
        <v>264</v>
      </c>
      <c r="AB580" s="3" t="s">
        <v>43</v>
      </c>
      <c r="AC580" s="3" t="s">
        <v>66</v>
      </c>
      <c r="AD580" s="3">
        <v>1</v>
      </c>
    </row>
    <row r="581" spans="1:30" x14ac:dyDescent="0.3">
      <c r="A581" s="3">
        <v>10</v>
      </c>
      <c r="B581" s="3" t="s">
        <v>496</v>
      </c>
      <c r="C581" s="3" t="s">
        <v>216</v>
      </c>
      <c r="D581" s="3" t="s">
        <v>57</v>
      </c>
      <c r="E581" s="3" t="s">
        <v>32</v>
      </c>
      <c r="F581" s="12">
        <v>46023</v>
      </c>
      <c r="G581" s="3">
        <v>2026</v>
      </c>
      <c r="H581" s="3" t="s">
        <v>484</v>
      </c>
      <c r="I581" s="3" t="s">
        <v>484</v>
      </c>
      <c r="J581" s="3"/>
      <c r="K581" s="9">
        <v>100</v>
      </c>
      <c r="L581" s="9">
        <v>100</v>
      </c>
      <c r="M581" s="3">
        <f t="shared" si="109"/>
        <v>1</v>
      </c>
      <c r="N581" s="3">
        <f t="shared" si="110"/>
        <v>1</v>
      </c>
      <c r="O581" s="3">
        <v>0</v>
      </c>
      <c r="P581" s="3">
        <v>0</v>
      </c>
      <c r="Q581" s="3" t="str">
        <f t="shared" si="111"/>
        <v>10-2026-01-01</v>
      </c>
      <c r="R581" s="3">
        <v>0</v>
      </c>
      <c r="S581" s="3">
        <v>0</v>
      </c>
      <c r="T581" s="3" t="s">
        <v>484</v>
      </c>
      <c r="U581" s="3" t="s">
        <v>37</v>
      </c>
      <c r="V581" s="3" t="s">
        <v>216</v>
      </c>
      <c r="W581" s="3" t="s">
        <v>73</v>
      </c>
      <c r="X581" s="3" t="s">
        <v>74</v>
      </c>
      <c r="Y581" s="3" t="s">
        <v>585</v>
      </c>
      <c r="Z581" s="3" t="s">
        <v>86</v>
      </c>
      <c r="AA581" s="3" t="s">
        <v>87</v>
      </c>
      <c r="AB581" s="3" t="s">
        <v>43</v>
      </c>
      <c r="AC581" s="3" t="s">
        <v>66</v>
      </c>
      <c r="AD581" s="3">
        <v>1</v>
      </c>
    </row>
    <row r="582" spans="1:30" x14ac:dyDescent="0.3">
      <c r="A582" s="3">
        <v>11</v>
      </c>
      <c r="B582" s="3" t="s">
        <v>550</v>
      </c>
      <c r="C582" s="3" t="s">
        <v>525</v>
      </c>
      <c r="D582" s="3" t="s">
        <v>57</v>
      </c>
      <c r="E582" s="3" t="s">
        <v>32</v>
      </c>
      <c r="F582" s="12">
        <v>46023</v>
      </c>
      <c r="G582" s="3">
        <v>2026</v>
      </c>
      <c r="H582" s="3" t="s">
        <v>484</v>
      </c>
      <c r="I582" s="3" t="s">
        <v>484</v>
      </c>
      <c r="J582" s="3"/>
      <c r="K582" s="9">
        <v>0</v>
      </c>
      <c r="L582" s="9">
        <v>0</v>
      </c>
      <c r="M582" s="15">
        <v>0</v>
      </c>
      <c r="N582" s="15">
        <v>0</v>
      </c>
      <c r="O582" s="3" t="s">
        <v>544</v>
      </c>
      <c r="P582" s="3" t="s">
        <v>544</v>
      </c>
      <c r="Q582" s="3" t="str">
        <f t="shared" si="111"/>
        <v>11-2026-01-01</v>
      </c>
      <c r="R582" s="3">
        <v>0</v>
      </c>
      <c r="S582" s="3">
        <v>0</v>
      </c>
      <c r="T582" s="3" t="s">
        <v>484</v>
      </c>
      <c r="U582" s="3" t="s">
        <v>37</v>
      </c>
      <c r="V582" s="3" t="s">
        <v>525</v>
      </c>
      <c r="W582" s="3" t="s">
        <v>312</v>
      </c>
      <c r="X582" s="3" t="s">
        <v>535</v>
      </c>
      <c r="Y582" s="3" t="s">
        <v>536</v>
      </c>
      <c r="Z582" s="3" t="s">
        <v>86</v>
      </c>
      <c r="AA582" s="3" t="s">
        <v>87</v>
      </c>
      <c r="AB582" s="3" t="s">
        <v>43</v>
      </c>
      <c r="AC582" s="3" t="s">
        <v>66</v>
      </c>
      <c r="AD582" s="3">
        <v>1</v>
      </c>
    </row>
    <row r="583" spans="1:30" x14ac:dyDescent="0.3">
      <c r="A583" s="3">
        <v>12</v>
      </c>
      <c r="B583" s="3" t="s">
        <v>545</v>
      </c>
      <c r="C583" s="3" t="s">
        <v>525</v>
      </c>
      <c r="D583" s="3" t="s">
        <v>57</v>
      </c>
      <c r="E583" s="3" t="s">
        <v>32</v>
      </c>
      <c r="F583" s="12">
        <v>46022</v>
      </c>
      <c r="G583" s="8">
        <v>2025</v>
      </c>
      <c r="H583" s="7" t="s">
        <v>44</v>
      </c>
      <c r="I583" s="7" t="s">
        <v>465</v>
      </c>
      <c r="J583" s="3">
        <v>2</v>
      </c>
      <c r="K583" s="9"/>
      <c r="L583" s="9"/>
      <c r="M583" s="15">
        <v>0</v>
      </c>
      <c r="N583" s="15">
        <v>0</v>
      </c>
      <c r="O583" s="3" t="s">
        <v>544</v>
      </c>
      <c r="P583" s="3" t="s">
        <v>544</v>
      </c>
      <c r="Q583" s="3" t="str">
        <f t="shared" si="111"/>
        <v>12-2025-12-31</v>
      </c>
      <c r="R583" s="3">
        <v>0</v>
      </c>
      <c r="S583" s="3">
        <v>0</v>
      </c>
      <c r="T583" s="3" t="s">
        <v>443</v>
      </c>
      <c r="U583" s="3" t="s">
        <v>37</v>
      </c>
      <c r="V583" s="3" t="s">
        <v>525</v>
      </c>
      <c r="W583" s="3" t="s">
        <v>312</v>
      </c>
      <c r="X583" s="3" t="s">
        <v>535</v>
      </c>
      <c r="Y583" s="3" t="s">
        <v>537</v>
      </c>
      <c r="Z583" s="3" t="s">
        <v>86</v>
      </c>
      <c r="AA583" s="3" t="s">
        <v>87</v>
      </c>
      <c r="AB583" s="3" t="s">
        <v>43</v>
      </c>
      <c r="AC583" s="3" t="s">
        <v>66</v>
      </c>
      <c r="AD583" s="3">
        <v>1</v>
      </c>
    </row>
    <row r="584" spans="1:30" x14ac:dyDescent="0.3">
      <c r="A584" s="3">
        <v>12</v>
      </c>
      <c r="B584" s="3" t="s">
        <v>545</v>
      </c>
      <c r="C584" s="3" t="s">
        <v>525</v>
      </c>
      <c r="D584" s="3" t="s">
        <v>57</v>
      </c>
      <c r="E584" s="3" t="s">
        <v>32</v>
      </c>
      <c r="F584" s="12">
        <v>46023</v>
      </c>
      <c r="G584" s="3">
        <v>2026</v>
      </c>
      <c r="H584" s="3" t="s">
        <v>484</v>
      </c>
      <c r="I584" s="3" t="s">
        <v>484</v>
      </c>
      <c r="J584" s="3"/>
      <c r="K584" s="9"/>
      <c r="L584" s="9"/>
      <c r="M584" s="3"/>
      <c r="N584" s="3"/>
      <c r="O584" s="3"/>
      <c r="P584" s="3"/>
      <c r="Q584" s="3" t="str">
        <f t="shared" si="111"/>
        <v>12-2026-01-01</v>
      </c>
      <c r="R584" s="3">
        <v>0</v>
      </c>
      <c r="S584" s="3">
        <v>0</v>
      </c>
      <c r="T584" s="3" t="s">
        <v>484</v>
      </c>
      <c r="U584" s="3" t="s">
        <v>37</v>
      </c>
      <c r="V584" s="3" t="s">
        <v>525</v>
      </c>
      <c r="W584" s="3" t="s">
        <v>312</v>
      </c>
      <c r="X584" s="3" t="s">
        <v>535</v>
      </c>
      <c r="Y584" s="3" t="s">
        <v>537</v>
      </c>
      <c r="Z584" s="3" t="s">
        <v>86</v>
      </c>
      <c r="AA584" s="3" t="s">
        <v>87</v>
      </c>
      <c r="AB584" s="3" t="s">
        <v>43</v>
      </c>
      <c r="AC584" s="3" t="s">
        <v>66</v>
      </c>
      <c r="AD584" s="3">
        <v>1</v>
      </c>
    </row>
    <row r="585" spans="1:30" x14ac:dyDescent="0.3">
      <c r="A585" s="3">
        <v>13</v>
      </c>
      <c r="B585" s="3" t="s">
        <v>546</v>
      </c>
      <c r="C585" s="3" t="s">
        <v>526</v>
      </c>
      <c r="D585" s="3" t="s">
        <v>57</v>
      </c>
      <c r="E585" s="3" t="s">
        <v>32</v>
      </c>
      <c r="F585" s="12">
        <v>46023</v>
      </c>
      <c r="G585" s="3">
        <v>2026</v>
      </c>
      <c r="H585" s="3" t="s">
        <v>484</v>
      </c>
      <c r="I585" s="3" t="s">
        <v>484</v>
      </c>
      <c r="J585" s="3"/>
      <c r="K585" s="3">
        <v>100</v>
      </c>
      <c r="L585" s="3">
        <v>100</v>
      </c>
      <c r="M585" s="3">
        <f t="shared" si="109"/>
        <v>1</v>
      </c>
      <c r="N585" s="3">
        <f t="shared" si="110"/>
        <v>1</v>
      </c>
      <c r="O585" s="3" t="s">
        <v>58</v>
      </c>
      <c r="P585" s="3" t="s">
        <v>58</v>
      </c>
      <c r="Q585" s="3" t="str">
        <f t="shared" si="111"/>
        <v>13-2026-01-01</v>
      </c>
      <c r="R585" s="3">
        <v>0</v>
      </c>
      <c r="S585" s="3">
        <v>0</v>
      </c>
      <c r="T585" s="3" t="s">
        <v>484</v>
      </c>
      <c r="U585" s="3" t="s">
        <v>37</v>
      </c>
      <c r="V585" s="3" t="s">
        <v>526</v>
      </c>
      <c r="W585" s="3" t="s">
        <v>112</v>
      </c>
      <c r="X585" s="3" t="s">
        <v>113</v>
      </c>
      <c r="Y585" s="3" t="s">
        <v>538</v>
      </c>
      <c r="Z585" s="3" t="s">
        <v>86</v>
      </c>
      <c r="AA585" s="3" t="s">
        <v>87</v>
      </c>
      <c r="AB585" s="3" t="s">
        <v>43</v>
      </c>
      <c r="AC585" s="3" t="s">
        <v>66</v>
      </c>
      <c r="AD585" s="3">
        <v>1</v>
      </c>
    </row>
    <row r="586" spans="1:30" x14ac:dyDescent="0.3">
      <c r="A586" s="3" t="s">
        <v>485</v>
      </c>
      <c r="B586" s="3" t="s">
        <v>486</v>
      </c>
      <c r="C586" s="3" t="s">
        <v>487</v>
      </c>
      <c r="D586" s="3" t="s">
        <v>57</v>
      </c>
      <c r="E586" s="3" t="s">
        <v>32</v>
      </c>
      <c r="F586" s="12">
        <v>46023</v>
      </c>
      <c r="G586" s="3">
        <v>2026</v>
      </c>
      <c r="H586" s="3" t="s">
        <v>484</v>
      </c>
      <c r="I586" s="3" t="s">
        <v>484</v>
      </c>
      <c r="J586" s="3"/>
      <c r="K586" s="3">
        <v>100</v>
      </c>
      <c r="L586" s="3">
        <v>100</v>
      </c>
      <c r="M586" s="3">
        <f t="shared" si="109"/>
        <v>1</v>
      </c>
      <c r="N586" s="3">
        <f t="shared" si="110"/>
        <v>1</v>
      </c>
      <c r="O586" s="3">
        <v>0</v>
      </c>
      <c r="P586" s="3">
        <v>0</v>
      </c>
      <c r="Q586" s="3" t="str">
        <f t="shared" si="111"/>
        <v>10.1-2026-01-01</v>
      </c>
      <c r="R586" s="3">
        <v>0</v>
      </c>
      <c r="S586" s="3">
        <v>0</v>
      </c>
      <c r="T586" s="3" t="s">
        <v>484</v>
      </c>
      <c r="U586" s="3" t="s">
        <v>37</v>
      </c>
      <c r="V586" s="3" t="s">
        <v>487</v>
      </c>
      <c r="W586" s="3" t="s">
        <v>73</v>
      </c>
      <c r="X586" s="3" t="s">
        <v>74</v>
      </c>
      <c r="Y586" s="3" t="s">
        <v>585</v>
      </c>
      <c r="Z586" s="3" t="s">
        <v>86</v>
      </c>
      <c r="AA586" s="3" t="s">
        <v>87</v>
      </c>
      <c r="AB586" s="3" t="s">
        <v>43</v>
      </c>
      <c r="AC586" s="3" t="s">
        <v>66</v>
      </c>
      <c r="AD586" s="3">
        <v>1</v>
      </c>
    </row>
    <row r="587" spans="1:30" x14ac:dyDescent="0.3">
      <c r="A587" s="3" t="s">
        <v>488</v>
      </c>
      <c r="B587" s="3" t="s">
        <v>547</v>
      </c>
      <c r="C587" s="3" t="s">
        <v>521</v>
      </c>
      <c r="D587" s="3" t="s">
        <v>57</v>
      </c>
      <c r="E587" s="3" t="s">
        <v>32</v>
      </c>
      <c r="F587" s="12">
        <v>46023</v>
      </c>
      <c r="G587" s="3">
        <v>2026</v>
      </c>
      <c r="H587" s="3" t="s">
        <v>484</v>
      </c>
      <c r="I587" s="3" t="s">
        <v>484</v>
      </c>
      <c r="J587" s="3"/>
      <c r="K587" s="3">
        <v>100</v>
      </c>
      <c r="L587" s="3">
        <v>100</v>
      </c>
      <c r="M587" s="3">
        <f t="shared" si="109"/>
        <v>1</v>
      </c>
      <c r="N587" s="3">
        <f t="shared" si="110"/>
        <v>1</v>
      </c>
      <c r="O587" s="3" t="s">
        <v>58</v>
      </c>
      <c r="P587" s="3" t="s">
        <v>58</v>
      </c>
      <c r="Q587" s="3" t="str">
        <f t="shared" si="111"/>
        <v>13.1-2026-01-01</v>
      </c>
      <c r="R587" s="3">
        <v>0</v>
      </c>
      <c r="S587" s="3">
        <v>0</v>
      </c>
      <c r="T587" s="3" t="s">
        <v>484</v>
      </c>
      <c r="U587" s="3" t="s">
        <v>37</v>
      </c>
      <c r="V587" s="3" t="s">
        <v>521</v>
      </c>
      <c r="W587" s="3" t="s">
        <v>112</v>
      </c>
      <c r="X587" s="3" t="s">
        <v>113</v>
      </c>
      <c r="Y587" s="3" t="s">
        <v>538</v>
      </c>
      <c r="Z587" s="3" t="s">
        <v>63</v>
      </c>
      <c r="AA587" s="3" t="s">
        <v>334</v>
      </c>
      <c r="AB587" s="3" t="s">
        <v>43</v>
      </c>
      <c r="AC587" s="3" t="s">
        <v>66</v>
      </c>
      <c r="AD587" s="3">
        <v>1</v>
      </c>
    </row>
    <row r="588" spans="1:30" x14ac:dyDescent="0.3">
      <c r="A588" s="5">
        <v>900</v>
      </c>
      <c r="B588" s="6" t="s">
        <v>548</v>
      </c>
      <c r="C588" s="3" t="s">
        <v>342</v>
      </c>
      <c r="D588" s="3" t="s">
        <v>57</v>
      </c>
      <c r="E588" s="3" t="s">
        <v>32</v>
      </c>
      <c r="F588" s="12">
        <v>46023</v>
      </c>
      <c r="G588" s="3">
        <v>2026</v>
      </c>
      <c r="H588" s="3" t="s">
        <v>484</v>
      </c>
      <c r="I588" s="3" t="s">
        <v>484</v>
      </c>
      <c r="J588" s="3"/>
      <c r="K588" s="10">
        <v>100</v>
      </c>
      <c r="L588" s="10">
        <v>100</v>
      </c>
      <c r="M588" s="3">
        <f t="shared" si="109"/>
        <v>1</v>
      </c>
      <c r="N588" s="3">
        <f t="shared" si="110"/>
        <v>1</v>
      </c>
      <c r="O588" s="3" t="s">
        <v>58</v>
      </c>
      <c r="P588" s="3" t="s">
        <v>58</v>
      </c>
      <c r="Q588" s="3" t="str">
        <f t="shared" si="111"/>
        <v>900-2026-01-01</v>
      </c>
      <c r="R588" s="3">
        <v>0</v>
      </c>
      <c r="S588" s="3">
        <v>0</v>
      </c>
      <c r="T588" s="3" t="s">
        <v>484</v>
      </c>
      <c r="U588" s="3" t="s">
        <v>37</v>
      </c>
      <c r="V588" s="3" t="s">
        <v>342</v>
      </c>
      <c r="W588" s="3" t="s">
        <v>112</v>
      </c>
      <c r="X588" s="3" t="s">
        <v>113</v>
      </c>
      <c r="Y588" s="3" t="s">
        <v>538</v>
      </c>
      <c r="Z588" s="3" t="s">
        <v>63</v>
      </c>
      <c r="AA588" s="3" t="s">
        <v>539</v>
      </c>
      <c r="AB588" s="3" t="s">
        <v>43</v>
      </c>
      <c r="AC588" s="3" t="s">
        <v>66</v>
      </c>
      <c r="AD588" s="3">
        <v>1</v>
      </c>
    </row>
    <row r="589" spans="1:30" x14ac:dyDescent="0.3">
      <c r="A589" s="5">
        <v>901</v>
      </c>
      <c r="B589" s="6" t="s">
        <v>497</v>
      </c>
      <c r="C589" s="3" t="s">
        <v>527</v>
      </c>
      <c r="D589" s="3" t="s">
        <v>57</v>
      </c>
      <c r="E589" s="3" t="s">
        <v>32</v>
      </c>
      <c r="F589" s="12">
        <v>46023</v>
      </c>
      <c r="G589" s="3">
        <v>2026</v>
      </c>
      <c r="H589" s="3" t="s">
        <v>484</v>
      </c>
      <c r="I589" s="3" t="s">
        <v>484</v>
      </c>
      <c r="J589" s="3"/>
      <c r="K589" s="11"/>
      <c r="L589" s="11"/>
      <c r="M589" s="15">
        <v>0</v>
      </c>
      <c r="N589" s="15">
        <v>0</v>
      </c>
      <c r="O589" s="3" t="s">
        <v>544</v>
      </c>
      <c r="P589" s="3" t="s">
        <v>544</v>
      </c>
      <c r="Q589" s="3" t="str">
        <f t="shared" si="111"/>
        <v>901-2026-01-01</v>
      </c>
      <c r="R589" s="3">
        <v>0</v>
      </c>
      <c r="S589" s="3">
        <v>0</v>
      </c>
      <c r="T589" s="3" t="s">
        <v>484</v>
      </c>
      <c r="U589" s="3" t="s">
        <v>37</v>
      </c>
      <c r="V589" s="3" t="s">
        <v>527</v>
      </c>
      <c r="W589" s="3" t="s">
        <v>312</v>
      </c>
      <c r="X589" s="3" t="s">
        <v>313</v>
      </c>
      <c r="Y589" s="3" t="s">
        <v>540</v>
      </c>
      <c r="Z589" s="3" t="s">
        <v>86</v>
      </c>
      <c r="AA589" s="3" t="s">
        <v>87</v>
      </c>
      <c r="AB589" s="3" t="s">
        <v>43</v>
      </c>
      <c r="AC589" s="3" t="s">
        <v>66</v>
      </c>
      <c r="AD589" s="3">
        <v>1</v>
      </c>
    </row>
    <row r="590" spans="1:30" x14ac:dyDescent="0.3">
      <c r="A590" s="5">
        <v>902</v>
      </c>
      <c r="B590" s="6" t="s">
        <v>498</v>
      </c>
      <c r="C590" s="3" t="s">
        <v>528</v>
      </c>
      <c r="D590" s="3" t="s">
        <v>57</v>
      </c>
      <c r="E590" s="3" t="s">
        <v>32</v>
      </c>
      <c r="F590" s="12">
        <v>46023</v>
      </c>
      <c r="G590" s="3">
        <v>2026</v>
      </c>
      <c r="H590" s="3" t="s">
        <v>484</v>
      </c>
      <c r="I590" s="3" t="s">
        <v>484</v>
      </c>
      <c r="J590" s="3"/>
      <c r="K590" s="10">
        <v>100</v>
      </c>
      <c r="L590" s="10">
        <v>100</v>
      </c>
      <c r="M590" s="3">
        <f t="shared" si="109"/>
        <v>1</v>
      </c>
      <c r="N590" s="3">
        <f t="shared" si="110"/>
        <v>1</v>
      </c>
      <c r="O590" s="3"/>
      <c r="P590" s="3"/>
      <c r="Q590" s="3" t="str">
        <f t="shared" si="111"/>
        <v>902-2026-01-01</v>
      </c>
      <c r="R590" s="3">
        <v>0</v>
      </c>
      <c r="S590" s="3">
        <v>0</v>
      </c>
      <c r="T590" s="3" t="s">
        <v>484</v>
      </c>
      <c r="U590" s="3" t="s">
        <v>37</v>
      </c>
      <c r="V590" s="3" t="s">
        <v>528</v>
      </c>
      <c r="W590" s="3" t="s">
        <v>73</v>
      </c>
      <c r="X590" s="3" t="s">
        <v>74</v>
      </c>
      <c r="Y590" s="3" t="s">
        <v>585</v>
      </c>
      <c r="Z590" s="3" t="s">
        <v>76</v>
      </c>
      <c r="AA590" s="3" t="s">
        <v>77</v>
      </c>
      <c r="AB590" s="3" t="s">
        <v>43</v>
      </c>
      <c r="AC590" s="3" t="s">
        <v>66</v>
      </c>
      <c r="AD590" s="3">
        <v>1</v>
      </c>
    </row>
    <row r="591" spans="1:30" x14ac:dyDescent="0.3">
      <c r="A591" s="5">
        <v>903</v>
      </c>
      <c r="B591" s="6" t="s">
        <v>499</v>
      </c>
      <c r="C591" s="3" t="s">
        <v>529</v>
      </c>
      <c r="D591" s="3" t="s">
        <v>57</v>
      </c>
      <c r="E591" s="3" t="s">
        <v>32</v>
      </c>
      <c r="F591" s="12">
        <v>46023</v>
      </c>
      <c r="G591" s="3">
        <v>2026</v>
      </c>
      <c r="H591" s="3" t="s">
        <v>484</v>
      </c>
      <c r="I591" s="3" t="s">
        <v>484</v>
      </c>
      <c r="J591" s="3"/>
      <c r="K591" s="10">
        <v>49</v>
      </c>
      <c r="L591" s="10">
        <v>49</v>
      </c>
      <c r="M591" s="3">
        <f t="shared" si="109"/>
        <v>1</v>
      </c>
      <c r="N591" s="3">
        <f t="shared" si="110"/>
        <v>1</v>
      </c>
      <c r="O591" s="3"/>
      <c r="P591" s="3"/>
      <c r="Q591" s="3" t="str">
        <f t="shared" si="111"/>
        <v>903-2026-01-01</v>
      </c>
      <c r="R591" s="3">
        <v>0</v>
      </c>
      <c r="S591" s="3">
        <v>0</v>
      </c>
      <c r="T591" s="3" t="s">
        <v>484</v>
      </c>
      <c r="U591" s="3" t="s">
        <v>37</v>
      </c>
      <c r="V591" s="3" t="s">
        <v>529</v>
      </c>
      <c r="W591" s="3" t="s">
        <v>112</v>
      </c>
      <c r="X591" s="3" t="s">
        <v>113</v>
      </c>
      <c r="Y591" s="3" t="s">
        <v>541</v>
      </c>
      <c r="Z591" s="3" t="s">
        <v>101</v>
      </c>
      <c r="AA591" s="3" t="s">
        <v>264</v>
      </c>
      <c r="AB591" s="3" t="s">
        <v>43</v>
      </c>
      <c r="AC591" s="3" t="s">
        <v>66</v>
      </c>
      <c r="AD591" s="3">
        <v>1</v>
      </c>
    </row>
    <row r="592" spans="1:30" x14ac:dyDescent="0.3">
      <c r="A592" s="5">
        <v>904</v>
      </c>
      <c r="B592" s="6" t="s">
        <v>500</v>
      </c>
      <c r="C592" s="3" t="s">
        <v>232</v>
      </c>
      <c r="D592" s="3" t="s">
        <v>57</v>
      </c>
      <c r="E592" s="3" t="s">
        <v>32</v>
      </c>
      <c r="F592" s="12">
        <v>46023</v>
      </c>
      <c r="G592" s="3">
        <v>2026</v>
      </c>
      <c r="H592" s="3" t="s">
        <v>484</v>
      </c>
      <c r="I592" s="3" t="s">
        <v>484</v>
      </c>
      <c r="J592" s="3"/>
      <c r="K592" s="10">
        <v>100</v>
      </c>
      <c r="L592" s="10">
        <v>100</v>
      </c>
      <c r="M592" s="3">
        <f t="shared" si="109"/>
        <v>1</v>
      </c>
      <c r="N592" s="3">
        <f t="shared" si="110"/>
        <v>1</v>
      </c>
      <c r="O592" s="3" t="s">
        <v>58</v>
      </c>
      <c r="P592" s="3" t="s">
        <v>58</v>
      </c>
      <c r="Q592" s="3" t="str">
        <f t="shared" si="111"/>
        <v>904-2026-01-01</v>
      </c>
      <c r="R592" s="3">
        <v>0</v>
      </c>
      <c r="S592" s="3">
        <v>0</v>
      </c>
      <c r="T592" s="3" t="s">
        <v>484</v>
      </c>
      <c r="U592" s="3" t="s">
        <v>37</v>
      </c>
      <c r="V592" s="3" t="s">
        <v>232</v>
      </c>
      <c r="W592" s="3" t="s">
        <v>145</v>
      </c>
      <c r="X592" s="3" t="s">
        <v>179</v>
      </c>
      <c r="Y592" s="3" t="s">
        <v>542</v>
      </c>
      <c r="Z592" s="3" t="s">
        <v>76</v>
      </c>
      <c r="AA592" s="3" t="s">
        <v>77</v>
      </c>
      <c r="AB592" s="3" t="s">
        <v>43</v>
      </c>
      <c r="AC592" s="3" t="s">
        <v>66</v>
      </c>
      <c r="AD592" s="3">
        <v>1</v>
      </c>
    </row>
    <row r="593" spans="1:30" x14ac:dyDescent="0.3">
      <c r="A593" s="5">
        <v>905</v>
      </c>
      <c r="B593" s="6" t="s">
        <v>501</v>
      </c>
      <c r="C593" s="3" t="s">
        <v>527</v>
      </c>
      <c r="D593" s="3" t="s">
        <v>57</v>
      </c>
      <c r="E593" s="3" t="s">
        <v>32</v>
      </c>
      <c r="F593" s="12">
        <v>46023</v>
      </c>
      <c r="G593" s="3">
        <v>2026</v>
      </c>
      <c r="H593" s="3" t="s">
        <v>484</v>
      </c>
      <c r="I593" s="3" t="s">
        <v>484</v>
      </c>
      <c r="J593" s="3"/>
      <c r="K593" s="10">
        <v>100</v>
      </c>
      <c r="L593" s="10">
        <v>100</v>
      </c>
      <c r="M593" s="3">
        <f t="shared" si="109"/>
        <v>1</v>
      </c>
      <c r="N593" s="3">
        <f t="shared" si="110"/>
        <v>1</v>
      </c>
      <c r="O593" s="3" t="s">
        <v>58</v>
      </c>
      <c r="P593" s="3" t="s">
        <v>58</v>
      </c>
      <c r="Q593" s="3" t="str">
        <f t="shared" si="111"/>
        <v>905-2026-01-01</v>
      </c>
      <c r="R593" s="3">
        <v>0</v>
      </c>
      <c r="S593" s="3">
        <v>0</v>
      </c>
      <c r="T593" s="3" t="s">
        <v>484</v>
      </c>
      <c r="U593" s="3" t="s">
        <v>37</v>
      </c>
      <c r="V593" s="3" t="s">
        <v>527</v>
      </c>
      <c r="W593" s="3" t="s">
        <v>73</v>
      </c>
      <c r="X593" s="3" t="s">
        <v>218</v>
      </c>
      <c r="Y593" s="3" t="s">
        <v>331</v>
      </c>
      <c r="Z593" s="3" t="s">
        <v>86</v>
      </c>
      <c r="AA593" s="3" t="s">
        <v>87</v>
      </c>
      <c r="AB593" s="3" t="s">
        <v>43</v>
      </c>
      <c r="AC593" s="3" t="s">
        <v>66</v>
      </c>
      <c r="AD593" s="3">
        <v>1</v>
      </c>
    </row>
    <row r="594" spans="1:30" x14ac:dyDescent="0.3">
      <c r="A594" s="5">
        <v>906</v>
      </c>
      <c r="B594" s="6" t="s">
        <v>502</v>
      </c>
      <c r="C594" s="3" t="s">
        <v>527</v>
      </c>
      <c r="D594" s="3" t="s">
        <v>57</v>
      </c>
      <c r="E594" s="3" t="s">
        <v>32</v>
      </c>
      <c r="F594" s="12">
        <v>46023</v>
      </c>
      <c r="G594" s="3">
        <v>2026</v>
      </c>
      <c r="H594" s="3" t="s">
        <v>484</v>
      </c>
      <c r="I594" s="3" t="s">
        <v>484</v>
      </c>
      <c r="J594" s="3"/>
      <c r="K594" s="10">
        <v>100</v>
      </c>
      <c r="L594" s="10">
        <v>100</v>
      </c>
      <c r="M594" s="3">
        <f t="shared" si="109"/>
        <v>1</v>
      </c>
      <c r="N594" s="3">
        <f t="shared" si="110"/>
        <v>1</v>
      </c>
      <c r="O594" s="3" t="s">
        <v>58</v>
      </c>
      <c r="P594" s="3" t="s">
        <v>58</v>
      </c>
      <c r="Q594" s="3" t="str">
        <f t="shared" si="111"/>
        <v>906-2026-01-01</v>
      </c>
      <c r="R594" s="3">
        <v>0</v>
      </c>
      <c r="S594" s="3">
        <v>0</v>
      </c>
      <c r="T594" s="3" t="s">
        <v>484</v>
      </c>
      <c r="U594" s="3" t="s">
        <v>37</v>
      </c>
      <c r="V594" s="3" t="s">
        <v>527</v>
      </c>
      <c r="W594" s="3" t="s">
        <v>73</v>
      </c>
      <c r="X594" s="3" t="s">
        <v>74</v>
      </c>
      <c r="Y594" s="3" t="s">
        <v>585</v>
      </c>
      <c r="Z594" s="3" t="s">
        <v>76</v>
      </c>
      <c r="AA594" s="3" t="s">
        <v>77</v>
      </c>
      <c r="AB594" s="3" t="s">
        <v>43</v>
      </c>
      <c r="AC594" s="3" t="s">
        <v>66</v>
      </c>
      <c r="AD594" s="3">
        <v>1</v>
      </c>
    </row>
    <row r="595" spans="1:30" x14ac:dyDescent="0.3">
      <c r="A595" s="5">
        <v>907</v>
      </c>
      <c r="B595" s="6" t="s">
        <v>503</v>
      </c>
      <c r="C595" s="3" t="s">
        <v>527</v>
      </c>
      <c r="D595" s="3" t="s">
        <v>57</v>
      </c>
      <c r="E595" s="3" t="s">
        <v>32</v>
      </c>
      <c r="F595" s="12">
        <v>46023</v>
      </c>
      <c r="G595" s="3">
        <v>2026</v>
      </c>
      <c r="H595" s="3" t="s">
        <v>484</v>
      </c>
      <c r="I595" s="3" t="s">
        <v>484</v>
      </c>
      <c r="J595" s="3"/>
      <c r="K595" s="10">
        <v>100</v>
      </c>
      <c r="L595" s="10">
        <v>100</v>
      </c>
      <c r="M595" s="3">
        <f t="shared" si="109"/>
        <v>1</v>
      </c>
      <c r="N595" s="3">
        <f t="shared" si="110"/>
        <v>1</v>
      </c>
      <c r="O595" s="3" t="s">
        <v>58</v>
      </c>
      <c r="P595" s="3" t="s">
        <v>58</v>
      </c>
      <c r="Q595" s="3" t="str">
        <f t="shared" si="111"/>
        <v>907-2026-01-01</v>
      </c>
      <c r="R595" s="3">
        <v>0</v>
      </c>
      <c r="S595" s="3">
        <v>0</v>
      </c>
      <c r="T595" s="3" t="s">
        <v>484</v>
      </c>
      <c r="U595" s="3" t="s">
        <v>37</v>
      </c>
      <c r="V595" s="3" t="s">
        <v>527</v>
      </c>
      <c r="W595" s="3" t="s">
        <v>73</v>
      </c>
      <c r="X595" s="3" t="s">
        <v>218</v>
      </c>
      <c r="Y595" s="3" t="s">
        <v>331</v>
      </c>
      <c r="Z595" s="3" t="s">
        <v>86</v>
      </c>
      <c r="AA595" s="3" t="s">
        <v>339</v>
      </c>
      <c r="AB595" s="3" t="s">
        <v>43</v>
      </c>
      <c r="AC595" s="3" t="s">
        <v>66</v>
      </c>
      <c r="AD595" s="3">
        <v>1</v>
      </c>
    </row>
    <row r="596" spans="1:30" x14ac:dyDescent="0.3">
      <c r="A596" s="5">
        <v>908</v>
      </c>
      <c r="B596" s="6" t="s">
        <v>504</v>
      </c>
      <c r="C596" s="3" t="s">
        <v>83</v>
      </c>
      <c r="D596" s="3" t="s">
        <v>57</v>
      </c>
      <c r="E596" s="3" t="s">
        <v>32</v>
      </c>
      <c r="F596" s="12">
        <v>46023</v>
      </c>
      <c r="G596" s="3">
        <v>2026</v>
      </c>
      <c r="H596" s="3" t="s">
        <v>484</v>
      </c>
      <c r="I596" s="3" t="s">
        <v>484</v>
      </c>
      <c r="J596" s="3"/>
      <c r="K596" s="10">
        <v>100</v>
      </c>
      <c r="L596" s="10">
        <v>100</v>
      </c>
      <c r="M596" s="3">
        <f t="shared" si="109"/>
        <v>1</v>
      </c>
      <c r="N596" s="3">
        <f t="shared" si="110"/>
        <v>1</v>
      </c>
      <c r="O596" s="3" t="s">
        <v>58</v>
      </c>
      <c r="P596" s="3" t="s">
        <v>58</v>
      </c>
      <c r="Q596" s="3" t="str">
        <f t="shared" si="111"/>
        <v>908-2026-01-01</v>
      </c>
      <c r="R596" s="3">
        <v>0</v>
      </c>
      <c r="S596" s="3">
        <v>0</v>
      </c>
      <c r="T596" s="3" t="s">
        <v>484</v>
      </c>
      <c r="U596" s="3" t="s">
        <v>37</v>
      </c>
      <c r="V596" s="3" t="s">
        <v>83</v>
      </c>
      <c r="W596" s="3" t="s">
        <v>38</v>
      </c>
      <c r="X596" s="3" t="s">
        <v>39</v>
      </c>
      <c r="Y596" s="3" t="s">
        <v>85</v>
      </c>
      <c r="Z596" s="3" t="s">
        <v>63</v>
      </c>
      <c r="AA596" s="3" t="s">
        <v>539</v>
      </c>
      <c r="AB596" s="3" t="s">
        <v>43</v>
      </c>
      <c r="AC596" s="3" t="s">
        <v>66</v>
      </c>
      <c r="AD596" s="3">
        <v>1</v>
      </c>
    </row>
    <row r="597" spans="1:30" x14ac:dyDescent="0.3">
      <c r="A597" s="3">
        <v>921</v>
      </c>
      <c r="B597" s="3" t="s">
        <v>505</v>
      </c>
      <c r="C597" s="3" t="s">
        <v>524</v>
      </c>
      <c r="D597" s="3" t="s">
        <v>57</v>
      </c>
      <c r="E597" s="3" t="s">
        <v>32</v>
      </c>
      <c r="F597" s="12">
        <v>45291</v>
      </c>
      <c r="G597" s="8">
        <v>2023</v>
      </c>
      <c r="H597" s="7" t="s">
        <v>44</v>
      </c>
      <c r="I597" s="7" t="s">
        <v>49</v>
      </c>
      <c r="J597" s="3">
        <v>2</v>
      </c>
      <c r="K597" s="3">
        <v>100</v>
      </c>
      <c r="L597" s="3">
        <v>100</v>
      </c>
      <c r="M597" s="3">
        <f t="shared" si="109"/>
        <v>1</v>
      </c>
      <c r="N597" s="3">
        <f t="shared" si="110"/>
        <v>1</v>
      </c>
      <c r="O597" s="3" t="s">
        <v>58</v>
      </c>
      <c r="P597" s="3" t="s">
        <v>58</v>
      </c>
      <c r="Q597" s="3" t="str">
        <f t="shared" si="111"/>
        <v>921-2023-12-31</v>
      </c>
      <c r="R597" s="3">
        <v>0</v>
      </c>
      <c r="S597" s="3">
        <v>0</v>
      </c>
      <c r="T597" s="3" t="s">
        <v>443</v>
      </c>
      <c r="U597" s="3" t="s">
        <v>37</v>
      </c>
      <c r="V597" s="3" t="s">
        <v>524</v>
      </c>
      <c r="W597" s="3" t="s">
        <v>60</v>
      </c>
      <c r="X597" s="3" t="s">
        <v>262</v>
      </c>
      <c r="Y597" s="3" t="s">
        <v>543</v>
      </c>
      <c r="Z597" s="3"/>
      <c r="AA597" s="3"/>
      <c r="AB597" s="3" t="s">
        <v>43</v>
      </c>
      <c r="AC597" s="3" t="s">
        <v>66</v>
      </c>
      <c r="AD597" s="3">
        <v>1</v>
      </c>
    </row>
    <row r="598" spans="1:30" x14ac:dyDescent="0.3">
      <c r="A598" s="3">
        <v>925</v>
      </c>
      <c r="B598" s="3" t="s">
        <v>506</v>
      </c>
      <c r="C598" s="3" t="s">
        <v>142</v>
      </c>
      <c r="D598" s="3" t="s">
        <v>57</v>
      </c>
      <c r="E598" s="3" t="s">
        <v>32</v>
      </c>
      <c r="F598" s="12">
        <v>45291</v>
      </c>
      <c r="G598" s="8">
        <v>2023</v>
      </c>
      <c r="H598" s="7" t="s">
        <v>44</v>
      </c>
      <c r="I598" s="7" t="s">
        <v>49</v>
      </c>
      <c r="J598" s="3">
        <v>2</v>
      </c>
      <c r="K598" s="11">
        <v>100</v>
      </c>
      <c r="L598" s="11">
        <v>100</v>
      </c>
      <c r="M598" s="3">
        <f t="shared" si="109"/>
        <v>1</v>
      </c>
      <c r="N598" s="3">
        <f t="shared" si="110"/>
        <v>1</v>
      </c>
      <c r="O598" s="3" t="s">
        <v>58</v>
      </c>
      <c r="P598" s="3" t="s">
        <v>58</v>
      </c>
      <c r="Q598" s="3" t="str">
        <f t="shared" si="111"/>
        <v>925-2023-12-31</v>
      </c>
      <c r="R598" s="3">
        <v>0</v>
      </c>
      <c r="S598" s="3">
        <v>0</v>
      </c>
      <c r="T598" s="3" t="s">
        <v>443</v>
      </c>
      <c r="U598" s="3" t="s">
        <v>37</v>
      </c>
      <c r="V598" s="3" t="s">
        <v>142</v>
      </c>
      <c r="W598" s="3" t="s">
        <v>145</v>
      </c>
      <c r="X598" s="3" t="s">
        <v>146</v>
      </c>
      <c r="Y598" s="3" t="s">
        <v>147</v>
      </c>
      <c r="Z598" s="3"/>
      <c r="AA598" s="3"/>
      <c r="AB598" s="3" t="s">
        <v>43</v>
      </c>
      <c r="AC598" s="3" t="s">
        <v>66</v>
      </c>
      <c r="AD598" s="3">
        <v>1</v>
      </c>
    </row>
    <row r="599" spans="1:30" x14ac:dyDescent="0.3">
      <c r="A599" s="3">
        <v>920</v>
      </c>
      <c r="B599" s="3" t="s">
        <v>507</v>
      </c>
      <c r="C599" s="3" t="s">
        <v>524</v>
      </c>
      <c r="D599" s="3" t="s">
        <v>57</v>
      </c>
      <c r="E599" s="3" t="s">
        <v>32</v>
      </c>
      <c r="F599" s="12">
        <v>45657</v>
      </c>
      <c r="G599" s="8">
        <v>2024</v>
      </c>
      <c r="H599" s="7" t="s">
        <v>44</v>
      </c>
      <c r="I599" s="7" t="s">
        <v>53</v>
      </c>
      <c r="J599" s="3">
        <v>2</v>
      </c>
      <c r="K599" s="3">
        <v>100</v>
      </c>
      <c r="L599" s="3">
        <v>100</v>
      </c>
      <c r="M599" s="3">
        <f t="shared" si="109"/>
        <v>1</v>
      </c>
      <c r="N599" s="3">
        <f t="shared" si="110"/>
        <v>1</v>
      </c>
      <c r="O599" s="3"/>
      <c r="P599" s="3"/>
      <c r="Q599" s="3" t="str">
        <f t="shared" si="111"/>
        <v>920-2024-12-31</v>
      </c>
      <c r="R599" s="3">
        <v>0</v>
      </c>
      <c r="S599" s="3">
        <v>0</v>
      </c>
      <c r="T599" s="3" t="s">
        <v>443</v>
      </c>
      <c r="U599" s="3" t="s">
        <v>37</v>
      </c>
      <c r="V599" s="3" t="s">
        <v>524</v>
      </c>
      <c r="W599" s="3" t="s">
        <v>60</v>
      </c>
      <c r="X599" s="3" t="s">
        <v>262</v>
      </c>
      <c r="Y599" s="3" t="s">
        <v>543</v>
      </c>
      <c r="Z599" s="3"/>
      <c r="AA599" s="3"/>
      <c r="AB599" s="3" t="s">
        <v>43</v>
      </c>
      <c r="AC599" s="3" t="s">
        <v>66</v>
      </c>
      <c r="AD599" s="3">
        <v>1</v>
      </c>
    </row>
    <row r="600" spans="1:30" x14ac:dyDescent="0.3">
      <c r="A600" s="5">
        <v>903</v>
      </c>
      <c r="B600" s="6" t="s">
        <v>508</v>
      </c>
      <c r="C600" s="3" t="s">
        <v>529</v>
      </c>
      <c r="D600" s="3" t="s">
        <v>57</v>
      </c>
      <c r="E600" s="3" t="s">
        <v>32</v>
      </c>
      <c r="F600" s="12">
        <v>46022</v>
      </c>
      <c r="G600" s="8">
        <v>2025</v>
      </c>
      <c r="H600" s="7" t="s">
        <v>44</v>
      </c>
      <c r="I600" s="7" t="s">
        <v>465</v>
      </c>
      <c r="J600" s="3">
        <v>2</v>
      </c>
      <c r="K600" s="10">
        <v>100</v>
      </c>
      <c r="L600" s="10">
        <v>99</v>
      </c>
      <c r="M600" s="3">
        <f t="shared" si="109"/>
        <v>0.99</v>
      </c>
      <c r="N600" s="3">
        <f t="shared" si="110"/>
        <v>0.99</v>
      </c>
      <c r="O600" s="3" t="s">
        <v>58</v>
      </c>
      <c r="P600" s="3" t="s">
        <v>58</v>
      </c>
      <c r="Q600" s="3" t="str">
        <f t="shared" si="111"/>
        <v>903-2025-12-31</v>
      </c>
      <c r="R600" s="3">
        <v>0</v>
      </c>
      <c r="S600" s="3">
        <v>0</v>
      </c>
      <c r="T600" s="3" t="s">
        <v>443</v>
      </c>
      <c r="U600" s="3" t="s">
        <v>37</v>
      </c>
      <c r="V600" s="3" t="s">
        <v>529</v>
      </c>
      <c r="W600" s="3" t="s">
        <v>112</v>
      </c>
      <c r="X600" s="3" t="s">
        <v>113</v>
      </c>
      <c r="Y600" s="3" t="s">
        <v>541</v>
      </c>
      <c r="Z600" s="3" t="s">
        <v>101</v>
      </c>
      <c r="AA600" s="3" t="s">
        <v>264</v>
      </c>
      <c r="AB600" s="3" t="s">
        <v>43</v>
      </c>
      <c r="AC600" s="3" t="s">
        <v>66</v>
      </c>
      <c r="AD600" s="3">
        <v>1</v>
      </c>
    </row>
    <row r="601" spans="1:30" x14ac:dyDescent="0.3">
      <c r="A601" s="3">
        <v>909</v>
      </c>
      <c r="B601" s="3" t="s">
        <v>509</v>
      </c>
      <c r="C601" s="3" t="s">
        <v>487</v>
      </c>
      <c r="D601" s="3" t="s">
        <v>57</v>
      </c>
      <c r="E601" s="3" t="s">
        <v>32</v>
      </c>
      <c r="F601" s="12">
        <v>46022</v>
      </c>
      <c r="G601" s="8">
        <v>2025</v>
      </c>
      <c r="H601" s="7" t="s">
        <v>44</v>
      </c>
      <c r="I601" s="7" t="s">
        <v>465</v>
      </c>
      <c r="J601" s="3">
        <v>2</v>
      </c>
      <c r="K601" s="3">
        <v>100</v>
      </c>
      <c r="L601" s="3">
        <v>100</v>
      </c>
      <c r="M601" s="3">
        <f t="shared" si="109"/>
        <v>1</v>
      </c>
      <c r="N601" s="3">
        <f t="shared" si="110"/>
        <v>1</v>
      </c>
      <c r="O601" s="3">
        <v>0</v>
      </c>
      <c r="P601" s="3">
        <v>0</v>
      </c>
      <c r="Q601" s="3" t="str">
        <f t="shared" si="111"/>
        <v>909-2025-12-31</v>
      </c>
      <c r="R601" s="3">
        <v>0</v>
      </c>
      <c r="S601" s="3">
        <v>0</v>
      </c>
      <c r="T601" s="3" t="s">
        <v>443</v>
      </c>
      <c r="U601" s="3" t="s">
        <v>37</v>
      </c>
      <c r="V601" s="3" t="s">
        <v>487</v>
      </c>
      <c r="W601" s="3" t="s">
        <v>73</v>
      </c>
      <c r="X601" s="3" t="s">
        <v>74</v>
      </c>
      <c r="Y601" s="3" t="s">
        <v>585</v>
      </c>
      <c r="Z601" s="3" t="s">
        <v>86</v>
      </c>
      <c r="AA601" s="3" t="s">
        <v>87</v>
      </c>
      <c r="AB601" s="3" t="s">
        <v>43</v>
      </c>
      <c r="AC601" s="3" t="s">
        <v>66</v>
      </c>
      <c r="AD601" s="3">
        <v>1</v>
      </c>
    </row>
    <row r="602" spans="1:30" x14ac:dyDescent="0.3">
      <c r="A602" s="3">
        <v>910</v>
      </c>
      <c r="B602" s="3" t="s">
        <v>510</v>
      </c>
      <c r="C602" s="3" t="s">
        <v>71</v>
      </c>
      <c r="D602" s="3" t="s">
        <v>57</v>
      </c>
      <c r="E602" s="3" t="s">
        <v>32</v>
      </c>
      <c r="F602" s="12">
        <v>46022</v>
      </c>
      <c r="G602" s="8">
        <v>2025</v>
      </c>
      <c r="H602" s="7" t="s">
        <v>531</v>
      </c>
      <c r="I602" s="7" t="s">
        <v>465</v>
      </c>
      <c r="J602" s="3"/>
      <c r="K602" s="3">
        <v>76</v>
      </c>
      <c r="L602" s="3">
        <v>77</v>
      </c>
      <c r="M602" s="3">
        <f t="shared" si="109"/>
        <v>1</v>
      </c>
      <c r="N602" s="3">
        <f>IF(L602/K602&gt;1,1,L602/K602)</f>
        <v>1</v>
      </c>
      <c r="O602" s="3" t="s">
        <v>58</v>
      </c>
      <c r="P602" s="3" t="s">
        <v>58</v>
      </c>
      <c r="Q602" s="3" t="str">
        <f t="shared" si="111"/>
        <v>910-2025-12-31</v>
      </c>
      <c r="R602" s="3">
        <v>0</v>
      </c>
      <c r="S602" s="3">
        <v>0</v>
      </c>
      <c r="T602" s="3" t="s">
        <v>443</v>
      </c>
      <c r="U602" s="3" t="s">
        <v>37</v>
      </c>
      <c r="V602" s="3" t="s">
        <v>71</v>
      </c>
      <c r="W602" s="3" t="s">
        <v>73</v>
      </c>
      <c r="X602" s="3" t="s">
        <v>74</v>
      </c>
      <c r="Y602" s="3" t="s">
        <v>585</v>
      </c>
      <c r="Z602" s="3" t="s">
        <v>86</v>
      </c>
      <c r="AA602" s="3" t="s">
        <v>87</v>
      </c>
      <c r="AB602" s="3" t="s">
        <v>43</v>
      </c>
      <c r="AC602" s="3" t="s">
        <v>66</v>
      </c>
      <c r="AD602" s="3">
        <v>1</v>
      </c>
    </row>
    <row r="603" spans="1:30" x14ac:dyDescent="0.3">
      <c r="A603" s="3">
        <v>911</v>
      </c>
      <c r="B603" s="3" t="s">
        <v>511</v>
      </c>
      <c r="C603" s="3" t="s">
        <v>202</v>
      </c>
      <c r="D603" s="3" t="s">
        <v>57</v>
      </c>
      <c r="E603" s="3" t="s">
        <v>32</v>
      </c>
      <c r="F603" s="12">
        <v>46022</v>
      </c>
      <c r="G603" s="8">
        <v>2025</v>
      </c>
      <c r="H603" s="7" t="s">
        <v>44</v>
      </c>
      <c r="I603" s="7" t="s">
        <v>465</v>
      </c>
      <c r="J603" s="3">
        <v>2</v>
      </c>
      <c r="K603" s="3">
        <v>90</v>
      </c>
      <c r="L603" s="3">
        <v>91</v>
      </c>
      <c r="M603" s="3">
        <f t="shared" ref="M603:M616" si="112">IF(L603/K603&gt;1,1,L603/K603)</f>
        <v>1</v>
      </c>
      <c r="N603" s="3">
        <f>IF(L603/K603&gt;1,1,L603/K603)</f>
        <v>1</v>
      </c>
      <c r="O603" s="3" t="s">
        <v>58</v>
      </c>
      <c r="P603" s="3" t="s">
        <v>58</v>
      </c>
      <c r="Q603" s="3" t="str">
        <f t="shared" si="111"/>
        <v>911-2025-12-31</v>
      </c>
      <c r="R603" s="3">
        <v>0</v>
      </c>
      <c r="S603" s="3">
        <v>0</v>
      </c>
      <c r="T603" s="3" t="s">
        <v>443</v>
      </c>
      <c r="U603" s="3" t="s">
        <v>37</v>
      </c>
      <c r="V603" s="3" t="s">
        <v>202</v>
      </c>
      <c r="W603" s="3" t="s">
        <v>73</v>
      </c>
      <c r="X603" s="3" t="s">
        <v>74</v>
      </c>
      <c r="Y603" s="3" t="s">
        <v>585</v>
      </c>
      <c r="Z603" s="3" t="s">
        <v>86</v>
      </c>
      <c r="AA603" s="3" t="s">
        <v>87</v>
      </c>
      <c r="AB603" s="3" t="s">
        <v>43</v>
      </c>
      <c r="AC603" s="3" t="s">
        <v>66</v>
      </c>
      <c r="AD603" s="3">
        <v>1</v>
      </c>
    </row>
    <row r="604" spans="1:30" x14ac:dyDescent="0.3">
      <c r="A604" s="3">
        <v>912</v>
      </c>
      <c r="B604" s="3" t="s">
        <v>512</v>
      </c>
      <c r="C604" s="3" t="s">
        <v>349</v>
      </c>
      <c r="D604" s="3" t="s">
        <v>57</v>
      </c>
      <c r="E604" s="3" t="s">
        <v>32</v>
      </c>
      <c r="F604" s="12">
        <v>46022</v>
      </c>
      <c r="G604" s="8">
        <v>2025</v>
      </c>
      <c r="H604" s="7" t="s">
        <v>44</v>
      </c>
      <c r="I604" s="7" t="s">
        <v>465</v>
      </c>
      <c r="J604" s="3">
        <v>2</v>
      </c>
      <c r="K604" s="3">
        <v>75</v>
      </c>
      <c r="L604" s="3">
        <v>70</v>
      </c>
      <c r="M604" s="3">
        <f t="shared" si="112"/>
        <v>0.93333333333333335</v>
      </c>
      <c r="N604" s="3">
        <f t="shared" ref="N604:N616" si="113">IF(L604/K604&gt;1,1,L604/K604)</f>
        <v>0.93333333333333335</v>
      </c>
      <c r="O604" s="3" t="s">
        <v>58</v>
      </c>
      <c r="P604" s="3" t="s">
        <v>58</v>
      </c>
      <c r="Q604" s="3" t="str">
        <f t="shared" si="111"/>
        <v>912-2025-12-31</v>
      </c>
      <c r="R604" s="3">
        <v>0</v>
      </c>
      <c r="S604" s="3">
        <v>0</v>
      </c>
      <c r="T604" s="3" t="s">
        <v>443</v>
      </c>
      <c r="U604" s="3" t="s">
        <v>37</v>
      </c>
      <c r="V604" s="3" t="s">
        <v>349</v>
      </c>
      <c r="W604" s="3" t="s">
        <v>73</v>
      </c>
      <c r="X604" s="3" t="s">
        <v>218</v>
      </c>
      <c r="Y604" s="3" t="s">
        <v>351</v>
      </c>
      <c r="Z604" s="3" t="s">
        <v>86</v>
      </c>
      <c r="AA604" s="3" t="s">
        <v>87</v>
      </c>
      <c r="AB604" s="3" t="s">
        <v>43</v>
      </c>
      <c r="AC604" s="3" t="s">
        <v>66</v>
      </c>
      <c r="AD604" s="3">
        <v>1</v>
      </c>
    </row>
    <row r="605" spans="1:30" x14ac:dyDescent="0.3">
      <c r="A605" s="3">
        <v>913</v>
      </c>
      <c r="B605" s="3" t="s">
        <v>513</v>
      </c>
      <c r="C605" s="3" t="s">
        <v>525</v>
      </c>
      <c r="D605" s="3" t="s">
        <v>57</v>
      </c>
      <c r="E605" s="3" t="s">
        <v>32</v>
      </c>
      <c r="F605" s="12">
        <v>46022</v>
      </c>
      <c r="G605" s="8">
        <v>2025</v>
      </c>
      <c r="H605" s="7" t="s">
        <v>44</v>
      </c>
      <c r="I605" s="7" t="s">
        <v>465</v>
      </c>
      <c r="J605" s="3">
        <v>2</v>
      </c>
      <c r="K605" s="3">
        <v>99</v>
      </c>
      <c r="L605" s="3">
        <v>99</v>
      </c>
      <c r="M605" s="3">
        <f t="shared" si="112"/>
        <v>1</v>
      </c>
      <c r="N605" s="3">
        <f t="shared" si="113"/>
        <v>1</v>
      </c>
      <c r="O605" s="3">
        <v>0</v>
      </c>
      <c r="P605" s="3">
        <v>0</v>
      </c>
      <c r="Q605" s="3" t="str">
        <f t="shared" si="111"/>
        <v>913-2025-12-31</v>
      </c>
      <c r="R605" s="3">
        <v>0</v>
      </c>
      <c r="S605" s="3">
        <v>0</v>
      </c>
      <c r="T605" s="3" t="s">
        <v>443</v>
      </c>
      <c r="U605" s="3" t="s">
        <v>37</v>
      </c>
      <c r="V605" s="3" t="s">
        <v>525</v>
      </c>
      <c r="W605" s="3" t="s">
        <v>60</v>
      </c>
      <c r="X605" s="3" t="s">
        <v>262</v>
      </c>
      <c r="Y605" s="3" t="s">
        <v>543</v>
      </c>
      <c r="Z605" s="3"/>
      <c r="AA605" s="3"/>
      <c r="AB605" s="3" t="s">
        <v>43</v>
      </c>
      <c r="AC605" s="3" t="s">
        <v>66</v>
      </c>
      <c r="AD605" s="3">
        <v>1</v>
      </c>
    </row>
    <row r="606" spans="1:30" x14ac:dyDescent="0.3">
      <c r="A606" s="3">
        <v>914</v>
      </c>
      <c r="B606" s="3" t="s">
        <v>514</v>
      </c>
      <c r="C606" s="3" t="s">
        <v>130</v>
      </c>
      <c r="D606" s="3" t="s">
        <v>57</v>
      </c>
      <c r="E606" s="3" t="s">
        <v>32</v>
      </c>
      <c r="F606" s="12">
        <v>46022</v>
      </c>
      <c r="G606" s="8">
        <v>2025</v>
      </c>
      <c r="H606" s="7" t="s">
        <v>44</v>
      </c>
      <c r="I606" s="7" t="s">
        <v>465</v>
      </c>
      <c r="J606" s="3">
        <v>2</v>
      </c>
      <c r="K606" s="3">
        <v>67</v>
      </c>
      <c r="L606" s="3">
        <v>67</v>
      </c>
      <c r="M606" s="3">
        <f t="shared" si="112"/>
        <v>1</v>
      </c>
      <c r="N606" s="3">
        <f t="shared" si="113"/>
        <v>1</v>
      </c>
      <c r="O606" s="3">
        <v>0</v>
      </c>
      <c r="P606" s="3">
        <v>0</v>
      </c>
      <c r="Q606" s="3" t="str">
        <f t="shared" si="111"/>
        <v>914-2025-12-31</v>
      </c>
      <c r="R606" s="3">
        <v>0</v>
      </c>
      <c r="S606" s="3">
        <v>0</v>
      </c>
      <c r="T606" s="3" t="s">
        <v>443</v>
      </c>
      <c r="U606" s="3" t="s">
        <v>37</v>
      </c>
      <c r="V606" s="3" t="s">
        <v>130</v>
      </c>
      <c r="W606" s="3" t="s">
        <v>60</v>
      </c>
      <c r="X606" s="3" t="s">
        <v>100</v>
      </c>
      <c r="Y606" s="3" t="s">
        <v>586</v>
      </c>
      <c r="Z606" s="3"/>
      <c r="AA606" s="3"/>
      <c r="AB606" s="3" t="s">
        <v>43</v>
      </c>
      <c r="AC606" s="3" t="s">
        <v>66</v>
      </c>
      <c r="AD606" s="3">
        <v>1</v>
      </c>
    </row>
    <row r="607" spans="1:30" x14ac:dyDescent="0.3">
      <c r="A607" s="3">
        <v>915</v>
      </c>
      <c r="B607" s="3" t="s">
        <v>515</v>
      </c>
      <c r="C607" s="3" t="s">
        <v>260</v>
      </c>
      <c r="D607" s="3" t="s">
        <v>57</v>
      </c>
      <c r="E607" s="3" t="s">
        <v>32</v>
      </c>
      <c r="F607" s="12">
        <v>46022</v>
      </c>
      <c r="G607" s="8">
        <v>2025</v>
      </c>
      <c r="H607" s="7" t="s">
        <v>44</v>
      </c>
      <c r="I607" s="7" t="s">
        <v>465</v>
      </c>
      <c r="J607" s="3">
        <v>2</v>
      </c>
      <c r="K607" s="3">
        <v>5</v>
      </c>
      <c r="L607" s="3">
        <v>5</v>
      </c>
      <c r="M607" s="3">
        <f t="shared" si="112"/>
        <v>1</v>
      </c>
      <c r="N607" s="3">
        <f t="shared" si="113"/>
        <v>1</v>
      </c>
      <c r="O607" s="3" t="s">
        <v>58</v>
      </c>
      <c r="P607" s="3" t="s">
        <v>58</v>
      </c>
      <c r="Q607" s="3" t="str">
        <f t="shared" si="111"/>
        <v>915-2025-12-31</v>
      </c>
      <c r="R607" s="3">
        <v>0</v>
      </c>
      <c r="S607" s="3">
        <v>0</v>
      </c>
      <c r="T607" s="3" t="s">
        <v>443</v>
      </c>
      <c r="U607" s="3" t="s">
        <v>37</v>
      </c>
      <c r="V607" s="3" t="s">
        <v>260</v>
      </c>
      <c r="W607" s="3" t="s">
        <v>60</v>
      </c>
      <c r="X607" s="3" t="s">
        <v>262</v>
      </c>
      <c r="Y607" s="3" t="s">
        <v>338</v>
      </c>
      <c r="Z607" s="3"/>
      <c r="AA607" s="3"/>
      <c r="AB607" s="3" t="s">
        <v>43</v>
      </c>
      <c r="AC607" s="3" t="s">
        <v>66</v>
      </c>
      <c r="AD607" s="3">
        <v>1</v>
      </c>
    </row>
    <row r="608" spans="1:30" x14ac:dyDescent="0.3">
      <c r="A608" s="3">
        <v>916</v>
      </c>
      <c r="B608" s="3" t="s">
        <v>516</v>
      </c>
      <c r="C608" s="3" t="s">
        <v>522</v>
      </c>
      <c r="D608" s="3" t="s">
        <v>57</v>
      </c>
      <c r="E608" s="3" t="s">
        <v>32</v>
      </c>
      <c r="F608" s="12">
        <v>46022</v>
      </c>
      <c r="G608" s="8">
        <v>2025</v>
      </c>
      <c r="H608" s="7" t="s">
        <v>44</v>
      </c>
      <c r="I608" s="7" t="s">
        <v>465</v>
      </c>
      <c r="J608" s="3">
        <v>2</v>
      </c>
      <c r="K608" s="3">
        <v>60</v>
      </c>
      <c r="L608" s="3">
        <v>57</v>
      </c>
      <c r="M608" s="3">
        <f t="shared" si="112"/>
        <v>0.95</v>
      </c>
      <c r="N608" s="3">
        <f>IF(L608/K608&gt;1,1,L608/K608)</f>
        <v>0.95</v>
      </c>
      <c r="O608" s="3" t="s">
        <v>58</v>
      </c>
      <c r="P608" s="3" t="s">
        <v>58</v>
      </c>
      <c r="Q608" s="3" t="str">
        <f t="shared" si="111"/>
        <v>916-2025-12-31</v>
      </c>
      <c r="R608" s="3">
        <v>0</v>
      </c>
      <c r="S608" s="3">
        <v>0</v>
      </c>
      <c r="T608" s="3" t="s">
        <v>443</v>
      </c>
      <c r="U608" s="3" t="s">
        <v>37</v>
      </c>
      <c r="V608" s="3" t="s">
        <v>522</v>
      </c>
      <c r="W608" s="3" t="s">
        <v>60</v>
      </c>
      <c r="X608" s="3" t="s">
        <v>262</v>
      </c>
      <c r="Y608" s="3" t="s">
        <v>543</v>
      </c>
      <c r="Z608" s="3"/>
      <c r="AA608" s="3"/>
      <c r="AB608" s="3" t="s">
        <v>43</v>
      </c>
      <c r="AC608" s="3" t="s">
        <v>66</v>
      </c>
      <c r="AD608" s="3">
        <v>1</v>
      </c>
    </row>
    <row r="609" spans="1:30" x14ac:dyDescent="0.3">
      <c r="A609" s="3">
        <v>917</v>
      </c>
      <c r="B609" s="3" t="s">
        <v>517</v>
      </c>
      <c r="C609" s="3" t="s">
        <v>30</v>
      </c>
      <c r="D609" s="3" t="s">
        <v>57</v>
      </c>
      <c r="E609" s="3" t="s">
        <v>32</v>
      </c>
      <c r="F609" s="12">
        <v>46022</v>
      </c>
      <c r="G609" s="8">
        <v>2025</v>
      </c>
      <c r="H609" s="7" t="s">
        <v>44</v>
      </c>
      <c r="I609" s="7" t="s">
        <v>465</v>
      </c>
      <c r="J609" s="3">
        <v>2</v>
      </c>
      <c r="K609" s="3">
        <v>100</v>
      </c>
      <c r="L609" s="3">
        <v>99</v>
      </c>
      <c r="M609" s="3">
        <f t="shared" si="112"/>
        <v>0.99</v>
      </c>
      <c r="N609" s="3">
        <f>IF(L609/K609&gt;1,1,L609/K609)</f>
        <v>0.99</v>
      </c>
      <c r="O609" s="3" t="s">
        <v>58</v>
      </c>
      <c r="P609" s="3" t="s">
        <v>58</v>
      </c>
      <c r="Q609" s="3" t="str">
        <f t="shared" si="111"/>
        <v>917-2025-12-31</v>
      </c>
      <c r="R609" s="3">
        <v>0</v>
      </c>
      <c r="S609" s="3">
        <v>0</v>
      </c>
      <c r="T609" s="3" t="s">
        <v>443</v>
      </c>
      <c r="U609" s="3" t="s">
        <v>37</v>
      </c>
      <c r="V609" s="3" t="s">
        <v>30</v>
      </c>
      <c r="W609" s="3" t="s">
        <v>60</v>
      </c>
      <c r="X609" s="3" t="s">
        <v>262</v>
      </c>
      <c r="Y609" s="3" t="s">
        <v>543</v>
      </c>
      <c r="Z609" s="3"/>
      <c r="AA609" s="3"/>
      <c r="AB609" s="3" t="s">
        <v>43</v>
      </c>
      <c r="AC609" s="3" t="s">
        <v>66</v>
      </c>
      <c r="AD609" s="3">
        <v>1</v>
      </c>
    </row>
    <row r="610" spans="1:30" x14ac:dyDescent="0.3">
      <c r="A610" s="3">
        <v>918</v>
      </c>
      <c r="B610" s="3" t="s">
        <v>553</v>
      </c>
      <c r="C610" s="3" t="s">
        <v>524</v>
      </c>
      <c r="D610" s="3" t="s">
        <v>57</v>
      </c>
      <c r="E610" s="3" t="s">
        <v>32</v>
      </c>
      <c r="F610" s="12">
        <v>46022</v>
      </c>
      <c r="G610" s="8">
        <v>2025</v>
      </c>
      <c r="H610" s="7" t="s">
        <v>44</v>
      </c>
      <c r="I610" s="7" t="s">
        <v>465</v>
      </c>
      <c r="J610" s="3">
        <v>2</v>
      </c>
      <c r="K610" s="3">
        <v>99</v>
      </c>
      <c r="L610" s="3">
        <v>99</v>
      </c>
      <c r="M610" s="3">
        <f t="shared" si="112"/>
        <v>1</v>
      </c>
      <c r="N610" s="3">
        <f t="shared" si="113"/>
        <v>1</v>
      </c>
      <c r="O610" s="3" t="s">
        <v>58</v>
      </c>
      <c r="P610" s="3" t="s">
        <v>58</v>
      </c>
      <c r="Q610" s="3" t="str">
        <f t="shared" si="111"/>
        <v>918-2025-12-31</v>
      </c>
      <c r="R610" s="3">
        <v>0</v>
      </c>
      <c r="S610" s="3">
        <v>0</v>
      </c>
      <c r="T610" s="3" t="s">
        <v>443</v>
      </c>
      <c r="U610" s="3" t="s">
        <v>37</v>
      </c>
      <c r="V610" s="3" t="s">
        <v>524</v>
      </c>
      <c r="W610" s="3" t="s">
        <v>60</v>
      </c>
      <c r="X610" s="3" t="s">
        <v>262</v>
      </c>
      <c r="Y610" s="3" t="s">
        <v>338</v>
      </c>
      <c r="Z610" s="3"/>
      <c r="AA610" s="3"/>
      <c r="AB610" s="3" t="s">
        <v>43</v>
      </c>
      <c r="AC610" s="3" t="s">
        <v>66</v>
      </c>
      <c r="AD610" s="3">
        <v>1</v>
      </c>
    </row>
    <row r="611" spans="1:30" x14ac:dyDescent="0.3">
      <c r="A611" s="3">
        <v>919</v>
      </c>
      <c r="B611" s="3" t="s">
        <v>518</v>
      </c>
      <c r="C611" s="3" t="s">
        <v>530</v>
      </c>
      <c r="D611" s="3" t="s">
        <v>57</v>
      </c>
      <c r="E611" s="3" t="s">
        <v>32</v>
      </c>
      <c r="F611" s="12">
        <v>46022</v>
      </c>
      <c r="G611" s="8">
        <v>2025</v>
      </c>
      <c r="H611" s="7" t="s">
        <v>44</v>
      </c>
      <c r="I611" s="7" t="s">
        <v>465</v>
      </c>
      <c r="J611" s="3">
        <v>2</v>
      </c>
      <c r="K611" s="3">
        <v>90</v>
      </c>
      <c r="L611" s="3">
        <v>87</v>
      </c>
      <c r="M611" s="3">
        <f t="shared" si="112"/>
        <v>0.96666666666666667</v>
      </c>
      <c r="N611" s="3">
        <f t="shared" si="113"/>
        <v>0.96666666666666667</v>
      </c>
      <c r="O611" s="3" t="s">
        <v>58</v>
      </c>
      <c r="P611" s="3" t="s">
        <v>58</v>
      </c>
      <c r="Q611" s="3" t="str">
        <f t="shared" si="111"/>
        <v>919-2025-12-31</v>
      </c>
      <c r="R611" s="3">
        <v>0</v>
      </c>
      <c r="S611" s="3">
        <v>0</v>
      </c>
      <c r="T611" s="3" t="s">
        <v>443</v>
      </c>
      <c r="U611" s="3" t="s">
        <v>37</v>
      </c>
      <c r="V611" s="3" t="s">
        <v>530</v>
      </c>
      <c r="W611" s="3" t="s">
        <v>60</v>
      </c>
      <c r="X611" s="3" t="s">
        <v>262</v>
      </c>
      <c r="Y611" s="3" t="s">
        <v>543</v>
      </c>
      <c r="Z611" s="3"/>
      <c r="AA611" s="3"/>
      <c r="AB611" s="3" t="s">
        <v>43</v>
      </c>
      <c r="AC611" s="3" t="s">
        <v>66</v>
      </c>
      <c r="AD611" s="3">
        <v>1</v>
      </c>
    </row>
    <row r="612" spans="1:30" x14ac:dyDescent="0.3">
      <c r="A612" s="3">
        <v>922</v>
      </c>
      <c r="B612" s="3" t="s">
        <v>519</v>
      </c>
      <c r="C612" s="3" t="s">
        <v>186</v>
      </c>
      <c r="D612" s="3" t="s">
        <v>57</v>
      </c>
      <c r="E612" s="3" t="s">
        <v>32</v>
      </c>
      <c r="F612" s="12">
        <v>46022</v>
      </c>
      <c r="G612" s="8">
        <v>2025</v>
      </c>
      <c r="H612" s="7" t="s">
        <v>44</v>
      </c>
      <c r="I612" s="7" t="s">
        <v>465</v>
      </c>
      <c r="J612" s="3">
        <v>2</v>
      </c>
      <c r="K612" s="3">
        <v>100</v>
      </c>
      <c r="L612" s="3">
        <v>99</v>
      </c>
      <c r="M612" s="3">
        <f t="shared" si="112"/>
        <v>0.99</v>
      </c>
      <c r="N612" s="3">
        <f t="shared" si="113"/>
        <v>0.99</v>
      </c>
      <c r="O612" s="3" t="s">
        <v>58</v>
      </c>
      <c r="P612" s="3" t="s">
        <v>58</v>
      </c>
      <c r="Q612" s="3" t="str">
        <f t="shared" si="111"/>
        <v>922-2025-12-31</v>
      </c>
      <c r="R612" s="3">
        <v>0</v>
      </c>
      <c r="S612" s="3">
        <v>0</v>
      </c>
      <c r="T612" s="3" t="s">
        <v>443</v>
      </c>
      <c r="U612" s="3" t="s">
        <v>37</v>
      </c>
      <c r="V612" s="3" t="s">
        <v>186</v>
      </c>
      <c r="W612" s="3" t="s">
        <v>112</v>
      </c>
      <c r="X612" s="3" t="s">
        <v>113</v>
      </c>
      <c r="Y612" s="3" t="s">
        <v>123</v>
      </c>
      <c r="Z612" s="3"/>
      <c r="AA612" s="3"/>
      <c r="AB612" s="3" t="s">
        <v>43</v>
      </c>
      <c r="AC612" s="3" t="s">
        <v>66</v>
      </c>
      <c r="AD612" s="3">
        <v>1</v>
      </c>
    </row>
    <row r="613" spans="1:30" x14ac:dyDescent="0.3">
      <c r="A613" s="3">
        <v>923</v>
      </c>
      <c r="B613" s="3" t="s">
        <v>520</v>
      </c>
      <c r="C613" s="3" t="s">
        <v>527</v>
      </c>
      <c r="D613" s="3" t="s">
        <v>57</v>
      </c>
      <c r="E613" s="3" t="s">
        <v>32</v>
      </c>
      <c r="F613" s="12">
        <v>46022</v>
      </c>
      <c r="G613" s="8">
        <v>2025</v>
      </c>
      <c r="H613" s="7" t="s">
        <v>44</v>
      </c>
      <c r="I613" s="7" t="s">
        <v>465</v>
      </c>
      <c r="J613" s="3">
        <v>2</v>
      </c>
      <c r="K613" s="3">
        <v>100</v>
      </c>
      <c r="L613" s="3">
        <v>100</v>
      </c>
      <c r="M613" s="3">
        <f t="shared" si="112"/>
        <v>1</v>
      </c>
      <c r="N613" s="3">
        <f t="shared" si="113"/>
        <v>1</v>
      </c>
      <c r="O613" s="3" t="s">
        <v>58</v>
      </c>
      <c r="P613" s="3" t="s">
        <v>58</v>
      </c>
      <c r="Q613" s="3" t="str">
        <f t="shared" si="111"/>
        <v>923-2025-12-31</v>
      </c>
      <c r="R613" s="3">
        <v>0</v>
      </c>
      <c r="S613" s="3">
        <v>0</v>
      </c>
      <c r="T613" s="3" t="s">
        <v>443</v>
      </c>
      <c r="U613" s="3" t="s">
        <v>37</v>
      </c>
      <c r="V613" s="3" t="s">
        <v>527</v>
      </c>
      <c r="W613" s="3" t="s">
        <v>73</v>
      </c>
      <c r="X613" s="3" t="s">
        <v>74</v>
      </c>
      <c r="Y613" s="3" t="s">
        <v>585</v>
      </c>
      <c r="Z613" s="3"/>
      <c r="AA613" s="3"/>
      <c r="AB613" s="3" t="s">
        <v>43</v>
      </c>
      <c r="AC613" s="3" t="s">
        <v>66</v>
      </c>
      <c r="AD613" s="3">
        <v>1</v>
      </c>
    </row>
    <row r="614" spans="1:30" x14ac:dyDescent="0.3">
      <c r="A614" s="3">
        <v>924</v>
      </c>
      <c r="B614" s="3" t="s">
        <v>552</v>
      </c>
      <c r="C614" s="3" t="s">
        <v>232</v>
      </c>
      <c r="D614" s="3" t="s">
        <v>57</v>
      </c>
      <c r="E614" s="3" t="s">
        <v>32</v>
      </c>
      <c r="F614" s="12">
        <v>46022</v>
      </c>
      <c r="G614" s="8">
        <v>2025</v>
      </c>
      <c r="H614" s="7" t="s">
        <v>44</v>
      </c>
      <c r="I614" s="7" t="s">
        <v>465</v>
      </c>
      <c r="J614" s="3">
        <v>2</v>
      </c>
      <c r="K614" s="3">
        <v>90</v>
      </c>
      <c r="L614" s="3">
        <v>85</v>
      </c>
      <c r="M614" s="3">
        <f t="shared" si="112"/>
        <v>0.94444444444444442</v>
      </c>
      <c r="N614" s="3">
        <f t="shared" si="113"/>
        <v>0.94444444444444442</v>
      </c>
      <c r="O614" s="3" t="s">
        <v>58</v>
      </c>
      <c r="P614" s="3" t="s">
        <v>58</v>
      </c>
      <c r="Q614" s="3" t="str">
        <f t="shared" si="111"/>
        <v>924-2025-12-31</v>
      </c>
      <c r="R614" s="3">
        <v>0</v>
      </c>
      <c r="S614" s="3">
        <v>0</v>
      </c>
      <c r="T614" s="3" t="s">
        <v>443</v>
      </c>
      <c r="U614" s="3" t="s">
        <v>37</v>
      </c>
      <c r="V614" s="3" t="s">
        <v>232</v>
      </c>
      <c r="W614" s="3" t="s">
        <v>145</v>
      </c>
      <c r="X614" s="3" t="s">
        <v>179</v>
      </c>
      <c r="Y614" s="3" t="s">
        <v>273</v>
      </c>
      <c r="Z614" s="3"/>
      <c r="AA614" s="3"/>
      <c r="AB614" s="3" t="s">
        <v>43</v>
      </c>
      <c r="AC614" s="3" t="s">
        <v>66</v>
      </c>
      <c r="AD614" s="3">
        <v>1</v>
      </c>
    </row>
    <row r="615" spans="1:30" x14ac:dyDescent="0.3">
      <c r="A615" s="5">
        <v>904</v>
      </c>
      <c r="B615" s="6" t="s">
        <v>500</v>
      </c>
      <c r="C615" s="3" t="s">
        <v>232</v>
      </c>
      <c r="D615" s="3" t="s">
        <v>57</v>
      </c>
      <c r="E615" s="3" t="s">
        <v>32</v>
      </c>
      <c r="F615" s="12">
        <v>46022</v>
      </c>
      <c r="G615" s="8">
        <v>2025</v>
      </c>
      <c r="H615" s="7" t="s">
        <v>44</v>
      </c>
      <c r="I615" s="7" t="s">
        <v>465</v>
      </c>
      <c r="J615" s="3">
        <v>2</v>
      </c>
      <c r="K615" s="10">
        <v>100</v>
      </c>
      <c r="L615" s="10">
        <v>100</v>
      </c>
      <c r="M615" s="3">
        <f t="shared" si="112"/>
        <v>1</v>
      </c>
      <c r="N615" s="3">
        <f t="shared" si="113"/>
        <v>1</v>
      </c>
      <c r="O615" s="3" t="s">
        <v>58</v>
      </c>
      <c r="P615" s="3" t="s">
        <v>58</v>
      </c>
      <c r="Q615" s="3" t="str">
        <f t="shared" si="111"/>
        <v>904-2025-12-31</v>
      </c>
      <c r="R615" s="3">
        <v>0</v>
      </c>
      <c r="S615" s="3">
        <v>0</v>
      </c>
      <c r="T615" s="3" t="s">
        <v>443</v>
      </c>
      <c r="U615" s="3" t="s">
        <v>37</v>
      </c>
      <c r="V615" s="3" t="s">
        <v>232</v>
      </c>
      <c r="W615" s="3" t="s">
        <v>145</v>
      </c>
      <c r="X615" s="3" t="s">
        <v>179</v>
      </c>
      <c r="Y615" s="3" t="s">
        <v>542</v>
      </c>
      <c r="Z615" s="3" t="s">
        <v>76</v>
      </c>
      <c r="AA615" s="3" t="s">
        <v>77</v>
      </c>
      <c r="AB615" s="3" t="s">
        <v>43</v>
      </c>
      <c r="AC615" s="3" t="s">
        <v>66</v>
      </c>
      <c r="AD615" s="3">
        <v>1</v>
      </c>
    </row>
    <row r="616" spans="1:30" x14ac:dyDescent="0.3">
      <c r="A616" s="3">
        <v>909</v>
      </c>
      <c r="B616" s="3" t="s">
        <v>509</v>
      </c>
      <c r="C616" s="3" t="s">
        <v>487</v>
      </c>
      <c r="D616" s="3" t="s">
        <v>57</v>
      </c>
      <c r="E616" s="3" t="s">
        <v>32</v>
      </c>
      <c r="F616" s="12">
        <v>46023</v>
      </c>
      <c r="G616" s="8">
        <v>2026</v>
      </c>
      <c r="H616" s="7" t="s">
        <v>484</v>
      </c>
      <c r="I616" s="7" t="s">
        <v>484</v>
      </c>
      <c r="J616" s="3"/>
      <c r="K616" s="3">
        <v>100</v>
      </c>
      <c r="L616" s="3">
        <v>100</v>
      </c>
      <c r="M616" s="3">
        <f t="shared" si="112"/>
        <v>1</v>
      </c>
      <c r="N616" s="3">
        <f t="shared" si="113"/>
        <v>1</v>
      </c>
      <c r="O616" s="3">
        <v>0</v>
      </c>
      <c r="P616" s="3">
        <v>0</v>
      </c>
      <c r="Q616" s="3" t="str">
        <f t="shared" si="111"/>
        <v>909-2026-01-01</v>
      </c>
      <c r="R616" s="3">
        <v>0</v>
      </c>
      <c r="S616" s="3">
        <v>0</v>
      </c>
      <c r="T616" s="3" t="s">
        <v>484</v>
      </c>
      <c r="U616" s="3" t="s">
        <v>37</v>
      </c>
      <c r="V616" s="3" t="s">
        <v>487</v>
      </c>
      <c r="W616" s="3" t="s">
        <v>73</v>
      </c>
      <c r="X616" s="3" t="s">
        <v>74</v>
      </c>
      <c r="Y616" s="3" t="s">
        <v>585</v>
      </c>
      <c r="Z616" s="3" t="s">
        <v>86</v>
      </c>
      <c r="AA616" s="3" t="s">
        <v>87</v>
      </c>
      <c r="AB616" s="3" t="s">
        <v>43</v>
      </c>
      <c r="AC616" s="3" t="s">
        <v>66</v>
      </c>
      <c r="AD616" s="3">
        <v>1</v>
      </c>
    </row>
    <row r="617" spans="1:30" x14ac:dyDescent="0.3">
      <c r="A617" s="3">
        <v>913</v>
      </c>
      <c r="B617" s="3" t="s">
        <v>513</v>
      </c>
      <c r="C617" s="3" t="s">
        <v>525</v>
      </c>
      <c r="D617" s="3" t="s">
        <v>57</v>
      </c>
      <c r="E617" s="3" t="s">
        <v>32</v>
      </c>
      <c r="F617" s="12">
        <v>46023</v>
      </c>
      <c r="G617" s="8">
        <v>2026</v>
      </c>
      <c r="H617" s="7" t="s">
        <v>484</v>
      </c>
      <c r="I617" s="7" t="s">
        <v>484</v>
      </c>
      <c r="J617" s="3"/>
      <c r="K617" s="3">
        <v>99</v>
      </c>
      <c r="L617" s="3">
        <v>99</v>
      </c>
      <c r="M617" s="3">
        <f t="shared" ref="M617:M636" si="114">IF(L617/K617&gt;1,1,L617/K617)</f>
        <v>1</v>
      </c>
      <c r="N617" s="3">
        <f t="shared" ref="N617:N621" si="115">IF(L617/K617&gt;1,1,L617/K617)</f>
        <v>1</v>
      </c>
      <c r="O617" s="3">
        <v>0</v>
      </c>
      <c r="P617" s="3">
        <v>0</v>
      </c>
      <c r="Q617" s="3" t="str">
        <f t="shared" si="111"/>
        <v>913-2026-01-01</v>
      </c>
      <c r="R617" s="3">
        <v>0</v>
      </c>
      <c r="S617" s="3">
        <v>0</v>
      </c>
      <c r="T617" s="3" t="s">
        <v>484</v>
      </c>
      <c r="U617" s="3" t="s">
        <v>37</v>
      </c>
      <c r="V617" s="3" t="s">
        <v>525</v>
      </c>
      <c r="W617" s="3" t="s">
        <v>60</v>
      </c>
      <c r="X617" s="3" t="s">
        <v>262</v>
      </c>
      <c r="Y617" s="3" t="s">
        <v>543</v>
      </c>
      <c r="Z617" s="3"/>
      <c r="AA617" s="3"/>
      <c r="AB617" s="3" t="s">
        <v>43</v>
      </c>
      <c r="AC617" s="3" t="s">
        <v>66</v>
      </c>
      <c r="AD617" s="3">
        <v>1</v>
      </c>
    </row>
    <row r="618" spans="1:30" x14ac:dyDescent="0.3">
      <c r="A618" s="3">
        <v>914</v>
      </c>
      <c r="B618" s="3" t="s">
        <v>514</v>
      </c>
      <c r="C618" s="3" t="s">
        <v>130</v>
      </c>
      <c r="D618" s="3" t="s">
        <v>57</v>
      </c>
      <c r="E618" s="3" t="s">
        <v>32</v>
      </c>
      <c r="F618" s="12">
        <v>46023</v>
      </c>
      <c r="G618" s="8">
        <v>2026</v>
      </c>
      <c r="H618" s="7" t="s">
        <v>484</v>
      </c>
      <c r="I618" s="7" t="s">
        <v>484</v>
      </c>
      <c r="J618" s="3"/>
      <c r="K618" s="3">
        <v>67</v>
      </c>
      <c r="L618" s="3">
        <v>67</v>
      </c>
      <c r="M618" s="3">
        <f t="shared" si="114"/>
        <v>1</v>
      </c>
      <c r="N618" s="3">
        <f t="shared" si="115"/>
        <v>1</v>
      </c>
      <c r="O618" s="3">
        <v>0</v>
      </c>
      <c r="P618" s="3">
        <v>0</v>
      </c>
      <c r="Q618" s="3" t="str">
        <f t="shared" si="111"/>
        <v>914-2026-01-01</v>
      </c>
      <c r="R618" s="3">
        <v>0</v>
      </c>
      <c r="S618" s="3">
        <v>0</v>
      </c>
      <c r="T618" s="3" t="s">
        <v>484</v>
      </c>
      <c r="U618" s="3" t="s">
        <v>37</v>
      </c>
      <c r="V618" s="3" t="s">
        <v>130</v>
      </c>
      <c r="W618" s="3" t="s">
        <v>60</v>
      </c>
      <c r="X618" s="3" t="s">
        <v>100</v>
      </c>
      <c r="Y618" s="3" t="s">
        <v>586</v>
      </c>
      <c r="Z618" s="3"/>
      <c r="AA618" s="3"/>
      <c r="AB618" s="3" t="s">
        <v>43</v>
      </c>
      <c r="AC618" s="3" t="s">
        <v>66</v>
      </c>
      <c r="AD618" s="3">
        <v>1</v>
      </c>
    </row>
    <row r="619" spans="1:30" x14ac:dyDescent="0.3">
      <c r="A619" s="3">
        <v>8</v>
      </c>
      <c r="B619" s="3" t="s">
        <v>495</v>
      </c>
      <c r="C619" s="3" t="s">
        <v>349</v>
      </c>
      <c r="D619" s="3" t="s">
        <v>57</v>
      </c>
      <c r="E619" s="3" t="s">
        <v>32</v>
      </c>
      <c r="F619" s="12">
        <v>46023</v>
      </c>
      <c r="G619" s="8">
        <v>2026</v>
      </c>
      <c r="H619" s="7" t="s">
        <v>484</v>
      </c>
      <c r="I619" s="7" t="s">
        <v>484</v>
      </c>
      <c r="J619" s="3"/>
      <c r="K619" s="9">
        <v>100</v>
      </c>
      <c r="L619" s="9">
        <v>100</v>
      </c>
      <c r="M619" s="3">
        <f t="shared" si="114"/>
        <v>1</v>
      </c>
      <c r="N619" s="3">
        <f t="shared" si="115"/>
        <v>1</v>
      </c>
      <c r="O619" s="3"/>
      <c r="P619" s="3"/>
      <c r="Q619" s="3" t="str">
        <f t="shared" si="111"/>
        <v>8-2026-01-01</v>
      </c>
      <c r="R619" s="3">
        <v>0</v>
      </c>
      <c r="S619" s="3">
        <v>0</v>
      </c>
      <c r="T619" s="3" t="s">
        <v>484</v>
      </c>
      <c r="U619" s="3" t="s">
        <v>37</v>
      </c>
      <c r="V619" s="3" t="s">
        <v>349</v>
      </c>
      <c r="W619" s="3" t="s">
        <v>73</v>
      </c>
      <c r="X619" s="3" t="s">
        <v>74</v>
      </c>
      <c r="Y619" s="3" t="s">
        <v>351</v>
      </c>
      <c r="Z619" s="3" t="s">
        <v>101</v>
      </c>
      <c r="AA619" s="3" t="s">
        <v>264</v>
      </c>
      <c r="AB619" s="3" t="s">
        <v>43</v>
      </c>
      <c r="AC619" s="3" t="s">
        <v>66</v>
      </c>
      <c r="AD619" s="3">
        <v>1</v>
      </c>
    </row>
    <row r="620" spans="1:30" x14ac:dyDescent="0.3">
      <c r="A620" s="3">
        <v>923</v>
      </c>
      <c r="B620" s="3" t="s">
        <v>520</v>
      </c>
      <c r="C620" s="3" t="s">
        <v>527</v>
      </c>
      <c r="D620" s="3" t="s">
        <v>57</v>
      </c>
      <c r="E620" s="3" t="s">
        <v>32</v>
      </c>
      <c r="F620" s="12">
        <v>46023</v>
      </c>
      <c r="G620" s="8">
        <v>2026</v>
      </c>
      <c r="H620" s="7" t="s">
        <v>484</v>
      </c>
      <c r="I620" s="7" t="s">
        <v>484</v>
      </c>
      <c r="J620" s="3"/>
      <c r="K620" s="3">
        <v>100</v>
      </c>
      <c r="L620" s="3">
        <v>100</v>
      </c>
      <c r="M620" s="3">
        <f t="shared" si="114"/>
        <v>1</v>
      </c>
      <c r="N620" s="3">
        <f t="shared" si="115"/>
        <v>1</v>
      </c>
      <c r="O620" s="3" t="s">
        <v>58</v>
      </c>
      <c r="P620" s="3" t="s">
        <v>58</v>
      </c>
      <c r="Q620" s="3" t="str">
        <f t="shared" si="111"/>
        <v>923-2026-01-01</v>
      </c>
      <c r="R620" s="3">
        <v>0</v>
      </c>
      <c r="S620" s="3">
        <v>0</v>
      </c>
      <c r="T620" s="3" t="s">
        <v>484</v>
      </c>
      <c r="U620" s="3" t="s">
        <v>37</v>
      </c>
      <c r="V620" s="3" t="s">
        <v>527</v>
      </c>
      <c r="W620" s="3" t="s">
        <v>73</v>
      </c>
      <c r="X620" s="3" t="s">
        <v>74</v>
      </c>
      <c r="Y620" s="3" t="s">
        <v>585</v>
      </c>
      <c r="Z620" s="3"/>
      <c r="AA620" s="3"/>
      <c r="AB620" s="3" t="s">
        <v>43</v>
      </c>
      <c r="AC620" s="3" t="s">
        <v>66</v>
      </c>
      <c r="AD620" s="3">
        <v>1</v>
      </c>
    </row>
    <row r="621" spans="1:30" x14ac:dyDescent="0.3">
      <c r="A621" s="3">
        <v>5</v>
      </c>
      <c r="B621" s="3" t="s">
        <v>492</v>
      </c>
      <c r="C621" s="3" t="s">
        <v>267</v>
      </c>
      <c r="D621" s="3" t="s">
        <v>57</v>
      </c>
      <c r="E621" s="3" t="s">
        <v>32</v>
      </c>
      <c r="F621" s="12">
        <v>46023</v>
      </c>
      <c r="G621" s="8">
        <v>2026</v>
      </c>
      <c r="H621" s="7" t="s">
        <v>484</v>
      </c>
      <c r="I621" s="7" t="s">
        <v>484</v>
      </c>
      <c r="J621" s="3"/>
      <c r="K621" s="9">
        <v>100</v>
      </c>
      <c r="L621" s="9">
        <v>100</v>
      </c>
      <c r="M621" s="3">
        <f t="shared" si="114"/>
        <v>1</v>
      </c>
      <c r="N621" s="3">
        <f t="shared" si="115"/>
        <v>1</v>
      </c>
      <c r="O621" s="3" t="s">
        <v>58</v>
      </c>
      <c r="P621" s="3" t="s">
        <v>58</v>
      </c>
      <c r="Q621" s="3" t="str">
        <f t="shared" si="111"/>
        <v>5-2026-01-01</v>
      </c>
      <c r="R621" s="3">
        <v>0</v>
      </c>
      <c r="S621" s="3">
        <v>0</v>
      </c>
      <c r="T621" s="3" t="s">
        <v>484</v>
      </c>
      <c r="U621" s="3" t="s">
        <v>37</v>
      </c>
      <c r="V621" s="3" t="s">
        <v>267</v>
      </c>
      <c r="W621" s="3" t="s">
        <v>145</v>
      </c>
      <c r="X621" s="3" t="s">
        <v>179</v>
      </c>
      <c r="Y621" s="3" t="s">
        <v>269</v>
      </c>
      <c r="Z621" s="3" t="s">
        <v>41</v>
      </c>
      <c r="AA621" s="3" t="s">
        <v>124</v>
      </c>
      <c r="AB621" s="3" t="s">
        <v>43</v>
      </c>
      <c r="AC621" s="3" t="s">
        <v>66</v>
      </c>
      <c r="AD621" s="3">
        <v>1</v>
      </c>
    </row>
    <row r="622" spans="1:30" x14ac:dyDescent="0.3">
      <c r="A622" s="3">
        <v>910</v>
      </c>
      <c r="B622" s="3" t="s">
        <v>510</v>
      </c>
      <c r="C622" s="3" t="s">
        <v>71</v>
      </c>
      <c r="D622" s="3" t="s">
        <v>57</v>
      </c>
      <c r="E622" s="3" t="s">
        <v>32</v>
      </c>
      <c r="F622" s="12">
        <v>46023</v>
      </c>
      <c r="G622" s="8">
        <v>2026</v>
      </c>
      <c r="H622" s="7" t="s">
        <v>484</v>
      </c>
      <c r="I622" s="7" t="s">
        <v>484</v>
      </c>
      <c r="J622" s="3"/>
      <c r="K622" s="3">
        <v>76</v>
      </c>
      <c r="L622" s="3">
        <v>77</v>
      </c>
      <c r="M622" s="3">
        <f t="shared" si="114"/>
        <v>1</v>
      </c>
      <c r="N622" s="3">
        <f>IF(L622/K622&gt;1,1,L622/K622)</f>
        <v>1</v>
      </c>
      <c r="O622" s="3" t="s">
        <v>58</v>
      </c>
      <c r="P622" s="3" t="s">
        <v>58</v>
      </c>
      <c r="Q622" s="3" t="str">
        <f t="shared" si="111"/>
        <v>910-2026-01-01</v>
      </c>
      <c r="R622" s="3">
        <v>0</v>
      </c>
      <c r="S622" s="3">
        <v>0</v>
      </c>
      <c r="T622" s="3" t="s">
        <v>484</v>
      </c>
      <c r="U622" s="3" t="s">
        <v>37</v>
      </c>
      <c r="V622" s="3" t="s">
        <v>71</v>
      </c>
      <c r="W622" s="3" t="s">
        <v>73</v>
      </c>
      <c r="X622" s="3" t="s">
        <v>74</v>
      </c>
      <c r="Y622" s="3" t="s">
        <v>585</v>
      </c>
      <c r="Z622" s="3" t="s">
        <v>86</v>
      </c>
      <c r="AA622" s="3" t="s">
        <v>87</v>
      </c>
      <c r="AB622" s="3" t="s">
        <v>43</v>
      </c>
      <c r="AC622" s="3" t="s">
        <v>66</v>
      </c>
      <c r="AD622" s="3">
        <v>1</v>
      </c>
    </row>
    <row r="623" spans="1:30" x14ac:dyDescent="0.3">
      <c r="A623" s="3">
        <v>911</v>
      </c>
      <c r="B623" s="3" t="s">
        <v>511</v>
      </c>
      <c r="C623" s="3" t="s">
        <v>202</v>
      </c>
      <c r="D623" s="3" t="s">
        <v>57</v>
      </c>
      <c r="E623" s="3" t="s">
        <v>32</v>
      </c>
      <c r="F623" s="12">
        <v>46023</v>
      </c>
      <c r="G623" s="8">
        <v>2026</v>
      </c>
      <c r="H623" s="7" t="s">
        <v>484</v>
      </c>
      <c r="I623" s="7" t="s">
        <v>484</v>
      </c>
      <c r="J623" s="3"/>
      <c r="K623" s="3">
        <v>90</v>
      </c>
      <c r="L623" s="3">
        <v>91</v>
      </c>
      <c r="M623" s="3">
        <f t="shared" si="114"/>
        <v>1</v>
      </c>
      <c r="N623" s="3">
        <f>IF(L623/K623&gt;1,1,L623/K623)</f>
        <v>1</v>
      </c>
      <c r="O623" s="3" t="s">
        <v>58</v>
      </c>
      <c r="P623" s="3" t="s">
        <v>58</v>
      </c>
      <c r="Q623" s="3" t="str">
        <f t="shared" si="111"/>
        <v>911-2026-01-01</v>
      </c>
      <c r="R623" s="3">
        <v>0</v>
      </c>
      <c r="S623" s="3">
        <v>0</v>
      </c>
      <c r="T623" s="3" t="s">
        <v>484</v>
      </c>
      <c r="U623" s="3" t="s">
        <v>37</v>
      </c>
      <c r="V623" s="3" t="s">
        <v>202</v>
      </c>
      <c r="W623" s="3" t="s">
        <v>73</v>
      </c>
      <c r="X623" s="3" t="s">
        <v>74</v>
      </c>
      <c r="Y623" s="3" t="s">
        <v>585</v>
      </c>
      <c r="Z623" s="3" t="s">
        <v>86</v>
      </c>
      <c r="AA623" s="3" t="s">
        <v>87</v>
      </c>
      <c r="AB623" s="3" t="s">
        <v>43</v>
      </c>
      <c r="AC623" s="3" t="s">
        <v>66</v>
      </c>
      <c r="AD623" s="3">
        <v>1</v>
      </c>
    </row>
    <row r="624" spans="1:30" x14ac:dyDescent="0.3">
      <c r="A624" s="3">
        <v>915</v>
      </c>
      <c r="B624" s="3" t="s">
        <v>515</v>
      </c>
      <c r="C624" s="3" t="s">
        <v>260</v>
      </c>
      <c r="D624" s="3" t="s">
        <v>57</v>
      </c>
      <c r="E624" s="3" t="s">
        <v>32</v>
      </c>
      <c r="F624" s="12">
        <v>46023</v>
      </c>
      <c r="G624" s="8">
        <v>2026</v>
      </c>
      <c r="H624" s="7" t="s">
        <v>484</v>
      </c>
      <c r="I624" s="7" t="s">
        <v>484</v>
      </c>
      <c r="J624" s="3"/>
      <c r="K624" s="3">
        <v>5</v>
      </c>
      <c r="L624" s="3">
        <v>5</v>
      </c>
      <c r="M624" s="3">
        <f t="shared" si="114"/>
        <v>1</v>
      </c>
      <c r="N624" s="3">
        <f t="shared" ref="N624" si="116">IF(L624/K624&gt;1,1,L624/K624)</f>
        <v>1</v>
      </c>
      <c r="O624" s="3" t="s">
        <v>58</v>
      </c>
      <c r="P624" s="3" t="s">
        <v>58</v>
      </c>
      <c r="Q624" s="3" t="str">
        <f t="shared" si="111"/>
        <v>915-2026-01-01</v>
      </c>
      <c r="R624" s="3">
        <v>0</v>
      </c>
      <c r="S624" s="3">
        <v>0</v>
      </c>
      <c r="T624" s="3" t="s">
        <v>484</v>
      </c>
      <c r="U624" s="3" t="s">
        <v>37</v>
      </c>
      <c r="V624" s="3" t="s">
        <v>260</v>
      </c>
      <c r="W624" s="3" t="s">
        <v>60</v>
      </c>
      <c r="X624" s="3" t="s">
        <v>262</v>
      </c>
      <c r="Y624" s="3" t="s">
        <v>338</v>
      </c>
      <c r="Z624" s="3"/>
      <c r="AA624" s="3"/>
      <c r="AB624" s="3" t="s">
        <v>43</v>
      </c>
      <c r="AC624" s="3" t="s">
        <v>66</v>
      </c>
      <c r="AD624" s="3">
        <v>1</v>
      </c>
    </row>
    <row r="625" spans="1:30" x14ac:dyDescent="0.3">
      <c r="A625" s="3">
        <v>916</v>
      </c>
      <c r="B625" s="3" t="s">
        <v>516</v>
      </c>
      <c r="C625" s="3" t="s">
        <v>522</v>
      </c>
      <c r="D625" s="3" t="s">
        <v>57</v>
      </c>
      <c r="E625" s="3" t="s">
        <v>32</v>
      </c>
      <c r="F625" s="12">
        <v>46023</v>
      </c>
      <c r="G625" s="8">
        <v>2026</v>
      </c>
      <c r="H625" s="7" t="s">
        <v>484</v>
      </c>
      <c r="I625" s="7" t="s">
        <v>484</v>
      </c>
      <c r="J625" s="3"/>
      <c r="K625" s="3">
        <v>60</v>
      </c>
      <c r="L625" s="3">
        <v>57</v>
      </c>
      <c r="M625" s="3">
        <f t="shared" si="114"/>
        <v>0.95</v>
      </c>
      <c r="N625" s="3">
        <f>IF(L625/K625&gt;1,1,L625/K625)</f>
        <v>0.95</v>
      </c>
      <c r="O625" s="3" t="s">
        <v>58</v>
      </c>
      <c r="P625" s="3" t="s">
        <v>58</v>
      </c>
      <c r="Q625" s="3" t="str">
        <f t="shared" si="111"/>
        <v>916-2026-01-01</v>
      </c>
      <c r="R625" s="3">
        <v>0</v>
      </c>
      <c r="S625" s="3">
        <v>0</v>
      </c>
      <c r="T625" s="3" t="s">
        <v>484</v>
      </c>
      <c r="U625" s="3" t="s">
        <v>37</v>
      </c>
      <c r="V625" s="3" t="s">
        <v>522</v>
      </c>
      <c r="W625" s="3" t="s">
        <v>60</v>
      </c>
      <c r="X625" s="3" t="s">
        <v>262</v>
      </c>
      <c r="Y625" s="3" t="s">
        <v>543</v>
      </c>
      <c r="Z625" s="3"/>
      <c r="AA625" s="3"/>
      <c r="AB625" s="3" t="s">
        <v>43</v>
      </c>
      <c r="AC625" s="3" t="s">
        <v>66</v>
      </c>
      <c r="AD625" s="3">
        <v>1</v>
      </c>
    </row>
    <row r="626" spans="1:30" x14ac:dyDescent="0.3">
      <c r="A626" s="3">
        <v>920</v>
      </c>
      <c r="B626" s="3" t="s">
        <v>507</v>
      </c>
      <c r="C626" s="3" t="s">
        <v>524</v>
      </c>
      <c r="D626" s="3" t="s">
        <v>57</v>
      </c>
      <c r="E626" s="3" t="s">
        <v>32</v>
      </c>
      <c r="F626" s="12">
        <v>46023</v>
      </c>
      <c r="G626" s="8">
        <v>2026</v>
      </c>
      <c r="H626" s="7" t="s">
        <v>484</v>
      </c>
      <c r="I626" s="7" t="s">
        <v>484</v>
      </c>
      <c r="J626" s="3"/>
      <c r="K626" s="3">
        <v>100</v>
      </c>
      <c r="L626" s="3">
        <v>100</v>
      </c>
      <c r="M626" s="3">
        <f t="shared" si="114"/>
        <v>1</v>
      </c>
      <c r="N626" s="3">
        <f t="shared" ref="N626:N631" si="117">IF(L626/K626&gt;1,1,L626/K626)</f>
        <v>1</v>
      </c>
      <c r="O626" s="3"/>
      <c r="P626" s="3"/>
      <c r="Q626" s="3" t="str">
        <f t="shared" si="111"/>
        <v>920-2026-01-01</v>
      </c>
      <c r="R626" s="3">
        <v>0</v>
      </c>
      <c r="S626" s="3">
        <v>0</v>
      </c>
      <c r="T626" s="3" t="s">
        <v>484</v>
      </c>
      <c r="U626" s="3" t="s">
        <v>37</v>
      </c>
      <c r="V626" s="3" t="s">
        <v>524</v>
      </c>
      <c r="W626" s="3" t="s">
        <v>60</v>
      </c>
      <c r="X626" s="3" t="s">
        <v>262</v>
      </c>
      <c r="Y626" s="3" t="s">
        <v>543</v>
      </c>
      <c r="Z626" s="3"/>
      <c r="AA626" s="3"/>
      <c r="AB626" s="3" t="s">
        <v>43</v>
      </c>
      <c r="AC626" s="3" t="s">
        <v>66</v>
      </c>
      <c r="AD626" s="3">
        <v>1</v>
      </c>
    </row>
    <row r="627" spans="1:30" x14ac:dyDescent="0.3">
      <c r="A627" s="5">
        <v>903</v>
      </c>
      <c r="B627" s="6" t="s">
        <v>508</v>
      </c>
      <c r="C627" s="3" t="s">
        <v>529</v>
      </c>
      <c r="D627" s="3" t="s">
        <v>57</v>
      </c>
      <c r="E627" s="3" t="s">
        <v>32</v>
      </c>
      <c r="F627" s="12">
        <v>46023</v>
      </c>
      <c r="G627" s="8">
        <v>2026</v>
      </c>
      <c r="H627" s="7" t="s">
        <v>484</v>
      </c>
      <c r="I627" s="7" t="s">
        <v>484</v>
      </c>
      <c r="J627" s="3"/>
      <c r="K627" s="10">
        <v>100</v>
      </c>
      <c r="L627" s="10">
        <v>99</v>
      </c>
      <c r="M627" s="3">
        <f t="shared" si="114"/>
        <v>0.99</v>
      </c>
      <c r="N627" s="3">
        <f t="shared" si="117"/>
        <v>0.99</v>
      </c>
      <c r="O627" s="3" t="s">
        <v>58</v>
      </c>
      <c r="P627" s="3" t="s">
        <v>58</v>
      </c>
      <c r="Q627" s="3" t="str">
        <f t="shared" si="111"/>
        <v>903-2026-01-01</v>
      </c>
      <c r="R627" s="3">
        <v>0</v>
      </c>
      <c r="S627" s="3">
        <v>0</v>
      </c>
      <c r="T627" s="3" t="s">
        <v>484</v>
      </c>
      <c r="U627" s="3" t="s">
        <v>37</v>
      </c>
      <c r="V627" s="3" t="s">
        <v>529</v>
      </c>
      <c r="W627" s="3" t="s">
        <v>112</v>
      </c>
      <c r="X627" s="3" t="s">
        <v>113</v>
      </c>
      <c r="Y627" s="3" t="s">
        <v>541</v>
      </c>
      <c r="Z627" s="3" t="s">
        <v>101</v>
      </c>
      <c r="AA627" s="3" t="s">
        <v>264</v>
      </c>
      <c r="AB627" s="3" t="s">
        <v>43</v>
      </c>
      <c r="AC627" s="3" t="s">
        <v>66</v>
      </c>
      <c r="AD627" s="3">
        <v>1</v>
      </c>
    </row>
    <row r="628" spans="1:30" x14ac:dyDescent="0.3">
      <c r="A628" s="3">
        <v>912</v>
      </c>
      <c r="B628" s="3" t="s">
        <v>512</v>
      </c>
      <c r="C628" s="3" t="s">
        <v>349</v>
      </c>
      <c r="D628" s="3" t="s">
        <v>57</v>
      </c>
      <c r="E628" s="3" t="s">
        <v>32</v>
      </c>
      <c r="F628" s="12">
        <v>46023</v>
      </c>
      <c r="G628" s="8">
        <v>2026</v>
      </c>
      <c r="H628" s="7" t="s">
        <v>484</v>
      </c>
      <c r="I628" s="7" t="s">
        <v>484</v>
      </c>
      <c r="J628" s="3"/>
      <c r="K628" s="3">
        <v>75</v>
      </c>
      <c r="L628" s="3">
        <v>70</v>
      </c>
      <c r="M628" s="3">
        <f t="shared" si="114"/>
        <v>0.93333333333333335</v>
      </c>
      <c r="N628" s="3">
        <f t="shared" si="117"/>
        <v>0.93333333333333335</v>
      </c>
      <c r="O628" s="3" t="s">
        <v>58</v>
      </c>
      <c r="P628" s="3" t="s">
        <v>58</v>
      </c>
      <c r="Q628" s="3" t="str">
        <f t="shared" si="111"/>
        <v>912-2026-01-01</v>
      </c>
      <c r="R628" s="3">
        <v>0</v>
      </c>
      <c r="S628" s="3">
        <v>0</v>
      </c>
      <c r="T628" s="3" t="s">
        <v>484</v>
      </c>
      <c r="U628" s="3" t="s">
        <v>37</v>
      </c>
      <c r="V628" s="3" t="s">
        <v>349</v>
      </c>
      <c r="W628" s="3" t="s">
        <v>73</v>
      </c>
      <c r="X628" s="3" t="s">
        <v>218</v>
      </c>
      <c r="Y628" s="3" t="s">
        <v>351</v>
      </c>
      <c r="Z628" s="3" t="s">
        <v>86</v>
      </c>
      <c r="AA628" s="3" t="s">
        <v>87</v>
      </c>
      <c r="AB628" s="3" t="s">
        <v>43</v>
      </c>
      <c r="AC628" s="3" t="s">
        <v>66</v>
      </c>
      <c r="AD628" s="3">
        <v>1</v>
      </c>
    </row>
    <row r="629" spans="1:30" x14ac:dyDescent="0.3">
      <c r="A629" s="3">
        <v>925</v>
      </c>
      <c r="B629" s="3" t="s">
        <v>506</v>
      </c>
      <c r="C629" s="3" t="s">
        <v>142</v>
      </c>
      <c r="D629" s="3" t="s">
        <v>57</v>
      </c>
      <c r="E629" s="3" t="s">
        <v>32</v>
      </c>
      <c r="F629" s="12">
        <v>46023</v>
      </c>
      <c r="G629" s="8">
        <v>2026</v>
      </c>
      <c r="H629" s="7" t="s">
        <v>484</v>
      </c>
      <c r="I629" s="7" t="s">
        <v>484</v>
      </c>
      <c r="J629" s="3"/>
      <c r="K629" s="11">
        <v>100</v>
      </c>
      <c r="L629" s="11">
        <v>100</v>
      </c>
      <c r="M629" s="3">
        <f t="shared" si="114"/>
        <v>1</v>
      </c>
      <c r="N629" s="3">
        <f t="shared" si="117"/>
        <v>1</v>
      </c>
      <c r="O629" s="3" t="s">
        <v>58</v>
      </c>
      <c r="P629" s="3" t="s">
        <v>58</v>
      </c>
      <c r="Q629" s="3" t="str">
        <f t="shared" si="111"/>
        <v>925-2026-01-01</v>
      </c>
      <c r="R629" s="3">
        <v>0</v>
      </c>
      <c r="S629" s="3">
        <v>0</v>
      </c>
      <c r="T629" s="3" t="s">
        <v>484</v>
      </c>
      <c r="U629" s="3" t="s">
        <v>37</v>
      </c>
      <c r="V629" s="3" t="s">
        <v>142</v>
      </c>
      <c r="W629" s="3" t="s">
        <v>145</v>
      </c>
      <c r="X629" s="3" t="s">
        <v>146</v>
      </c>
      <c r="Y629" s="3" t="s">
        <v>147</v>
      </c>
      <c r="Z629" s="3"/>
      <c r="AA629" s="3"/>
      <c r="AB629" s="3" t="s">
        <v>43</v>
      </c>
      <c r="AC629" s="3" t="s">
        <v>66</v>
      </c>
      <c r="AD629" s="3">
        <v>1</v>
      </c>
    </row>
    <row r="630" spans="1:30" x14ac:dyDescent="0.3">
      <c r="A630" s="3">
        <v>921</v>
      </c>
      <c r="B630" s="3" t="s">
        <v>505</v>
      </c>
      <c r="C630" s="3" t="s">
        <v>524</v>
      </c>
      <c r="D630" s="3" t="s">
        <v>57</v>
      </c>
      <c r="E630" s="3" t="s">
        <v>32</v>
      </c>
      <c r="F630" s="12">
        <v>46023</v>
      </c>
      <c r="G630" s="8">
        <v>2026</v>
      </c>
      <c r="H630" s="7" t="s">
        <v>484</v>
      </c>
      <c r="I630" s="7" t="s">
        <v>484</v>
      </c>
      <c r="J630" s="3"/>
      <c r="K630" s="3">
        <v>100</v>
      </c>
      <c r="L630" s="3">
        <v>100</v>
      </c>
      <c r="M630" s="3">
        <f t="shared" si="114"/>
        <v>1</v>
      </c>
      <c r="N630" s="3">
        <f t="shared" si="117"/>
        <v>1</v>
      </c>
      <c r="O630" s="3" t="s">
        <v>58</v>
      </c>
      <c r="P630" s="3" t="s">
        <v>58</v>
      </c>
      <c r="Q630" s="3" t="str">
        <f t="shared" si="111"/>
        <v>921-2026-01-01</v>
      </c>
      <c r="R630" s="3">
        <v>0</v>
      </c>
      <c r="S630" s="3">
        <v>0</v>
      </c>
      <c r="T630" s="3" t="s">
        <v>484</v>
      </c>
      <c r="U630" s="3" t="s">
        <v>37</v>
      </c>
      <c r="V630" s="3" t="s">
        <v>524</v>
      </c>
      <c r="W630" s="3" t="s">
        <v>60</v>
      </c>
      <c r="X630" s="3" t="s">
        <v>262</v>
      </c>
      <c r="Y630" s="3" t="s">
        <v>543</v>
      </c>
      <c r="Z630" s="3"/>
      <c r="AA630" s="3"/>
      <c r="AB630" s="3" t="s">
        <v>43</v>
      </c>
      <c r="AC630" s="3" t="s">
        <v>66</v>
      </c>
      <c r="AD630" s="3">
        <v>1</v>
      </c>
    </row>
    <row r="631" spans="1:30" x14ac:dyDescent="0.3">
      <c r="A631" s="3">
        <v>922</v>
      </c>
      <c r="B631" s="3" t="s">
        <v>519</v>
      </c>
      <c r="C631" s="3" t="s">
        <v>186</v>
      </c>
      <c r="D631" s="3" t="s">
        <v>57</v>
      </c>
      <c r="E631" s="3" t="s">
        <v>32</v>
      </c>
      <c r="F631" s="12">
        <v>46023</v>
      </c>
      <c r="G631" s="8">
        <v>2026</v>
      </c>
      <c r="H631" s="7" t="s">
        <v>484</v>
      </c>
      <c r="I631" s="7" t="s">
        <v>484</v>
      </c>
      <c r="J631" s="3"/>
      <c r="K631" s="3">
        <v>100</v>
      </c>
      <c r="L631" s="3">
        <v>99</v>
      </c>
      <c r="M631" s="3">
        <f t="shared" si="114"/>
        <v>0.99</v>
      </c>
      <c r="N631" s="3">
        <f t="shared" si="117"/>
        <v>0.99</v>
      </c>
      <c r="O631" s="3" t="s">
        <v>58</v>
      </c>
      <c r="P631" s="3" t="s">
        <v>58</v>
      </c>
      <c r="Q631" s="3" t="str">
        <f t="shared" si="111"/>
        <v>922-2026-01-01</v>
      </c>
      <c r="R631" s="3">
        <v>0</v>
      </c>
      <c r="S631" s="3">
        <v>0</v>
      </c>
      <c r="T631" s="3" t="s">
        <v>484</v>
      </c>
      <c r="U631" s="3" t="s">
        <v>37</v>
      </c>
      <c r="V631" s="3" t="s">
        <v>186</v>
      </c>
      <c r="W631" s="3" t="s">
        <v>112</v>
      </c>
      <c r="X631" s="3" t="s">
        <v>113</v>
      </c>
      <c r="Y631" s="3" t="s">
        <v>123</v>
      </c>
      <c r="Z631" s="3"/>
      <c r="AA631" s="3"/>
      <c r="AB631" s="3" t="s">
        <v>43</v>
      </c>
      <c r="AC631" s="3" t="s">
        <v>66</v>
      </c>
      <c r="AD631" s="3">
        <v>1</v>
      </c>
    </row>
    <row r="632" spans="1:30" x14ac:dyDescent="0.3">
      <c r="A632" s="3">
        <v>917</v>
      </c>
      <c r="B632" s="3" t="s">
        <v>517</v>
      </c>
      <c r="C632" s="3" t="s">
        <v>30</v>
      </c>
      <c r="D632" s="3" t="s">
        <v>57</v>
      </c>
      <c r="E632" s="3" t="s">
        <v>32</v>
      </c>
      <c r="F632" s="12">
        <v>46023</v>
      </c>
      <c r="G632" s="8">
        <v>2026</v>
      </c>
      <c r="H632" s="7" t="s">
        <v>484</v>
      </c>
      <c r="I632" s="7" t="s">
        <v>484</v>
      </c>
      <c r="J632" s="3"/>
      <c r="K632" s="3">
        <v>100</v>
      </c>
      <c r="L632" s="3">
        <v>99</v>
      </c>
      <c r="M632" s="3">
        <f t="shared" si="114"/>
        <v>0.99</v>
      </c>
      <c r="N632" s="3">
        <f>IF(L632/K632&gt;1,1,L632/K632)</f>
        <v>0.99</v>
      </c>
      <c r="O632" s="3" t="s">
        <v>58</v>
      </c>
      <c r="P632" s="3" t="s">
        <v>58</v>
      </c>
      <c r="Q632" s="3" t="str">
        <f t="shared" si="111"/>
        <v>917-2026-01-01</v>
      </c>
      <c r="R632" s="3">
        <v>0</v>
      </c>
      <c r="S632" s="3">
        <v>0</v>
      </c>
      <c r="T632" s="3" t="s">
        <v>484</v>
      </c>
      <c r="U632" s="3" t="s">
        <v>37</v>
      </c>
      <c r="V632" s="3" t="s">
        <v>30</v>
      </c>
      <c r="W632" s="3" t="s">
        <v>60</v>
      </c>
      <c r="X632" s="3" t="s">
        <v>262</v>
      </c>
      <c r="Y632" s="3" t="s">
        <v>543</v>
      </c>
      <c r="Z632" s="3"/>
      <c r="AA632" s="3"/>
      <c r="AB632" s="3" t="s">
        <v>43</v>
      </c>
      <c r="AC632" s="3" t="s">
        <v>66</v>
      </c>
      <c r="AD632" s="3">
        <v>1</v>
      </c>
    </row>
    <row r="633" spans="1:30" x14ac:dyDescent="0.3">
      <c r="A633" s="3">
        <v>924</v>
      </c>
      <c r="B633" s="3" t="s">
        <v>552</v>
      </c>
      <c r="C633" s="3" t="s">
        <v>232</v>
      </c>
      <c r="D633" s="3" t="s">
        <v>57</v>
      </c>
      <c r="E633" s="3" t="s">
        <v>32</v>
      </c>
      <c r="F633" s="12">
        <v>46023</v>
      </c>
      <c r="G633" s="8">
        <v>2026</v>
      </c>
      <c r="H633" s="7" t="s">
        <v>484</v>
      </c>
      <c r="I633" s="7" t="s">
        <v>484</v>
      </c>
      <c r="J633" s="3"/>
      <c r="K633" s="3">
        <v>90</v>
      </c>
      <c r="L633" s="3">
        <v>85</v>
      </c>
      <c r="M633" s="3">
        <f t="shared" si="114"/>
        <v>0.94444444444444442</v>
      </c>
      <c r="N633" s="3">
        <f t="shared" ref="N633:N636" si="118">IF(L633/K633&gt;1,1,L633/K633)</f>
        <v>0.94444444444444442</v>
      </c>
      <c r="O633" s="3" t="s">
        <v>58</v>
      </c>
      <c r="P633" s="3" t="s">
        <v>58</v>
      </c>
      <c r="Q633" s="3" t="str">
        <f t="shared" si="111"/>
        <v>924-2026-01-01</v>
      </c>
      <c r="R633" s="3">
        <v>0</v>
      </c>
      <c r="S633" s="3">
        <v>0</v>
      </c>
      <c r="T633" s="3" t="s">
        <v>484</v>
      </c>
      <c r="U633" s="3" t="s">
        <v>37</v>
      </c>
      <c r="V633" s="3" t="s">
        <v>232</v>
      </c>
      <c r="W633" s="3" t="s">
        <v>145</v>
      </c>
      <c r="X633" s="3" t="s">
        <v>179</v>
      </c>
      <c r="Y633" s="3" t="s">
        <v>273</v>
      </c>
      <c r="Z633" s="3"/>
      <c r="AA633" s="3"/>
      <c r="AB633" s="3" t="s">
        <v>43</v>
      </c>
      <c r="AC633" s="3" t="s">
        <v>66</v>
      </c>
      <c r="AD633" s="3">
        <v>1</v>
      </c>
    </row>
    <row r="634" spans="1:30" x14ac:dyDescent="0.3">
      <c r="A634" s="3">
        <v>918</v>
      </c>
      <c r="B634" s="3" t="s">
        <v>553</v>
      </c>
      <c r="C634" s="3" t="s">
        <v>524</v>
      </c>
      <c r="D634" s="3" t="s">
        <v>57</v>
      </c>
      <c r="E634" s="3" t="s">
        <v>32</v>
      </c>
      <c r="F634" s="12">
        <v>46023</v>
      </c>
      <c r="G634" s="8">
        <v>2026</v>
      </c>
      <c r="H634" s="7" t="s">
        <v>484</v>
      </c>
      <c r="I634" s="7" t="s">
        <v>484</v>
      </c>
      <c r="J634" s="3"/>
      <c r="K634" s="3">
        <v>99</v>
      </c>
      <c r="L634" s="3">
        <v>99</v>
      </c>
      <c r="M634" s="3">
        <f t="shared" si="114"/>
        <v>1</v>
      </c>
      <c r="N634" s="3">
        <f t="shared" si="118"/>
        <v>1</v>
      </c>
      <c r="O634" s="3" t="s">
        <v>58</v>
      </c>
      <c r="P634" s="3" t="s">
        <v>58</v>
      </c>
      <c r="Q634" s="3" t="str">
        <f t="shared" si="111"/>
        <v>918-2026-01-01</v>
      </c>
      <c r="R634" s="3">
        <v>0</v>
      </c>
      <c r="S634" s="3">
        <v>0</v>
      </c>
      <c r="T634" s="3" t="s">
        <v>484</v>
      </c>
      <c r="U634" s="3" t="s">
        <v>37</v>
      </c>
      <c r="V634" s="3" t="s">
        <v>524</v>
      </c>
      <c r="W634" s="3" t="s">
        <v>60</v>
      </c>
      <c r="X634" s="3" t="s">
        <v>262</v>
      </c>
      <c r="Y634" s="3" t="s">
        <v>338</v>
      </c>
      <c r="Z634" s="3"/>
      <c r="AA634" s="3"/>
      <c r="AB634" s="3" t="s">
        <v>43</v>
      </c>
      <c r="AC634" s="3" t="s">
        <v>66</v>
      </c>
      <c r="AD634" s="3">
        <v>1</v>
      </c>
    </row>
    <row r="635" spans="1:30" x14ac:dyDescent="0.3">
      <c r="A635" s="3">
        <v>919</v>
      </c>
      <c r="B635" s="3" t="s">
        <v>518</v>
      </c>
      <c r="C635" s="3" t="s">
        <v>530</v>
      </c>
      <c r="D635" s="3" t="s">
        <v>57</v>
      </c>
      <c r="E635" s="3" t="s">
        <v>32</v>
      </c>
      <c r="F635" s="12">
        <v>46023</v>
      </c>
      <c r="G635" s="8">
        <v>2026</v>
      </c>
      <c r="H635" s="7" t="s">
        <v>484</v>
      </c>
      <c r="I635" s="7" t="s">
        <v>484</v>
      </c>
      <c r="J635" s="3"/>
      <c r="K635" s="3">
        <v>90</v>
      </c>
      <c r="L635" s="3">
        <v>87</v>
      </c>
      <c r="M635" s="3">
        <f t="shared" si="114"/>
        <v>0.96666666666666667</v>
      </c>
      <c r="N635" s="3">
        <f t="shared" si="118"/>
        <v>0.96666666666666667</v>
      </c>
      <c r="O635" s="3" t="s">
        <v>58</v>
      </c>
      <c r="P635" s="3" t="s">
        <v>58</v>
      </c>
      <c r="Q635" s="3" t="str">
        <f t="shared" si="111"/>
        <v>919-2026-01-01</v>
      </c>
      <c r="R635" s="3">
        <v>0</v>
      </c>
      <c r="S635" s="3">
        <v>0</v>
      </c>
      <c r="T635" s="3" t="s">
        <v>484</v>
      </c>
      <c r="U635" s="3" t="s">
        <v>37</v>
      </c>
      <c r="V635" s="3" t="s">
        <v>530</v>
      </c>
      <c r="W635" s="3" t="s">
        <v>60</v>
      </c>
      <c r="X635" s="3" t="s">
        <v>262</v>
      </c>
      <c r="Y635" s="3" t="s">
        <v>543</v>
      </c>
      <c r="Z635" s="3"/>
      <c r="AA635" s="3"/>
      <c r="AB635" s="3" t="s">
        <v>43</v>
      </c>
      <c r="AC635" s="3" t="s">
        <v>66</v>
      </c>
      <c r="AD635" s="3">
        <v>1</v>
      </c>
    </row>
    <row r="636" spans="1:30" x14ac:dyDescent="0.3">
      <c r="A636" s="3">
        <v>926</v>
      </c>
      <c r="B636" s="3" t="s">
        <v>554</v>
      </c>
      <c r="C636" s="3" t="s">
        <v>530</v>
      </c>
      <c r="D636" s="3" t="s">
        <v>57</v>
      </c>
      <c r="E636" s="3" t="s">
        <v>32</v>
      </c>
      <c r="F636" s="12">
        <v>46022</v>
      </c>
      <c r="G636" s="8">
        <v>2025</v>
      </c>
      <c r="H636" s="7" t="s">
        <v>44</v>
      </c>
      <c r="I636" s="7" t="s">
        <v>465</v>
      </c>
      <c r="J636" s="3">
        <v>2</v>
      </c>
      <c r="K636" s="3">
        <v>66</v>
      </c>
      <c r="L636" s="3">
        <v>66</v>
      </c>
      <c r="M636" s="3">
        <f t="shared" si="114"/>
        <v>1</v>
      </c>
      <c r="N636" s="3">
        <f t="shared" si="118"/>
        <v>1</v>
      </c>
      <c r="O636" s="3" t="s">
        <v>58</v>
      </c>
      <c r="P636" s="3" t="s">
        <v>58</v>
      </c>
      <c r="Q636" s="3" t="str">
        <f t="shared" si="111"/>
        <v>926-2025-12-31</v>
      </c>
      <c r="R636" s="3">
        <v>0</v>
      </c>
      <c r="S636" s="3">
        <v>0</v>
      </c>
      <c r="T636" s="3" t="s">
        <v>443</v>
      </c>
      <c r="U636" s="3" t="s">
        <v>37</v>
      </c>
      <c r="V636" s="3" t="s">
        <v>530</v>
      </c>
      <c r="W636" s="3" t="s">
        <v>60</v>
      </c>
      <c r="X636" s="3" t="s">
        <v>262</v>
      </c>
      <c r="Y636" s="3" t="s">
        <v>543</v>
      </c>
      <c r="Z636" s="3"/>
      <c r="AA636" s="3"/>
      <c r="AB636" s="3" t="s">
        <v>43</v>
      </c>
      <c r="AC636" s="3" t="s">
        <v>66</v>
      </c>
      <c r="AD636" s="3">
        <v>1</v>
      </c>
    </row>
    <row r="637" spans="1:30" x14ac:dyDescent="0.3">
      <c r="A637" s="3">
        <v>926</v>
      </c>
      <c r="B637" s="3" t="s">
        <v>554</v>
      </c>
      <c r="C637" s="3" t="s">
        <v>530</v>
      </c>
      <c r="D637" s="3" t="s">
        <v>57</v>
      </c>
      <c r="E637" s="3" t="s">
        <v>32</v>
      </c>
      <c r="F637" s="12">
        <v>46023</v>
      </c>
      <c r="G637" s="8">
        <v>2026</v>
      </c>
      <c r="H637" s="7" t="s">
        <v>484</v>
      </c>
      <c r="I637" s="7" t="s">
        <v>484</v>
      </c>
      <c r="J637" s="3"/>
      <c r="K637" s="3">
        <v>66</v>
      </c>
      <c r="L637" s="3">
        <v>66</v>
      </c>
      <c r="M637" s="3">
        <f t="shared" ref="M637" si="119">IF(L637/K637&gt;1,1,L637/K637)</f>
        <v>1</v>
      </c>
      <c r="N637" s="3">
        <f t="shared" ref="N637" si="120">IF(L637/K637&gt;1,1,L637/K637)</f>
        <v>1</v>
      </c>
      <c r="O637" s="3" t="s">
        <v>58</v>
      </c>
      <c r="P637" s="3" t="s">
        <v>58</v>
      </c>
      <c r="Q637" s="3" t="str">
        <f t="shared" si="111"/>
        <v>926-2026-01-01</v>
      </c>
      <c r="R637" s="3">
        <v>0</v>
      </c>
      <c r="S637" s="3">
        <v>0</v>
      </c>
      <c r="T637" s="3" t="s">
        <v>484</v>
      </c>
      <c r="U637" s="3" t="s">
        <v>37</v>
      </c>
      <c r="V637" s="3" t="s">
        <v>530</v>
      </c>
      <c r="W637" s="3" t="s">
        <v>60</v>
      </c>
      <c r="X637" s="3" t="s">
        <v>262</v>
      </c>
      <c r="Y637" s="3" t="s">
        <v>543</v>
      </c>
      <c r="Z637" s="3"/>
      <c r="AA637" s="3"/>
      <c r="AB637" s="3" t="s">
        <v>43</v>
      </c>
      <c r="AC637" s="3" t="s">
        <v>66</v>
      </c>
      <c r="AD637" s="3">
        <v>1</v>
      </c>
    </row>
    <row r="638" spans="1:30" x14ac:dyDescent="0.3">
      <c r="A638" s="16" t="s">
        <v>556</v>
      </c>
      <c r="B638" s="6" t="s">
        <v>557</v>
      </c>
      <c r="C638" s="3" t="s">
        <v>37</v>
      </c>
      <c r="D638" s="3" t="s">
        <v>31</v>
      </c>
      <c r="E638" s="3" t="s">
        <v>32</v>
      </c>
      <c r="F638" s="12">
        <v>46023</v>
      </c>
      <c r="G638" s="8">
        <v>2026</v>
      </c>
      <c r="H638" s="7" t="s">
        <v>484</v>
      </c>
      <c r="I638" s="7" t="s">
        <v>484</v>
      </c>
      <c r="J638" s="3"/>
      <c r="K638" s="3"/>
      <c r="L638" s="3"/>
      <c r="M638" s="3"/>
      <c r="N638" s="3"/>
      <c r="O638" s="3" t="s">
        <v>544</v>
      </c>
      <c r="P638" s="3" t="s">
        <v>544</v>
      </c>
      <c r="Q638" s="3" t="str">
        <f t="shared" si="111"/>
        <v>Prov-1-2026-01-01</v>
      </c>
      <c r="R638" s="3"/>
      <c r="S638" s="3"/>
      <c r="T638" s="3"/>
      <c r="U638" s="3" t="s">
        <v>37</v>
      </c>
      <c r="V638" s="3" t="s">
        <v>527</v>
      </c>
      <c r="W638" s="3" t="s">
        <v>73</v>
      </c>
      <c r="X638" s="3" t="s">
        <v>74</v>
      </c>
      <c r="Y638" s="3" t="s">
        <v>585</v>
      </c>
      <c r="Z638" s="3"/>
      <c r="AA638" s="3"/>
      <c r="AB638" s="3" t="s">
        <v>43</v>
      </c>
      <c r="AC638" s="3" t="s">
        <v>66</v>
      </c>
      <c r="AD638" s="3">
        <v>0</v>
      </c>
    </row>
    <row r="639" spans="1:30" x14ac:dyDescent="0.3">
      <c r="A639" s="16" t="s">
        <v>558</v>
      </c>
      <c r="B639" s="6" t="s">
        <v>559</v>
      </c>
      <c r="C639" s="3" t="s">
        <v>37</v>
      </c>
      <c r="D639" s="3" t="s">
        <v>31</v>
      </c>
      <c r="E639" s="3" t="s">
        <v>32</v>
      </c>
      <c r="F639" s="12">
        <v>46023</v>
      </c>
      <c r="G639" s="8">
        <v>2026</v>
      </c>
      <c r="H639" s="7" t="s">
        <v>484</v>
      </c>
      <c r="I639" s="7" t="s">
        <v>484</v>
      </c>
      <c r="J639" s="3"/>
      <c r="K639" s="3"/>
      <c r="L639" s="3"/>
      <c r="M639" s="3"/>
      <c r="N639" s="3"/>
      <c r="O639" s="3" t="s">
        <v>544</v>
      </c>
      <c r="P639" s="3" t="s">
        <v>544</v>
      </c>
      <c r="Q639" s="3" t="str">
        <f t="shared" si="111"/>
        <v>Prov-2-2026-01-01</v>
      </c>
      <c r="R639" s="3"/>
      <c r="S639" s="3"/>
      <c r="T639" s="3"/>
      <c r="U639" s="3" t="s">
        <v>37</v>
      </c>
      <c r="V639" s="3" t="s">
        <v>527</v>
      </c>
      <c r="W639" s="3" t="s">
        <v>73</v>
      </c>
      <c r="X639" s="3" t="s">
        <v>74</v>
      </c>
      <c r="Y639" s="3" t="s">
        <v>585</v>
      </c>
      <c r="Z639" s="3"/>
      <c r="AA639" s="3"/>
      <c r="AB639" s="3" t="s">
        <v>43</v>
      </c>
      <c r="AC639" s="3" t="s">
        <v>66</v>
      </c>
      <c r="AD639" s="3">
        <v>0</v>
      </c>
    </row>
    <row r="640" spans="1:30" x14ac:dyDescent="0.3">
      <c r="A640" s="5" t="s">
        <v>560</v>
      </c>
      <c r="B640" s="6" t="s">
        <v>561</v>
      </c>
      <c r="C640" s="3" t="s">
        <v>37</v>
      </c>
      <c r="D640" s="3" t="s">
        <v>31</v>
      </c>
      <c r="E640" s="3" t="s">
        <v>32</v>
      </c>
      <c r="F640" s="12">
        <v>46023</v>
      </c>
      <c r="G640" s="8">
        <v>2026</v>
      </c>
      <c r="H640" s="7" t="s">
        <v>484</v>
      </c>
      <c r="I640" s="7" t="s">
        <v>484</v>
      </c>
      <c r="J640" s="3"/>
      <c r="K640" s="3"/>
      <c r="L640" s="3"/>
      <c r="M640" s="3"/>
      <c r="N640" s="3"/>
      <c r="O640" s="3" t="s">
        <v>544</v>
      </c>
      <c r="P640" s="3" t="s">
        <v>544</v>
      </c>
      <c r="Q640" s="3" t="str">
        <f t="shared" si="111"/>
        <v>Prov-3-2026-01-01</v>
      </c>
      <c r="R640" s="3"/>
      <c r="S640" s="3"/>
      <c r="T640" s="3"/>
      <c r="U640" s="3" t="s">
        <v>37</v>
      </c>
      <c r="V640" s="3" t="s">
        <v>582</v>
      </c>
      <c r="W640" s="3" t="s">
        <v>73</v>
      </c>
      <c r="X640" s="6" t="s">
        <v>218</v>
      </c>
      <c r="Y640" s="3" t="s">
        <v>583</v>
      </c>
      <c r="Z640" s="3"/>
      <c r="AA640" s="3"/>
      <c r="AB640" s="3" t="s">
        <v>43</v>
      </c>
      <c r="AC640" s="3" t="s">
        <v>66</v>
      </c>
      <c r="AD640" s="3">
        <v>0</v>
      </c>
    </row>
    <row r="641" spans="1:30" x14ac:dyDescent="0.3">
      <c r="A641" s="5" t="s">
        <v>562</v>
      </c>
      <c r="B641" s="6" t="s">
        <v>563</v>
      </c>
      <c r="C641" s="3" t="s">
        <v>37</v>
      </c>
      <c r="D641" s="3" t="s">
        <v>31</v>
      </c>
      <c r="E641" s="3" t="s">
        <v>32</v>
      </c>
      <c r="F641" s="12">
        <v>46023</v>
      </c>
      <c r="G641" s="8">
        <v>2026</v>
      </c>
      <c r="H641" s="7" t="s">
        <v>484</v>
      </c>
      <c r="I641" s="7" t="s">
        <v>484</v>
      </c>
      <c r="J641" s="3"/>
      <c r="K641" s="3"/>
      <c r="L641" s="3"/>
      <c r="M641" s="3"/>
      <c r="N641" s="3"/>
      <c r="O641" s="3" t="s">
        <v>544</v>
      </c>
      <c r="P641" s="3" t="s">
        <v>544</v>
      </c>
      <c r="Q641" s="3" t="str">
        <f t="shared" si="111"/>
        <v>Prov-5-2026-01-01</v>
      </c>
      <c r="R641" s="3"/>
      <c r="S641" s="3"/>
      <c r="T641" s="3"/>
      <c r="U641" s="3" t="s">
        <v>37</v>
      </c>
      <c r="V641" s="3" t="s">
        <v>83</v>
      </c>
      <c r="W641" s="3" t="s">
        <v>312</v>
      </c>
      <c r="X641" s="3" t="s">
        <v>313</v>
      </c>
      <c r="Y641" s="3" t="s">
        <v>540</v>
      </c>
      <c r="Z641" s="3"/>
      <c r="AA641" s="3"/>
      <c r="AB641" s="3" t="s">
        <v>43</v>
      </c>
      <c r="AC641" s="3" t="s">
        <v>66</v>
      </c>
      <c r="AD641" s="3">
        <v>0</v>
      </c>
    </row>
    <row r="642" spans="1:30" x14ac:dyDescent="0.3">
      <c r="A642" s="5" t="s">
        <v>564</v>
      </c>
      <c r="B642" s="6" t="s">
        <v>565</v>
      </c>
      <c r="C642" s="3" t="s">
        <v>37</v>
      </c>
      <c r="D642" s="3" t="s">
        <v>31</v>
      </c>
      <c r="E642" s="3" t="s">
        <v>32</v>
      </c>
      <c r="F642" s="12">
        <v>46023</v>
      </c>
      <c r="G642" s="8">
        <v>2026</v>
      </c>
      <c r="H642" s="7" t="s">
        <v>484</v>
      </c>
      <c r="I642" s="7" t="s">
        <v>484</v>
      </c>
      <c r="J642" s="3"/>
      <c r="K642" s="3"/>
      <c r="L642" s="3"/>
      <c r="M642" s="3"/>
      <c r="N642" s="3"/>
      <c r="O642" s="3" t="s">
        <v>544</v>
      </c>
      <c r="P642" s="3" t="s">
        <v>544</v>
      </c>
      <c r="Q642" s="3" t="str">
        <f t="shared" si="111"/>
        <v>Prov-7-2026-01-01</v>
      </c>
      <c r="R642" s="3"/>
      <c r="S642" s="3"/>
      <c r="T642" s="3"/>
      <c r="U642" s="3" t="s">
        <v>37</v>
      </c>
      <c r="V642" s="3" t="s">
        <v>525</v>
      </c>
      <c r="W642" s="3" t="s">
        <v>312</v>
      </c>
      <c r="X642" s="3" t="s">
        <v>535</v>
      </c>
      <c r="Y642" s="3" t="s">
        <v>536</v>
      </c>
      <c r="Z642" s="3"/>
      <c r="AA642" s="3"/>
      <c r="AB642" s="3" t="s">
        <v>43</v>
      </c>
      <c r="AC642" s="3" t="s">
        <v>66</v>
      </c>
      <c r="AD642" s="3">
        <v>0</v>
      </c>
    </row>
    <row r="643" spans="1:30" x14ac:dyDescent="0.3">
      <c r="A643" s="5" t="s">
        <v>566</v>
      </c>
      <c r="B643" s="6" t="s">
        <v>567</v>
      </c>
      <c r="C643" s="3" t="s">
        <v>37</v>
      </c>
      <c r="D643" s="3" t="s">
        <v>31</v>
      </c>
      <c r="E643" s="3" t="s">
        <v>32</v>
      </c>
      <c r="F643" s="12">
        <v>46023</v>
      </c>
      <c r="G643" s="8">
        <v>2026</v>
      </c>
      <c r="H643" s="7" t="s">
        <v>484</v>
      </c>
      <c r="I643" s="7" t="s">
        <v>484</v>
      </c>
      <c r="J643" s="3"/>
      <c r="K643" s="3"/>
      <c r="L643" s="3"/>
      <c r="M643" s="3"/>
      <c r="N643" s="3"/>
      <c r="O643" s="3" t="s">
        <v>544</v>
      </c>
      <c r="P643" s="3" t="s">
        <v>544</v>
      </c>
      <c r="Q643" s="3" t="str">
        <f t="shared" ref="Q643:Q650" si="121">A643&amp;"-"&amp;YEAR(F643)&amp;"-"&amp;IF(LEN(MONTH(F643))=1,"0"&amp;MONTH(F643),MONTH(F643))&amp;"-"&amp;IF(LEN(DAY(F643))=1,"0"&amp;DAY(F643),DAY(F643))</f>
        <v>Prov-8-2026-01-01</v>
      </c>
      <c r="R643" s="3"/>
      <c r="S643" s="3"/>
      <c r="T643" s="3"/>
      <c r="U643" s="3" t="s">
        <v>37</v>
      </c>
      <c r="V643" s="3" t="s">
        <v>526</v>
      </c>
      <c r="W643" s="3" t="s">
        <v>112</v>
      </c>
      <c r="X643" s="3" t="s">
        <v>113</v>
      </c>
      <c r="Y643" s="3" t="s">
        <v>541</v>
      </c>
      <c r="Z643" s="3"/>
      <c r="AA643" s="3"/>
      <c r="AB643" s="3" t="s">
        <v>43</v>
      </c>
      <c r="AC643" s="3" t="s">
        <v>66</v>
      </c>
      <c r="AD643" s="3">
        <v>0</v>
      </c>
    </row>
    <row r="644" spans="1:30" x14ac:dyDescent="0.3">
      <c r="A644" s="5" t="s">
        <v>568</v>
      </c>
      <c r="B644" s="6" t="s">
        <v>569</v>
      </c>
      <c r="C644" s="3" t="s">
        <v>37</v>
      </c>
      <c r="D644" s="3" t="s">
        <v>31</v>
      </c>
      <c r="E644" s="3" t="s">
        <v>32</v>
      </c>
      <c r="F644" s="12">
        <v>46023</v>
      </c>
      <c r="G644" s="8">
        <v>2026</v>
      </c>
      <c r="H644" s="7" t="s">
        <v>484</v>
      </c>
      <c r="I644" s="7" t="s">
        <v>484</v>
      </c>
      <c r="J644" s="3"/>
      <c r="K644" s="3"/>
      <c r="L644" s="3"/>
      <c r="M644" s="3"/>
      <c r="N644" s="3"/>
      <c r="O644" s="3" t="s">
        <v>544</v>
      </c>
      <c r="P644" s="3" t="s">
        <v>544</v>
      </c>
      <c r="Q644" s="3" t="str">
        <f t="shared" si="121"/>
        <v>Prov-9-2026-01-01</v>
      </c>
      <c r="R644" s="3"/>
      <c r="S644" s="3"/>
      <c r="T644" s="3"/>
      <c r="U644" s="3" t="s">
        <v>37</v>
      </c>
      <c r="V644" s="3" t="s">
        <v>526</v>
      </c>
      <c r="W644" s="3" t="s">
        <v>112</v>
      </c>
      <c r="X644" s="3" t="s">
        <v>113</v>
      </c>
      <c r="Y644" s="3" t="s">
        <v>541</v>
      </c>
      <c r="Z644" s="3"/>
      <c r="AA644" s="3"/>
      <c r="AB644" s="3" t="s">
        <v>43</v>
      </c>
      <c r="AC644" s="3" t="s">
        <v>66</v>
      </c>
      <c r="AD644" s="3">
        <v>0</v>
      </c>
    </row>
    <row r="645" spans="1:30" x14ac:dyDescent="0.3">
      <c r="A645" s="5" t="s">
        <v>570</v>
      </c>
      <c r="B645" s="6" t="s">
        <v>571</v>
      </c>
      <c r="C645" s="3" t="s">
        <v>37</v>
      </c>
      <c r="D645" s="3" t="s">
        <v>31</v>
      </c>
      <c r="E645" s="3" t="s">
        <v>32</v>
      </c>
      <c r="F645" s="12">
        <v>46023</v>
      </c>
      <c r="G645" s="8">
        <v>2026</v>
      </c>
      <c r="H645" s="7" t="s">
        <v>484</v>
      </c>
      <c r="I645" s="7" t="s">
        <v>484</v>
      </c>
      <c r="J645" s="3"/>
      <c r="K645" s="3"/>
      <c r="L645" s="3"/>
      <c r="M645" s="3"/>
      <c r="N645" s="3"/>
      <c r="O645" s="3" t="s">
        <v>544</v>
      </c>
      <c r="P645" s="3" t="s">
        <v>544</v>
      </c>
      <c r="Q645" s="3" t="str">
        <f t="shared" si="121"/>
        <v>Prov-13-2026-01-01</v>
      </c>
      <c r="R645" s="3"/>
      <c r="S645" s="3"/>
      <c r="T645" s="3"/>
      <c r="U645" s="3" t="s">
        <v>37</v>
      </c>
      <c r="V645" s="3" t="s">
        <v>30</v>
      </c>
      <c r="W645" s="3" t="s">
        <v>60</v>
      </c>
      <c r="X645" s="3" t="s">
        <v>262</v>
      </c>
      <c r="Y645" s="3" t="s">
        <v>543</v>
      </c>
      <c r="Z645" s="3"/>
      <c r="AA645" s="3"/>
      <c r="AB645" s="3" t="s">
        <v>43</v>
      </c>
      <c r="AC645" s="3" t="s">
        <v>66</v>
      </c>
      <c r="AD645" s="3">
        <v>0</v>
      </c>
    </row>
    <row r="646" spans="1:30" x14ac:dyDescent="0.3">
      <c r="A646" s="5" t="s">
        <v>572</v>
      </c>
      <c r="B646" s="6" t="s">
        <v>573</v>
      </c>
      <c r="C646" s="3" t="s">
        <v>37</v>
      </c>
      <c r="D646" s="3" t="s">
        <v>31</v>
      </c>
      <c r="E646" s="3" t="s">
        <v>32</v>
      </c>
      <c r="F646" s="12">
        <v>46023</v>
      </c>
      <c r="G646" s="8">
        <v>2026</v>
      </c>
      <c r="H646" s="7" t="s">
        <v>484</v>
      </c>
      <c r="I646" s="7" t="s">
        <v>484</v>
      </c>
      <c r="J646" s="3"/>
      <c r="K646" s="3"/>
      <c r="L646" s="3"/>
      <c r="M646" s="3"/>
      <c r="N646" s="3"/>
      <c r="O646" s="3" t="s">
        <v>544</v>
      </c>
      <c r="P646" s="3" t="s">
        <v>544</v>
      </c>
      <c r="Q646" s="3" t="str">
        <f t="shared" si="121"/>
        <v>Prov-14-2026-01-01</v>
      </c>
      <c r="R646" s="3"/>
      <c r="S646" s="3"/>
      <c r="T646" s="3"/>
      <c r="U646" s="3" t="s">
        <v>37</v>
      </c>
      <c r="V646" s="3" t="s">
        <v>260</v>
      </c>
      <c r="W646" s="3" t="s">
        <v>60</v>
      </c>
      <c r="X646" s="3" t="s">
        <v>262</v>
      </c>
      <c r="Y646" s="3" t="s">
        <v>263</v>
      </c>
      <c r="Z646" s="3"/>
      <c r="AA646" s="3"/>
      <c r="AB646" s="3" t="s">
        <v>43</v>
      </c>
      <c r="AC646" s="3" t="s">
        <v>66</v>
      </c>
      <c r="AD646" s="3">
        <v>0</v>
      </c>
    </row>
    <row r="647" spans="1:30" x14ac:dyDescent="0.3">
      <c r="A647" s="5" t="s">
        <v>574</v>
      </c>
      <c r="B647" s="6" t="s">
        <v>575</v>
      </c>
      <c r="C647" s="3" t="s">
        <v>37</v>
      </c>
      <c r="D647" s="3" t="s">
        <v>31</v>
      </c>
      <c r="E647" s="3" t="s">
        <v>32</v>
      </c>
      <c r="F647" s="12">
        <v>46023</v>
      </c>
      <c r="G647" s="8">
        <v>2026</v>
      </c>
      <c r="H647" s="7" t="s">
        <v>484</v>
      </c>
      <c r="I647" s="7" t="s">
        <v>484</v>
      </c>
      <c r="J647" s="3"/>
      <c r="K647" s="3"/>
      <c r="L647" s="3"/>
      <c r="M647" s="3"/>
      <c r="N647" s="3"/>
      <c r="O647" s="3" t="s">
        <v>544</v>
      </c>
      <c r="P647" s="3" t="s">
        <v>544</v>
      </c>
      <c r="Q647" s="3" t="str">
        <f t="shared" si="121"/>
        <v>Prov-15-2026-01-01</v>
      </c>
      <c r="R647" s="3"/>
      <c r="S647" s="3"/>
      <c r="T647" s="3"/>
      <c r="U647" s="3" t="s">
        <v>37</v>
      </c>
      <c r="V647" s="3" t="s">
        <v>260</v>
      </c>
      <c r="W647" s="3" t="s">
        <v>60</v>
      </c>
      <c r="X647" s="3" t="s">
        <v>262</v>
      </c>
      <c r="Y647" s="3" t="s">
        <v>263</v>
      </c>
      <c r="Z647" s="3"/>
      <c r="AA647" s="3"/>
      <c r="AB647" s="3" t="s">
        <v>43</v>
      </c>
      <c r="AC647" s="3" t="s">
        <v>66</v>
      </c>
      <c r="AD647" s="3">
        <v>0</v>
      </c>
    </row>
    <row r="648" spans="1:30" x14ac:dyDescent="0.3">
      <c r="A648" s="5" t="s">
        <v>576</v>
      </c>
      <c r="B648" s="3" t="s">
        <v>577</v>
      </c>
      <c r="C648" s="3" t="s">
        <v>37</v>
      </c>
      <c r="D648" s="3" t="s">
        <v>31</v>
      </c>
      <c r="E648" s="3" t="s">
        <v>32</v>
      </c>
      <c r="F648" s="12">
        <v>46023</v>
      </c>
      <c r="G648" s="8">
        <v>2026</v>
      </c>
      <c r="H648" s="7" t="s">
        <v>484</v>
      </c>
      <c r="I648" s="7" t="s">
        <v>484</v>
      </c>
      <c r="J648" s="3"/>
      <c r="K648" s="3"/>
      <c r="L648" s="3"/>
      <c r="M648" s="3"/>
      <c r="N648" s="3"/>
      <c r="O648" s="3" t="s">
        <v>544</v>
      </c>
      <c r="P648" s="3" t="s">
        <v>544</v>
      </c>
      <c r="Q648" s="3" t="str">
        <f t="shared" si="121"/>
        <v>Prov-16-2026-01-01</v>
      </c>
      <c r="R648" s="3"/>
      <c r="S648" s="3"/>
      <c r="T648" s="3"/>
      <c r="U648" s="3" t="s">
        <v>37</v>
      </c>
      <c r="V648" s="3" t="s">
        <v>260</v>
      </c>
      <c r="W648" s="3" t="s">
        <v>60</v>
      </c>
      <c r="X648" s="3" t="s">
        <v>262</v>
      </c>
      <c r="Y648" s="3" t="s">
        <v>263</v>
      </c>
      <c r="Z648" s="3"/>
      <c r="AA648" s="3"/>
      <c r="AB648" s="3" t="s">
        <v>43</v>
      </c>
      <c r="AC648" s="3" t="s">
        <v>66</v>
      </c>
      <c r="AD648" s="3">
        <v>0</v>
      </c>
    </row>
    <row r="649" spans="1:30" x14ac:dyDescent="0.3">
      <c r="A649" s="5" t="s">
        <v>578</v>
      </c>
      <c r="B649" s="6" t="s">
        <v>579</v>
      </c>
      <c r="C649" s="3" t="s">
        <v>37</v>
      </c>
      <c r="D649" s="3" t="s">
        <v>31</v>
      </c>
      <c r="E649" s="3" t="s">
        <v>32</v>
      </c>
      <c r="F649" s="12">
        <v>46023</v>
      </c>
      <c r="G649" s="8">
        <v>2026</v>
      </c>
      <c r="H649" s="7" t="s">
        <v>484</v>
      </c>
      <c r="I649" s="7" t="s">
        <v>484</v>
      </c>
      <c r="J649" s="3"/>
      <c r="K649" s="3"/>
      <c r="L649" s="3"/>
      <c r="M649" s="3"/>
      <c r="N649" s="3"/>
      <c r="O649" s="3" t="s">
        <v>544</v>
      </c>
      <c r="P649" s="3" t="s">
        <v>544</v>
      </c>
      <c r="Q649" s="3" t="str">
        <f t="shared" si="121"/>
        <v>Prov-17-2026-01-01</v>
      </c>
      <c r="R649" s="3"/>
      <c r="S649" s="3"/>
      <c r="T649" s="3"/>
      <c r="U649" s="3" t="s">
        <v>37</v>
      </c>
      <c r="V649" s="3" t="s">
        <v>525</v>
      </c>
      <c r="W649" s="3" t="s">
        <v>312</v>
      </c>
      <c r="X649" s="3" t="s">
        <v>535</v>
      </c>
      <c r="Y649" s="3" t="s">
        <v>536</v>
      </c>
      <c r="Z649" s="3"/>
      <c r="AA649" s="3"/>
      <c r="AB649" s="3" t="s">
        <v>43</v>
      </c>
      <c r="AC649" s="3" t="s">
        <v>66</v>
      </c>
      <c r="AD649" s="3">
        <v>0</v>
      </c>
    </row>
    <row r="650" spans="1:30" x14ac:dyDescent="0.3">
      <c r="A650" s="5" t="s">
        <v>580</v>
      </c>
      <c r="B650" s="6" t="s">
        <v>581</v>
      </c>
      <c r="C650" s="3" t="s">
        <v>37</v>
      </c>
      <c r="D650" s="3" t="s">
        <v>31</v>
      </c>
      <c r="E650" s="3" t="s">
        <v>32</v>
      </c>
      <c r="F650" s="12">
        <v>46023</v>
      </c>
      <c r="G650" s="8">
        <v>2026</v>
      </c>
      <c r="H650" s="7" t="s">
        <v>484</v>
      </c>
      <c r="I650" s="7" t="s">
        <v>484</v>
      </c>
      <c r="J650" s="3"/>
      <c r="K650" s="3"/>
      <c r="L650" s="3"/>
      <c r="M650" s="3"/>
      <c r="N650" s="3"/>
      <c r="O650" s="3" t="s">
        <v>544</v>
      </c>
      <c r="P650" s="3" t="s">
        <v>544</v>
      </c>
      <c r="Q650" s="3" t="str">
        <f t="shared" si="121"/>
        <v>Prov-18-2026-01-01</v>
      </c>
      <c r="R650" s="3"/>
      <c r="S650" s="3"/>
      <c r="T650" s="3"/>
      <c r="U650" s="3" t="s">
        <v>37</v>
      </c>
      <c r="V650" s="3" t="s">
        <v>525</v>
      </c>
      <c r="W650" s="3" t="s">
        <v>312</v>
      </c>
      <c r="X650" s="3" t="s">
        <v>535</v>
      </c>
      <c r="Y650" s="3" t="s">
        <v>536</v>
      </c>
      <c r="Z650" s="3"/>
      <c r="AA650" s="3"/>
      <c r="AB650" s="3" t="s">
        <v>43</v>
      </c>
      <c r="AC650" s="3" t="s">
        <v>66</v>
      </c>
      <c r="AD650" s="3">
        <v>0</v>
      </c>
    </row>
    <row r="651" spans="1:30" x14ac:dyDescent="0.3">
      <c r="A651">
        <v>325</v>
      </c>
      <c r="B651" t="s">
        <v>224</v>
      </c>
      <c r="C651" t="s">
        <v>216</v>
      </c>
      <c r="D651" t="s">
        <v>31</v>
      </c>
      <c r="E651" t="s">
        <v>32</v>
      </c>
      <c r="F651" s="2">
        <v>44742</v>
      </c>
      <c r="G651">
        <v>2022</v>
      </c>
      <c r="H651" t="s">
        <v>33</v>
      </c>
      <c r="I651" t="s">
        <v>34</v>
      </c>
    </row>
    <row r="652" spans="1:30" x14ac:dyDescent="0.3">
      <c r="A652">
        <v>325</v>
      </c>
      <c r="B652" t="s">
        <v>224</v>
      </c>
      <c r="C652" t="s">
        <v>216</v>
      </c>
      <c r="D652" t="s">
        <v>31</v>
      </c>
      <c r="E652" t="s">
        <v>32</v>
      </c>
      <c r="F652" s="2">
        <v>44926</v>
      </c>
      <c r="G652">
        <v>2022</v>
      </c>
      <c r="H652" t="s">
        <v>44</v>
      </c>
      <c r="I652" t="s">
        <v>45</v>
      </c>
    </row>
    <row r="653" spans="1:30" x14ac:dyDescent="0.3">
      <c r="A653">
        <v>325</v>
      </c>
      <c r="B653" t="s">
        <v>224</v>
      </c>
      <c r="C653" t="s">
        <v>216</v>
      </c>
      <c r="D653" t="s">
        <v>31</v>
      </c>
      <c r="E653" t="s">
        <v>32</v>
      </c>
      <c r="F653" s="2">
        <v>45107</v>
      </c>
      <c r="G653">
        <v>2023</v>
      </c>
      <c r="H653" t="s">
        <v>33</v>
      </c>
      <c r="I653" t="s">
        <v>47</v>
      </c>
    </row>
    <row r="654" spans="1:30" x14ac:dyDescent="0.3">
      <c r="A654">
        <v>325</v>
      </c>
      <c r="B654" t="s">
        <v>224</v>
      </c>
      <c r="C654" t="s">
        <v>216</v>
      </c>
      <c r="D654" t="s">
        <v>31</v>
      </c>
      <c r="E654" t="s">
        <v>32</v>
      </c>
      <c r="F654" s="2">
        <v>45291</v>
      </c>
      <c r="G654">
        <v>2023</v>
      </c>
      <c r="H654" t="s">
        <v>44</v>
      </c>
      <c r="I654" t="s">
        <v>49</v>
      </c>
    </row>
    <row r="655" spans="1:30" x14ac:dyDescent="0.3">
      <c r="A655">
        <v>325</v>
      </c>
      <c r="B655" t="s">
        <v>224</v>
      </c>
      <c r="C655" t="s">
        <v>216</v>
      </c>
      <c r="D655" t="s">
        <v>31</v>
      </c>
      <c r="E655" t="s">
        <v>32</v>
      </c>
      <c r="F655" s="2">
        <v>45473</v>
      </c>
      <c r="G655">
        <v>2024</v>
      </c>
      <c r="H655" t="s">
        <v>33</v>
      </c>
      <c r="I655" t="s">
        <v>51</v>
      </c>
    </row>
    <row r="656" spans="1:30" x14ac:dyDescent="0.3">
      <c r="A656">
        <v>325</v>
      </c>
      <c r="B656" t="s">
        <v>224</v>
      </c>
      <c r="C656" t="s">
        <v>216</v>
      </c>
      <c r="D656" t="s">
        <v>31</v>
      </c>
      <c r="E656" t="s">
        <v>32</v>
      </c>
      <c r="F656" s="2">
        <v>45657</v>
      </c>
      <c r="G656">
        <v>2024</v>
      </c>
      <c r="H656" t="s">
        <v>44</v>
      </c>
      <c r="I656" t="s">
        <v>53</v>
      </c>
    </row>
    <row r="657" spans="1:9" x14ac:dyDescent="0.3">
      <c r="A657">
        <v>325</v>
      </c>
      <c r="B657" t="s">
        <v>224</v>
      </c>
      <c r="C657" t="s">
        <v>216</v>
      </c>
      <c r="D657" t="s">
        <v>31</v>
      </c>
      <c r="E657" t="s">
        <v>32</v>
      </c>
      <c r="F657" s="2">
        <v>45838</v>
      </c>
      <c r="G657">
        <v>2025</v>
      </c>
      <c r="H657" t="s">
        <v>33</v>
      </c>
      <c r="I657" t="s">
        <v>404</v>
      </c>
    </row>
    <row r="658" spans="1:9" x14ac:dyDescent="0.3">
      <c r="A658">
        <v>325</v>
      </c>
      <c r="B658" t="s">
        <v>224</v>
      </c>
      <c r="C658" t="s">
        <v>216</v>
      </c>
      <c r="D658" t="s">
        <v>31</v>
      </c>
      <c r="E658" t="s">
        <v>32</v>
      </c>
      <c r="F658" s="2">
        <v>46022</v>
      </c>
      <c r="G658">
        <v>2025</v>
      </c>
      <c r="H658" t="s">
        <v>33</v>
      </c>
      <c r="I658" t="s">
        <v>404</v>
      </c>
    </row>
  </sheetData>
  <sortState xmlns:xlrd2="http://schemas.microsoft.com/office/spreadsheetml/2017/richdata2" ref="A2:AC477">
    <sortCondition ref="A2:A477"/>
    <sortCondition ref="F2:F477"/>
  </sortState>
  <conditionalFormatting sqref="A559">
    <cfRule type="duplicateValues" dxfId="33" priority="14"/>
    <cfRule type="duplicateValues" dxfId="32" priority="15"/>
    <cfRule type="duplicateValues" dxfId="31" priority="16"/>
  </conditionalFormatting>
  <conditionalFormatting sqref="A560">
    <cfRule type="duplicateValues" dxfId="30" priority="17"/>
  </conditionalFormatting>
  <conditionalFormatting sqref="A583">
    <cfRule type="duplicateValues" dxfId="29" priority="8"/>
    <cfRule type="duplicateValues" dxfId="28" priority="9"/>
    <cfRule type="duplicateValues" dxfId="27" priority="10"/>
  </conditionalFormatting>
  <conditionalFormatting sqref="A584">
    <cfRule type="duplicateValues" dxfId="26" priority="11"/>
    <cfRule type="duplicateValues" dxfId="25" priority="12"/>
    <cfRule type="duplicateValues" dxfId="24" priority="13"/>
  </conditionalFormatting>
  <conditionalFormatting sqref="A638:A648">
    <cfRule type="duplicateValues" dxfId="23" priority="28"/>
  </conditionalFormatting>
  <conditionalFormatting sqref="A638:A650">
    <cfRule type="duplicateValues" dxfId="22" priority="30"/>
  </conditionalFormatting>
  <conditionalFormatting sqref="A649">
    <cfRule type="duplicateValues" dxfId="21" priority="4"/>
  </conditionalFormatting>
  <conditionalFormatting sqref="A650">
    <cfRule type="duplicateValues" dxfId="20" priority="2"/>
  </conditionalFormatting>
  <conditionalFormatting sqref="B638:B648">
    <cfRule type="duplicateValues" dxfId="19" priority="32"/>
  </conditionalFormatting>
  <conditionalFormatting sqref="B649">
    <cfRule type="duplicateValues" dxfId="18" priority="3"/>
  </conditionalFormatting>
  <conditionalFormatting sqref="B650">
    <cfRule type="duplicateValues" dxfId="17" priority="1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04473-508B-4912-9C6F-0C18486752FA}">
  <dimension ref="A1:AD658"/>
  <sheetViews>
    <sheetView workbookViewId="0">
      <pane ySplit="1" topLeftCell="A2" activePane="bottomLeft" state="frozen"/>
      <selection pane="bottomLeft" activeCell="B1" sqref="B1"/>
    </sheetView>
  </sheetViews>
  <sheetFormatPr baseColWidth="10" defaultColWidth="8.88671875" defaultRowHeight="14.4" x14ac:dyDescent="0.3"/>
  <cols>
    <col min="2" max="2" width="41.44140625" customWidth="1"/>
    <col min="3" max="5" width="8.88671875" customWidth="1"/>
    <col min="6" max="6" width="10.33203125" customWidth="1"/>
    <col min="7" max="7" width="8.88671875" customWidth="1"/>
    <col min="8" max="8" width="11.33203125" customWidth="1"/>
    <col min="9" max="9" width="8.88671875" customWidth="1"/>
    <col min="10" max="10" width="14.88671875" bestFit="1" customWidth="1"/>
    <col min="11" max="11" width="8.88671875" customWidth="1"/>
    <col min="12" max="12" width="14.109375" bestFit="1" customWidth="1"/>
    <col min="17" max="17" width="15.5546875" bestFit="1" customWidth="1"/>
    <col min="25" max="25" width="38.5546875" customWidth="1"/>
  </cols>
  <sheetData>
    <row r="1" spans="1:3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555</v>
      </c>
    </row>
    <row r="2" spans="1:30" x14ac:dyDescent="0.3">
      <c r="A2" s="3">
        <v>14</v>
      </c>
      <c r="B2" s="3" t="s">
        <v>29</v>
      </c>
      <c r="C2" s="3" t="s">
        <v>30</v>
      </c>
      <c r="D2" s="3" t="s">
        <v>31</v>
      </c>
      <c r="E2" s="3" t="s">
        <v>32</v>
      </c>
      <c r="F2" s="12">
        <v>43281</v>
      </c>
      <c r="G2" s="3">
        <v>2018</v>
      </c>
      <c r="H2" s="3" t="str">
        <f t="shared" ref="H2:H13" si="0">PROPER(TEXT(F2,"mmmm"))</f>
        <v>Junio</v>
      </c>
      <c r="I2" s="3" t="str">
        <f t="shared" ref="I2:I13" si="1">IF(H2="Junio",G2&amp;"-1",G2&amp;"-2")</f>
        <v>2018-1</v>
      </c>
      <c r="J2" s="3">
        <v>1</v>
      </c>
      <c r="K2" s="3"/>
      <c r="L2" s="11">
        <v>49229</v>
      </c>
      <c r="M2" s="3"/>
      <c r="N2" s="3"/>
      <c r="O2" s="3" t="s">
        <v>35</v>
      </c>
      <c r="P2" s="3" t="s">
        <v>35</v>
      </c>
      <c r="Q2" s="3" t="str">
        <f>A2&amp;"-"&amp;YEAR(F2)&amp;"-"&amp;IF(LEN(MONTH(F2))=1,"0"&amp;MONTH(F2),MONTH(F2))&amp;"-"&amp;IF(LEN(DAY(F2))=1,"0"&amp;DAY(F2),DAY(F2))</f>
        <v>14-2018-06-30</v>
      </c>
      <c r="R2" s="3">
        <v>0</v>
      </c>
      <c r="S2" s="3">
        <v>0</v>
      </c>
      <c r="T2" s="3" t="s">
        <v>31</v>
      </c>
      <c r="U2" s="3" t="s">
        <v>37</v>
      </c>
      <c r="V2" s="3" t="s">
        <v>30</v>
      </c>
      <c r="W2" s="3" t="s">
        <v>38</v>
      </c>
      <c r="X2" s="3" t="s">
        <v>39</v>
      </c>
      <c r="Y2" s="3" t="s">
        <v>40</v>
      </c>
      <c r="Z2" s="3" t="s">
        <v>41</v>
      </c>
      <c r="AA2" s="3" t="s">
        <v>42</v>
      </c>
      <c r="AB2" s="3" t="s">
        <v>43</v>
      </c>
      <c r="AC2" s="3" t="s">
        <v>31</v>
      </c>
      <c r="AD2" s="3">
        <v>0</v>
      </c>
    </row>
    <row r="3" spans="1:30" x14ac:dyDescent="0.3">
      <c r="A3" s="3">
        <v>14</v>
      </c>
      <c r="B3" s="3" t="s">
        <v>29</v>
      </c>
      <c r="C3" s="3" t="s">
        <v>186</v>
      </c>
      <c r="D3" s="3" t="s">
        <v>31</v>
      </c>
      <c r="E3" s="3" t="s">
        <v>32</v>
      </c>
      <c r="F3" s="12">
        <v>43465</v>
      </c>
      <c r="G3" s="3">
        <v>2018</v>
      </c>
      <c r="H3" s="3" t="str">
        <f t="shared" si="0"/>
        <v>Diciembre</v>
      </c>
      <c r="I3" s="3" t="str">
        <f t="shared" si="1"/>
        <v>2018-2</v>
      </c>
      <c r="J3" s="3">
        <v>2</v>
      </c>
      <c r="K3" s="3"/>
      <c r="L3" s="11">
        <v>50701</v>
      </c>
      <c r="M3" s="3"/>
      <c r="N3" s="3"/>
      <c r="O3" s="3" t="s">
        <v>35</v>
      </c>
      <c r="P3" s="3" t="s">
        <v>35</v>
      </c>
      <c r="Q3" s="3" t="str">
        <f t="shared" ref="Q3:Q66" si="2">A3&amp;"-"&amp;YEAR(F3)&amp;"-"&amp;IF(LEN(MONTH(F3))=1,"0"&amp;MONTH(F3),MONTH(F3))&amp;"-"&amp;IF(LEN(DAY(F3))=1,"0"&amp;DAY(F3),DAY(F3))</f>
        <v>14-2018-12-31</v>
      </c>
      <c r="R3" s="3">
        <v>0</v>
      </c>
      <c r="S3" s="3">
        <v>0</v>
      </c>
      <c r="T3" s="3" t="s">
        <v>31</v>
      </c>
      <c r="U3" s="3" t="s">
        <v>37</v>
      </c>
      <c r="V3" s="3" t="s">
        <v>30</v>
      </c>
      <c r="W3" s="3" t="s">
        <v>38</v>
      </c>
      <c r="X3" s="3" t="s">
        <v>39</v>
      </c>
      <c r="Y3" s="3" t="s">
        <v>40</v>
      </c>
      <c r="Z3" s="3" t="s">
        <v>41</v>
      </c>
      <c r="AA3" s="3" t="s">
        <v>42</v>
      </c>
      <c r="AB3" s="3" t="s">
        <v>43</v>
      </c>
      <c r="AC3" s="3" t="s">
        <v>31</v>
      </c>
      <c r="AD3" s="3">
        <v>0</v>
      </c>
    </row>
    <row r="4" spans="1:30" x14ac:dyDescent="0.3">
      <c r="A4" s="3">
        <v>14</v>
      </c>
      <c r="B4" s="3" t="s">
        <v>29</v>
      </c>
      <c r="C4" s="3" t="s">
        <v>186</v>
      </c>
      <c r="D4" s="3" t="s">
        <v>31</v>
      </c>
      <c r="E4" s="3" t="s">
        <v>32</v>
      </c>
      <c r="F4" s="12">
        <v>43465</v>
      </c>
      <c r="G4" s="3">
        <f t="shared" ref="G4:G13" si="3">YEAR(F4)</f>
        <v>2018</v>
      </c>
      <c r="H4" s="3" t="str">
        <f t="shared" si="0"/>
        <v>Diciembre</v>
      </c>
      <c r="I4" s="3" t="str">
        <f t="shared" si="1"/>
        <v>2018-2</v>
      </c>
      <c r="J4" s="3"/>
      <c r="K4" s="3"/>
      <c r="L4" s="11">
        <v>50701</v>
      </c>
      <c r="M4" s="3"/>
      <c r="N4" s="3"/>
      <c r="O4" s="3" t="s">
        <v>35</v>
      </c>
      <c r="P4" s="3" t="s">
        <v>35</v>
      </c>
      <c r="Q4" s="3" t="str">
        <f t="shared" si="2"/>
        <v>14-2018-12-31</v>
      </c>
      <c r="R4" s="3">
        <v>0</v>
      </c>
      <c r="S4" s="3">
        <v>0</v>
      </c>
      <c r="T4" s="3" t="s">
        <v>443</v>
      </c>
      <c r="U4" s="3" t="s">
        <v>37</v>
      </c>
      <c r="V4" s="3" t="s">
        <v>30</v>
      </c>
      <c r="W4" s="3" t="s">
        <v>38</v>
      </c>
      <c r="X4" s="3" t="s">
        <v>39</v>
      </c>
      <c r="Y4" s="3" t="s">
        <v>40</v>
      </c>
      <c r="Z4" s="3" t="s">
        <v>41</v>
      </c>
      <c r="AA4" s="3" t="s">
        <v>42</v>
      </c>
      <c r="AB4" s="3" t="s">
        <v>43</v>
      </c>
      <c r="AC4" s="3" t="s">
        <v>31</v>
      </c>
      <c r="AD4" s="3">
        <v>0</v>
      </c>
    </row>
    <row r="5" spans="1:30" x14ac:dyDescent="0.3">
      <c r="A5" s="3">
        <v>14</v>
      </c>
      <c r="B5" s="3" t="s">
        <v>29</v>
      </c>
      <c r="C5" s="3" t="s">
        <v>30</v>
      </c>
      <c r="D5" s="3" t="s">
        <v>31</v>
      </c>
      <c r="E5" s="3" t="s">
        <v>32</v>
      </c>
      <c r="F5" s="12">
        <v>43646</v>
      </c>
      <c r="G5" s="3">
        <f t="shared" si="3"/>
        <v>2019</v>
      </c>
      <c r="H5" s="3" t="str">
        <f t="shared" si="0"/>
        <v>Junio</v>
      </c>
      <c r="I5" s="3" t="str">
        <f t="shared" si="1"/>
        <v>2019-1</v>
      </c>
      <c r="J5" s="3">
        <v>1</v>
      </c>
      <c r="K5" s="3"/>
      <c r="L5" s="11">
        <v>54495</v>
      </c>
      <c r="M5" s="3"/>
      <c r="N5" s="3"/>
      <c r="O5" s="3" t="s">
        <v>35</v>
      </c>
      <c r="P5" s="3" t="s">
        <v>35</v>
      </c>
      <c r="Q5" s="3" t="str">
        <f t="shared" si="2"/>
        <v>14-2019-06-30</v>
      </c>
      <c r="R5" s="3">
        <v>0</v>
      </c>
      <c r="S5" s="3">
        <v>0</v>
      </c>
      <c r="T5" s="3" t="s">
        <v>31</v>
      </c>
      <c r="U5" s="3" t="s">
        <v>37</v>
      </c>
      <c r="V5" s="3" t="s">
        <v>30</v>
      </c>
      <c r="W5" s="3" t="s">
        <v>38</v>
      </c>
      <c r="X5" s="3" t="s">
        <v>39</v>
      </c>
      <c r="Y5" s="3" t="s">
        <v>40</v>
      </c>
      <c r="Z5" s="3" t="s">
        <v>41</v>
      </c>
      <c r="AA5" s="3" t="s">
        <v>42</v>
      </c>
      <c r="AB5" s="3" t="s">
        <v>43</v>
      </c>
      <c r="AC5" s="3" t="s">
        <v>31</v>
      </c>
      <c r="AD5" s="3">
        <v>0</v>
      </c>
    </row>
    <row r="6" spans="1:30" x14ac:dyDescent="0.3">
      <c r="A6" s="3">
        <v>14</v>
      </c>
      <c r="B6" s="3" t="s">
        <v>29</v>
      </c>
      <c r="C6" s="3" t="s">
        <v>186</v>
      </c>
      <c r="D6" s="3" t="s">
        <v>31</v>
      </c>
      <c r="E6" s="3" t="s">
        <v>32</v>
      </c>
      <c r="F6" s="12">
        <v>43830</v>
      </c>
      <c r="G6" s="3">
        <f t="shared" si="3"/>
        <v>2019</v>
      </c>
      <c r="H6" s="3" t="str">
        <f t="shared" si="0"/>
        <v>Diciembre</v>
      </c>
      <c r="I6" s="3" t="str">
        <f t="shared" si="1"/>
        <v>2019-2</v>
      </c>
      <c r="J6" s="3">
        <v>2</v>
      </c>
      <c r="K6" s="3"/>
      <c r="L6" s="11">
        <v>53197</v>
      </c>
      <c r="M6" s="3"/>
      <c r="N6" s="3"/>
      <c r="O6" s="3" t="s">
        <v>35</v>
      </c>
      <c r="P6" s="3" t="s">
        <v>35</v>
      </c>
      <c r="Q6" s="3" t="str">
        <f t="shared" si="2"/>
        <v>14-2019-12-31</v>
      </c>
      <c r="R6" s="3">
        <v>0</v>
      </c>
      <c r="S6" s="3">
        <v>0</v>
      </c>
      <c r="T6" s="3" t="s">
        <v>31</v>
      </c>
      <c r="U6" s="3" t="s">
        <v>37</v>
      </c>
      <c r="V6" s="3" t="s">
        <v>30</v>
      </c>
      <c r="W6" s="3" t="s">
        <v>38</v>
      </c>
      <c r="X6" s="3" t="s">
        <v>39</v>
      </c>
      <c r="Y6" s="3" t="s">
        <v>40</v>
      </c>
      <c r="Z6" s="3" t="s">
        <v>41</v>
      </c>
      <c r="AA6" s="3" t="s">
        <v>42</v>
      </c>
      <c r="AB6" s="3" t="s">
        <v>43</v>
      </c>
      <c r="AC6" s="3" t="s">
        <v>31</v>
      </c>
      <c r="AD6" s="3">
        <v>0</v>
      </c>
    </row>
    <row r="7" spans="1:30" x14ac:dyDescent="0.3">
      <c r="A7" s="3">
        <v>14</v>
      </c>
      <c r="B7" s="3" t="s">
        <v>29</v>
      </c>
      <c r="C7" s="3" t="s">
        <v>186</v>
      </c>
      <c r="D7" s="3" t="s">
        <v>31</v>
      </c>
      <c r="E7" s="3" t="s">
        <v>32</v>
      </c>
      <c r="F7" s="12">
        <v>43830</v>
      </c>
      <c r="G7" s="3">
        <f t="shared" si="3"/>
        <v>2019</v>
      </c>
      <c r="H7" s="3" t="str">
        <f t="shared" si="0"/>
        <v>Diciembre</v>
      </c>
      <c r="I7" s="3" t="str">
        <f t="shared" si="1"/>
        <v>2019-2</v>
      </c>
      <c r="J7" s="3"/>
      <c r="K7" s="3"/>
      <c r="L7" s="11">
        <v>53197</v>
      </c>
      <c r="M7" s="3"/>
      <c r="N7" s="3"/>
      <c r="O7" s="3" t="s">
        <v>35</v>
      </c>
      <c r="P7" s="3" t="s">
        <v>35</v>
      </c>
      <c r="Q7" s="3" t="str">
        <f t="shared" si="2"/>
        <v>14-2019-12-31</v>
      </c>
      <c r="R7" s="3">
        <v>0</v>
      </c>
      <c r="S7" s="3">
        <v>0</v>
      </c>
      <c r="T7" s="3" t="s">
        <v>443</v>
      </c>
      <c r="U7" s="3" t="s">
        <v>37</v>
      </c>
      <c r="V7" s="3" t="s">
        <v>30</v>
      </c>
      <c r="W7" s="3" t="s">
        <v>38</v>
      </c>
      <c r="X7" s="3" t="s">
        <v>39</v>
      </c>
      <c r="Y7" s="3" t="s">
        <v>40</v>
      </c>
      <c r="Z7" s="3" t="s">
        <v>41</v>
      </c>
      <c r="AA7" s="3" t="s">
        <v>42</v>
      </c>
      <c r="AB7" s="3" t="s">
        <v>43</v>
      </c>
      <c r="AC7" s="3" t="s">
        <v>31</v>
      </c>
      <c r="AD7" s="3">
        <v>0</v>
      </c>
    </row>
    <row r="8" spans="1:30" x14ac:dyDescent="0.3">
      <c r="A8" s="3">
        <v>14</v>
      </c>
      <c r="B8" s="3" t="s">
        <v>29</v>
      </c>
      <c r="C8" s="3" t="s">
        <v>30</v>
      </c>
      <c r="D8" s="3" t="s">
        <v>31</v>
      </c>
      <c r="E8" s="3" t="s">
        <v>32</v>
      </c>
      <c r="F8" s="12">
        <v>44012</v>
      </c>
      <c r="G8" s="3">
        <f t="shared" si="3"/>
        <v>2020</v>
      </c>
      <c r="H8" s="3" t="str">
        <f t="shared" si="0"/>
        <v>Junio</v>
      </c>
      <c r="I8" s="3" t="str">
        <f t="shared" si="1"/>
        <v>2020-1</v>
      </c>
      <c r="J8" s="3">
        <v>1</v>
      </c>
      <c r="K8" s="3"/>
      <c r="L8" s="11">
        <v>55541</v>
      </c>
      <c r="M8" s="3"/>
      <c r="N8" s="3"/>
      <c r="O8" s="3" t="s">
        <v>35</v>
      </c>
      <c r="P8" s="3" t="s">
        <v>35</v>
      </c>
      <c r="Q8" s="3" t="str">
        <f t="shared" si="2"/>
        <v>14-2020-06-30</v>
      </c>
      <c r="R8" s="3">
        <v>0</v>
      </c>
      <c r="S8" s="3">
        <v>0</v>
      </c>
      <c r="T8" s="3" t="s">
        <v>31</v>
      </c>
      <c r="U8" s="3" t="s">
        <v>37</v>
      </c>
      <c r="V8" s="3" t="s">
        <v>30</v>
      </c>
      <c r="W8" s="3" t="s">
        <v>38</v>
      </c>
      <c r="X8" s="3" t="s">
        <v>39</v>
      </c>
      <c r="Y8" s="3" t="s">
        <v>40</v>
      </c>
      <c r="Z8" s="3" t="s">
        <v>41</v>
      </c>
      <c r="AA8" s="3" t="s">
        <v>42</v>
      </c>
      <c r="AB8" s="3" t="s">
        <v>43</v>
      </c>
      <c r="AC8" s="3" t="s">
        <v>31</v>
      </c>
      <c r="AD8" s="3">
        <v>0</v>
      </c>
    </row>
    <row r="9" spans="1:30" x14ac:dyDescent="0.3">
      <c r="A9" s="3">
        <v>14</v>
      </c>
      <c r="B9" s="3" t="s">
        <v>29</v>
      </c>
      <c r="C9" s="3" t="s">
        <v>186</v>
      </c>
      <c r="D9" s="3" t="s">
        <v>31</v>
      </c>
      <c r="E9" s="3" t="s">
        <v>32</v>
      </c>
      <c r="F9" s="12">
        <v>44196</v>
      </c>
      <c r="G9" s="3">
        <f t="shared" si="3"/>
        <v>2020</v>
      </c>
      <c r="H9" s="3" t="str">
        <f t="shared" si="0"/>
        <v>Diciembre</v>
      </c>
      <c r="I9" s="3" t="str">
        <f t="shared" si="1"/>
        <v>2020-2</v>
      </c>
      <c r="J9" s="3">
        <v>2</v>
      </c>
      <c r="K9" s="3"/>
      <c r="L9" s="11">
        <v>51195</v>
      </c>
      <c r="M9" s="3"/>
      <c r="N9" s="3"/>
      <c r="O9" s="3" t="s">
        <v>35</v>
      </c>
      <c r="P9" s="3" t="s">
        <v>35</v>
      </c>
      <c r="Q9" s="3" t="str">
        <f t="shared" si="2"/>
        <v>14-2020-12-31</v>
      </c>
      <c r="R9" s="3">
        <v>0</v>
      </c>
      <c r="S9" s="3">
        <v>0</v>
      </c>
      <c r="T9" s="3" t="s">
        <v>31</v>
      </c>
      <c r="U9" s="3" t="s">
        <v>37</v>
      </c>
      <c r="V9" s="3" t="s">
        <v>30</v>
      </c>
      <c r="W9" s="3" t="s">
        <v>38</v>
      </c>
      <c r="X9" s="3" t="s">
        <v>39</v>
      </c>
      <c r="Y9" s="3" t="s">
        <v>40</v>
      </c>
      <c r="Z9" s="3" t="s">
        <v>41</v>
      </c>
      <c r="AA9" s="3" t="s">
        <v>42</v>
      </c>
      <c r="AB9" s="3" t="s">
        <v>43</v>
      </c>
      <c r="AC9" s="3" t="s">
        <v>31</v>
      </c>
      <c r="AD9" s="3">
        <v>0</v>
      </c>
    </row>
    <row r="10" spans="1:30" x14ac:dyDescent="0.3">
      <c r="A10" s="3">
        <v>14</v>
      </c>
      <c r="B10" s="3" t="s">
        <v>29</v>
      </c>
      <c r="C10" s="3" t="s">
        <v>186</v>
      </c>
      <c r="D10" s="3" t="s">
        <v>31</v>
      </c>
      <c r="E10" s="3" t="s">
        <v>32</v>
      </c>
      <c r="F10" s="12">
        <v>44196</v>
      </c>
      <c r="G10" s="3">
        <f t="shared" si="3"/>
        <v>2020</v>
      </c>
      <c r="H10" s="3" t="str">
        <f t="shared" si="0"/>
        <v>Diciembre</v>
      </c>
      <c r="I10" s="3" t="str">
        <f t="shared" si="1"/>
        <v>2020-2</v>
      </c>
      <c r="J10" s="3"/>
      <c r="K10" s="3"/>
      <c r="L10" s="11">
        <v>51195</v>
      </c>
      <c r="M10" s="3"/>
      <c r="N10" s="3"/>
      <c r="O10" s="3" t="s">
        <v>35</v>
      </c>
      <c r="P10" s="3" t="s">
        <v>35</v>
      </c>
      <c r="Q10" s="3" t="str">
        <f t="shared" si="2"/>
        <v>14-2020-12-31</v>
      </c>
      <c r="R10" s="3">
        <v>0</v>
      </c>
      <c r="S10" s="3">
        <v>0</v>
      </c>
      <c r="T10" s="3" t="s">
        <v>443</v>
      </c>
      <c r="U10" s="3" t="s">
        <v>37</v>
      </c>
      <c r="V10" s="3" t="s">
        <v>30</v>
      </c>
      <c r="W10" s="3" t="s">
        <v>38</v>
      </c>
      <c r="X10" s="3" t="s">
        <v>39</v>
      </c>
      <c r="Y10" s="3" t="s">
        <v>40</v>
      </c>
      <c r="Z10" s="3" t="s">
        <v>41</v>
      </c>
      <c r="AA10" s="3" t="s">
        <v>42</v>
      </c>
      <c r="AB10" s="3" t="s">
        <v>43</v>
      </c>
      <c r="AC10" s="3" t="s">
        <v>31</v>
      </c>
      <c r="AD10" s="3">
        <v>0</v>
      </c>
    </row>
    <row r="11" spans="1:30" x14ac:dyDescent="0.3">
      <c r="A11" s="3">
        <v>14</v>
      </c>
      <c r="B11" s="3" t="s">
        <v>29</v>
      </c>
      <c r="C11" s="3" t="s">
        <v>30</v>
      </c>
      <c r="D11" s="3" t="s">
        <v>31</v>
      </c>
      <c r="E11" s="3" t="s">
        <v>32</v>
      </c>
      <c r="F11" s="12">
        <v>44377</v>
      </c>
      <c r="G11" s="3">
        <f t="shared" si="3"/>
        <v>2021</v>
      </c>
      <c r="H11" s="3" t="str">
        <f t="shared" si="0"/>
        <v>Junio</v>
      </c>
      <c r="I11" s="3" t="str">
        <f t="shared" si="1"/>
        <v>2021-1</v>
      </c>
      <c r="J11" s="3">
        <v>1</v>
      </c>
      <c r="K11" s="3"/>
      <c r="L11" s="11">
        <v>51694</v>
      </c>
      <c r="M11" s="3"/>
      <c r="N11" s="3"/>
      <c r="O11" s="3" t="s">
        <v>35</v>
      </c>
      <c r="P11" s="3" t="s">
        <v>35</v>
      </c>
      <c r="Q11" s="3" t="str">
        <f t="shared" si="2"/>
        <v>14-2021-06-30</v>
      </c>
      <c r="R11" s="3">
        <v>0</v>
      </c>
      <c r="S11" s="3">
        <v>0</v>
      </c>
      <c r="T11" s="3" t="s">
        <v>31</v>
      </c>
      <c r="U11" s="3" t="s">
        <v>37</v>
      </c>
      <c r="V11" s="3" t="s">
        <v>30</v>
      </c>
      <c r="W11" s="3" t="s">
        <v>38</v>
      </c>
      <c r="X11" s="3" t="s">
        <v>39</v>
      </c>
      <c r="Y11" s="3" t="s">
        <v>40</v>
      </c>
      <c r="Z11" s="3" t="s">
        <v>41</v>
      </c>
      <c r="AA11" s="3" t="s">
        <v>42</v>
      </c>
      <c r="AB11" s="3" t="s">
        <v>43</v>
      </c>
      <c r="AC11" s="3" t="s">
        <v>31</v>
      </c>
      <c r="AD11" s="3">
        <v>0</v>
      </c>
    </row>
    <row r="12" spans="1:30" x14ac:dyDescent="0.3">
      <c r="A12" s="3">
        <v>14</v>
      </c>
      <c r="B12" s="3" t="s">
        <v>29</v>
      </c>
      <c r="C12" s="3" t="s">
        <v>186</v>
      </c>
      <c r="D12" s="3" t="s">
        <v>31</v>
      </c>
      <c r="E12" s="3" t="s">
        <v>32</v>
      </c>
      <c r="F12" s="12">
        <v>44561</v>
      </c>
      <c r="G12" s="3">
        <f t="shared" si="3"/>
        <v>2021</v>
      </c>
      <c r="H12" s="3" t="str">
        <f t="shared" si="0"/>
        <v>Diciembre</v>
      </c>
      <c r="I12" s="3" t="str">
        <f t="shared" si="1"/>
        <v>2021-2</v>
      </c>
      <c r="J12" s="3">
        <v>2</v>
      </c>
      <c r="K12" s="3"/>
      <c r="L12" s="11">
        <v>49166</v>
      </c>
      <c r="M12" s="3"/>
      <c r="N12" s="3"/>
      <c r="O12" s="3" t="s">
        <v>35</v>
      </c>
      <c r="P12" s="3" t="s">
        <v>35</v>
      </c>
      <c r="Q12" s="3" t="str">
        <f t="shared" si="2"/>
        <v>14-2021-12-31</v>
      </c>
      <c r="R12" s="3">
        <v>0</v>
      </c>
      <c r="S12" s="3">
        <v>0</v>
      </c>
      <c r="T12" s="3" t="s">
        <v>31</v>
      </c>
      <c r="U12" s="3" t="s">
        <v>37</v>
      </c>
      <c r="V12" s="3" t="s">
        <v>30</v>
      </c>
      <c r="W12" s="3" t="s">
        <v>38</v>
      </c>
      <c r="X12" s="3" t="s">
        <v>39</v>
      </c>
      <c r="Y12" s="3" t="s">
        <v>40</v>
      </c>
      <c r="Z12" s="3" t="s">
        <v>41</v>
      </c>
      <c r="AA12" s="3" t="s">
        <v>42</v>
      </c>
      <c r="AB12" s="3" t="s">
        <v>43</v>
      </c>
      <c r="AC12" s="3" t="s">
        <v>31</v>
      </c>
      <c r="AD12" s="3">
        <v>0</v>
      </c>
    </row>
    <row r="13" spans="1:30" x14ac:dyDescent="0.3">
      <c r="A13" s="3">
        <v>14</v>
      </c>
      <c r="B13" s="3" t="s">
        <v>29</v>
      </c>
      <c r="C13" s="3" t="s">
        <v>186</v>
      </c>
      <c r="D13" s="3" t="s">
        <v>31</v>
      </c>
      <c r="E13" s="3" t="s">
        <v>32</v>
      </c>
      <c r="F13" s="12">
        <v>44561</v>
      </c>
      <c r="G13" s="3">
        <f t="shared" si="3"/>
        <v>2021</v>
      </c>
      <c r="H13" s="3" t="str">
        <f t="shared" si="0"/>
        <v>Diciembre</v>
      </c>
      <c r="I13" s="3" t="str">
        <f t="shared" si="1"/>
        <v>2021-2</v>
      </c>
      <c r="J13" s="3"/>
      <c r="K13" s="3"/>
      <c r="L13" s="11">
        <v>49166</v>
      </c>
      <c r="M13" s="3"/>
      <c r="N13" s="3"/>
      <c r="O13" s="3" t="s">
        <v>35</v>
      </c>
      <c r="P13" s="3" t="s">
        <v>35</v>
      </c>
      <c r="Q13" s="3" t="str">
        <f t="shared" si="2"/>
        <v>14-2021-12-31</v>
      </c>
      <c r="R13" s="3">
        <v>0</v>
      </c>
      <c r="S13" s="3">
        <v>0</v>
      </c>
      <c r="T13" s="3" t="s">
        <v>443</v>
      </c>
      <c r="U13" s="3" t="s">
        <v>37</v>
      </c>
      <c r="V13" s="3" t="s">
        <v>30</v>
      </c>
      <c r="W13" s="3" t="s">
        <v>38</v>
      </c>
      <c r="X13" s="3" t="s">
        <v>39</v>
      </c>
      <c r="Y13" s="3" t="s">
        <v>40</v>
      </c>
      <c r="Z13" s="3" t="s">
        <v>41</v>
      </c>
      <c r="AA13" s="3" t="s">
        <v>42</v>
      </c>
      <c r="AB13" s="3" t="s">
        <v>43</v>
      </c>
      <c r="AC13" s="3" t="s">
        <v>31</v>
      </c>
      <c r="AD13" s="3">
        <v>0</v>
      </c>
    </row>
    <row r="14" spans="1:30" x14ac:dyDescent="0.3">
      <c r="A14" s="3">
        <v>14</v>
      </c>
      <c r="B14" s="3" t="s">
        <v>29</v>
      </c>
      <c r="C14" s="3" t="s">
        <v>30</v>
      </c>
      <c r="D14" s="3" t="s">
        <v>31</v>
      </c>
      <c r="E14" s="3" t="s">
        <v>32</v>
      </c>
      <c r="F14" s="12">
        <v>44742</v>
      </c>
      <c r="G14" s="3">
        <v>2022</v>
      </c>
      <c r="H14" s="3" t="s">
        <v>33</v>
      </c>
      <c r="I14" s="3" t="s">
        <v>34</v>
      </c>
      <c r="J14" s="3">
        <v>1</v>
      </c>
      <c r="K14" s="3">
        <v>49004</v>
      </c>
      <c r="L14" s="3">
        <v>51012</v>
      </c>
      <c r="M14" s="3">
        <v>1.040976246836993</v>
      </c>
      <c r="N14" s="3">
        <v>1.040976246836993</v>
      </c>
      <c r="O14" s="3" t="s">
        <v>35</v>
      </c>
      <c r="P14" s="3" t="s">
        <v>35</v>
      </c>
      <c r="Q14" s="3" t="str">
        <f t="shared" si="2"/>
        <v>14-2022-06-30</v>
      </c>
      <c r="R14" s="3">
        <v>0</v>
      </c>
      <c r="S14" s="3">
        <v>0</v>
      </c>
      <c r="T14" s="3" t="s">
        <v>31</v>
      </c>
      <c r="U14" s="3" t="s">
        <v>37</v>
      </c>
      <c r="V14" s="3" t="s">
        <v>30</v>
      </c>
      <c r="W14" s="3" t="s">
        <v>38</v>
      </c>
      <c r="X14" s="3" t="s">
        <v>39</v>
      </c>
      <c r="Y14" s="3" t="s">
        <v>40</v>
      </c>
      <c r="Z14" s="3" t="s">
        <v>41</v>
      </c>
      <c r="AA14" s="3" t="s">
        <v>42</v>
      </c>
      <c r="AB14" s="3" t="s">
        <v>43</v>
      </c>
      <c r="AC14" s="3" t="s">
        <v>31</v>
      </c>
      <c r="AD14" s="3">
        <v>0</v>
      </c>
    </row>
    <row r="15" spans="1:30" x14ac:dyDescent="0.3">
      <c r="A15" s="3">
        <v>14</v>
      </c>
      <c r="B15" s="3" t="s">
        <v>29</v>
      </c>
      <c r="C15" s="3" t="s">
        <v>30</v>
      </c>
      <c r="D15" s="3" t="s">
        <v>31</v>
      </c>
      <c r="E15" s="3" t="s">
        <v>32</v>
      </c>
      <c r="F15" s="12">
        <v>44926</v>
      </c>
      <c r="G15" s="3">
        <v>2022</v>
      </c>
      <c r="H15" s="3" t="s">
        <v>44</v>
      </c>
      <c r="I15" s="3" t="s">
        <v>45</v>
      </c>
      <c r="J15" s="3">
        <v>2</v>
      </c>
      <c r="K15" s="3">
        <v>50430</v>
      </c>
      <c r="L15" s="3">
        <v>50241</v>
      </c>
      <c r="M15" s="3">
        <v>0.99625223081499104</v>
      </c>
      <c r="N15" s="3">
        <v>0.99625223081499104</v>
      </c>
      <c r="O15" s="3" t="s">
        <v>35</v>
      </c>
      <c r="P15" s="3" t="s">
        <v>35</v>
      </c>
      <c r="Q15" s="3" t="str">
        <f t="shared" si="2"/>
        <v>14-2022-12-31</v>
      </c>
      <c r="R15" s="3">
        <v>0</v>
      </c>
      <c r="S15" s="3">
        <v>0</v>
      </c>
      <c r="T15" s="3" t="s">
        <v>31</v>
      </c>
      <c r="U15" s="3" t="s">
        <v>37</v>
      </c>
      <c r="V15" s="3" t="s">
        <v>30</v>
      </c>
      <c r="W15" s="3" t="s">
        <v>38</v>
      </c>
      <c r="X15" s="3" t="s">
        <v>39</v>
      </c>
      <c r="Y15" s="3" t="s">
        <v>40</v>
      </c>
      <c r="Z15" s="3" t="s">
        <v>41</v>
      </c>
      <c r="AA15" s="3" t="s">
        <v>42</v>
      </c>
      <c r="AB15" s="3" t="s">
        <v>43</v>
      </c>
      <c r="AC15" s="3" t="s">
        <v>31</v>
      </c>
      <c r="AD15" s="3">
        <v>0</v>
      </c>
    </row>
    <row r="16" spans="1:30" x14ac:dyDescent="0.3">
      <c r="A16" s="3">
        <v>14</v>
      </c>
      <c r="B16" s="3" t="s">
        <v>29</v>
      </c>
      <c r="C16" s="3" t="s">
        <v>186</v>
      </c>
      <c r="D16" s="3" t="s">
        <v>31</v>
      </c>
      <c r="E16" s="3" t="s">
        <v>32</v>
      </c>
      <c r="F16" s="12">
        <v>44926</v>
      </c>
      <c r="G16" s="3">
        <v>2022</v>
      </c>
      <c r="H16" s="3" t="s">
        <v>44</v>
      </c>
      <c r="I16" s="3" t="s">
        <v>45</v>
      </c>
      <c r="J16" s="3"/>
      <c r="K16" s="3">
        <v>50430</v>
      </c>
      <c r="L16" s="3">
        <v>50241</v>
      </c>
      <c r="M16" s="3">
        <v>0.99625223081499104</v>
      </c>
      <c r="N16" s="3">
        <v>0.99625223081499104</v>
      </c>
      <c r="O16" s="3" t="s">
        <v>35</v>
      </c>
      <c r="P16" s="3" t="s">
        <v>35</v>
      </c>
      <c r="Q16" s="3" t="str">
        <f t="shared" si="2"/>
        <v>14-2022-12-31</v>
      </c>
      <c r="R16" s="3">
        <v>0</v>
      </c>
      <c r="S16" s="3">
        <v>0</v>
      </c>
      <c r="T16" s="3" t="s">
        <v>443</v>
      </c>
      <c r="U16" s="3" t="s">
        <v>37</v>
      </c>
      <c r="V16" s="3" t="s">
        <v>30</v>
      </c>
      <c r="W16" s="3" t="s">
        <v>38</v>
      </c>
      <c r="X16" s="3" t="s">
        <v>39</v>
      </c>
      <c r="Y16" s="3" t="s">
        <v>40</v>
      </c>
      <c r="Z16" s="3" t="s">
        <v>41</v>
      </c>
      <c r="AA16" s="3" t="s">
        <v>42</v>
      </c>
      <c r="AB16" s="3" t="s">
        <v>43</v>
      </c>
      <c r="AC16" s="3" t="s">
        <v>31</v>
      </c>
      <c r="AD16" s="3">
        <v>0</v>
      </c>
    </row>
    <row r="17" spans="1:30" x14ac:dyDescent="0.3">
      <c r="A17" s="3">
        <v>14</v>
      </c>
      <c r="B17" s="3" t="s">
        <v>29</v>
      </c>
      <c r="C17" s="3" t="s">
        <v>30</v>
      </c>
      <c r="D17" s="3" t="s">
        <v>31</v>
      </c>
      <c r="E17" s="3" t="s">
        <v>32</v>
      </c>
      <c r="F17" s="12">
        <v>45107</v>
      </c>
      <c r="G17" s="3">
        <v>2023</v>
      </c>
      <c r="H17" s="3" t="s">
        <v>33</v>
      </c>
      <c r="I17" s="3" t="s">
        <v>47</v>
      </c>
      <c r="J17" s="3">
        <v>1</v>
      </c>
      <c r="K17" s="3">
        <v>52177</v>
      </c>
      <c r="L17" s="3">
        <v>51473</v>
      </c>
      <c r="M17" s="3">
        <v>0.98650746497498898</v>
      </c>
      <c r="N17" s="3">
        <v>0.98650746497498898</v>
      </c>
      <c r="O17" s="3" t="s">
        <v>35</v>
      </c>
      <c r="P17" s="3" t="s">
        <v>35</v>
      </c>
      <c r="Q17" s="3" t="str">
        <f t="shared" si="2"/>
        <v>14-2023-06-30</v>
      </c>
      <c r="R17" s="3">
        <v>0</v>
      </c>
      <c r="S17" s="3">
        <v>0</v>
      </c>
      <c r="T17" s="3" t="s">
        <v>31</v>
      </c>
      <c r="U17" s="3" t="s">
        <v>37</v>
      </c>
      <c r="V17" s="3" t="s">
        <v>30</v>
      </c>
      <c r="W17" s="3" t="s">
        <v>38</v>
      </c>
      <c r="X17" s="3" t="s">
        <v>39</v>
      </c>
      <c r="Y17" s="3" t="s">
        <v>40</v>
      </c>
      <c r="Z17" s="3" t="s">
        <v>41</v>
      </c>
      <c r="AA17" s="3" t="s">
        <v>42</v>
      </c>
      <c r="AB17" s="3" t="s">
        <v>43</v>
      </c>
      <c r="AC17" s="3" t="s">
        <v>31</v>
      </c>
      <c r="AD17" s="3">
        <v>0</v>
      </c>
    </row>
    <row r="18" spans="1:30" x14ac:dyDescent="0.3">
      <c r="A18" s="3">
        <v>14</v>
      </c>
      <c r="B18" s="3" t="s">
        <v>29</v>
      </c>
      <c r="C18" s="3" t="s">
        <v>30</v>
      </c>
      <c r="D18" s="3" t="s">
        <v>31</v>
      </c>
      <c r="E18" s="3" t="s">
        <v>32</v>
      </c>
      <c r="F18" s="12">
        <v>45291</v>
      </c>
      <c r="G18" s="3">
        <v>2023</v>
      </c>
      <c r="H18" s="3" t="s">
        <v>44</v>
      </c>
      <c r="I18" s="3" t="s">
        <v>49</v>
      </c>
      <c r="J18" s="3">
        <v>2</v>
      </c>
      <c r="K18" s="3">
        <v>51687</v>
      </c>
      <c r="L18" s="3">
        <v>51375</v>
      </c>
      <c r="M18" s="3">
        <v>0.99396366591212493</v>
      </c>
      <c r="N18" s="3">
        <v>0.99396366591212493</v>
      </c>
      <c r="O18" s="3" t="s">
        <v>35</v>
      </c>
      <c r="P18" s="3" t="s">
        <v>35</v>
      </c>
      <c r="Q18" s="3" t="str">
        <f t="shared" si="2"/>
        <v>14-2023-12-31</v>
      </c>
      <c r="R18" s="3">
        <v>0</v>
      </c>
      <c r="S18" s="3">
        <v>0</v>
      </c>
      <c r="T18" s="3" t="s">
        <v>31</v>
      </c>
      <c r="U18" s="3" t="s">
        <v>37</v>
      </c>
      <c r="V18" s="3" t="s">
        <v>30</v>
      </c>
      <c r="W18" s="3" t="s">
        <v>38</v>
      </c>
      <c r="X18" s="3" t="s">
        <v>39</v>
      </c>
      <c r="Y18" s="3" t="s">
        <v>40</v>
      </c>
      <c r="Z18" s="3" t="s">
        <v>41</v>
      </c>
      <c r="AA18" s="3" t="s">
        <v>42</v>
      </c>
      <c r="AB18" s="3" t="s">
        <v>43</v>
      </c>
      <c r="AC18" s="3" t="s">
        <v>31</v>
      </c>
      <c r="AD18" s="3">
        <v>0</v>
      </c>
    </row>
    <row r="19" spans="1:30" x14ac:dyDescent="0.3">
      <c r="A19" s="3">
        <v>14</v>
      </c>
      <c r="B19" s="3" t="s">
        <v>29</v>
      </c>
      <c r="C19" s="3" t="s">
        <v>186</v>
      </c>
      <c r="D19" s="3" t="s">
        <v>31</v>
      </c>
      <c r="E19" s="3" t="s">
        <v>32</v>
      </c>
      <c r="F19" s="12">
        <v>45291</v>
      </c>
      <c r="G19" s="3">
        <v>2023</v>
      </c>
      <c r="H19" s="3" t="s">
        <v>44</v>
      </c>
      <c r="I19" s="3" t="s">
        <v>49</v>
      </c>
      <c r="J19" s="3"/>
      <c r="K19" s="3">
        <v>51687</v>
      </c>
      <c r="L19" s="3">
        <v>51375</v>
      </c>
      <c r="M19" s="3">
        <v>0.99396366591212493</v>
      </c>
      <c r="N19" s="3">
        <v>0.99396366591212493</v>
      </c>
      <c r="O19" s="3" t="s">
        <v>35</v>
      </c>
      <c r="P19" s="3" t="s">
        <v>35</v>
      </c>
      <c r="Q19" s="3" t="str">
        <f t="shared" si="2"/>
        <v>14-2023-12-31</v>
      </c>
      <c r="R19" s="3">
        <v>0</v>
      </c>
      <c r="S19" s="3">
        <v>0</v>
      </c>
      <c r="T19" s="3" t="s">
        <v>443</v>
      </c>
      <c r="U19" s="3" t="s">
        <v>37</v>
      </c>
      <c r="V19" s="3" t="s">
        <v>30</v>
      </c>
      <c r="W19" s="3" t="s">
        <v>38</v>
      </c>
      <c r="X19" s="3" t="s">
        <v>39</v>
      </c>
      <c r="Y19" s="3" t="s">
        <v>40</v>
      </c>
      <c r="Z19" s="3" t="s">
        <v>41</v>
      </c>
      <c r="AA19" s="3" t="s">
        <v>42</v>
      </c>
      <c r="AB19" s="3" t="s">
        <v>43</v>
      </c>
      <c r="AC19" s="3" t="s">
        <v>31</v>
      </c>
      <c r="AD19" s="3">
        <v>0</v>
      </c>
    </row>
    <row r="20" spans="1:30" x14ac:dyDescent="0.3">
      <c r="A20" s="3">
        <v>14</v>
      </c>
      <c r="B20" s="3" t="s">
        <v>29</v>
      </c>
      <c r="C20" s="3" t="s">
        <v>30</v>
      </c>
      <c r="D20" s="3" t="s">
        <v>31</v>
      </c>
      <c r="E20" s="3" t="s">
        <v>32</v>
      </c>
      <c r="F20" s="12">
        <v>45473</v>
      </c>
      <c r="G20" s="3">
        <v>2024</v>
      </c>
      <c r="H20" s="3" t="s">
        <v>33</v>
      </c>
      <c r="I20" s="3" t="s">
        <v>51</v>
      </c>
      <c r="J20" s="3">
        <v>1</v>
      </c>
      <c r="K20" s="3">
        <v>52403.186118801452</v>
      </c>
      <c r="L20" s="3">
        <v>52585</v>
      </c>
      <c r="M20" s="3">
        <v>1.00346951959727</v>
      </c>
      <c r="N20" s="3">
        <v>1.00346951959727</v>
      </c>
      <c r="O20" s="3" t="s">
        <v>35</v>
      </c>
      <c r="P20" s="3" t="s">
        <v>35</v>
      </c>
      <c r="Q20" s="3" t="str">
        <f t="shared" si="2"/>
        <v>14-2024-06-30</v>
      </c>
      <c r="R20" s="3">
        <v>0</v>
      </c>
      <c r="S20" s="3">
        <v>0</v>
      </c>
      <c r="T20" s="3" t="s">
        <v>31</v>
      </c>
      <c r="U20" s="3" t="s">
        <v>37</v>
      </c>
      <c r="V20" s="3" t="s">
        <v>30</v>
      </c>
      <c r="W20" s="3" t="s">
        <v>38</v>
      </c>
      <c r="X20" s="3" t="s">
        <v>39</v>
      </c>
      <c r="Y20" s="3" t="s">
        <v>40</v>
      </c>
      <c r="Z20" s="3" t="s">
        <v>41</v>
      </c>
      <c r="AA20" s="3" t="s">
        <v>42</v>
      </c>
      <c r="AB20" s="3" t="s">
        <v>43</v>
      </c>
      <c r="AC20" s="3" t="s">
        <v>31</v>
      </c>
      <c r="AD20" s="3">
        <v>0</v>
      </c>
    </row>
    <row r="21" spans="1:30" x14ac:dyDescent="0.3">
      <c r="A21" s="3">
        <v>14</v>
      </c>
      <c r="B21" s="3" t="s">
        <v>29</v>
      </c>
      <c r="C21" s="3" t="s">
        <v>30</v>
      </c>
      <c r="D21" s="3" t="s">
        <v>31</v>
      </c>
      <c r="E21" s="3" t="s">
        <v>32</v>
      </c>
      <c r="F21" s="12">
        <v>45657</v>
      </c>
      <c r="G21" s="3">
        <v>2024</v>
      </c>
      <c r="H21" s="3" t="s">
        <v>44</v>
      </c>
      <c r="I21" s="3" t="s">
        <v>53</v>
      </c>
      <c r="J21" s="3">
        <v>2</v>
      </c>
      <c r="K21" s="3">
        <v>51116.334115206948</v>
      </c>
      <c r="L21" s="3">
        <v>52005</v>
      </c>
      <c r="M21" s="3">
        <v>1.017385164647961</v>
      </c>
      <c r="N21" s="3">
        <v>1.017385164647961</v>
      </c>
      <c r="O21" s="3" t="s">
        <v>35</v>
      </c>
      <c r="P21" s="3" t="s">
        <v>35</v>
      </c>
      <c r="Q21" s="3" t="str">
        <f t="shared" si="2"/>
        <v>14-2024-12-31</v>
      </c>
      <c r="R21" s="3">
        <v>0</v>
      </c>
      <c r="S21" s="3">
        <v>0</v>
      </c>
      <c r="T21" s="3" t="s">
        <v>31</v>
      </c>
      <c r="U21" s="3" t="s">
        <v>37</v>
      </c>
      <c r="V21" s="3" t="s">
        <v>30</v>
      </c>
      <c r="W21" s="3" t="s">
        <v>38</v>
      </c>
      <c r="X21" s="3" t="s">
        <v>39</v>
      </c>
      <c r="Y21" s="3" t="s">
        <v>40</v>
      </c>
      <c r="Z21" s="3" t="s">
        <v>41</v>
      </c>
      <c r="AA21" s="3" t="s">
        <v>42</v>
      </c>
      <c r="AB21" s="3" t="s">
        <v>43</v>
      </c>
      <c r="AC21" s="3" t="s">
        <v>31</v>
      </c>
      <c r="AD21" s="3">
        <v>0</v>
      </c>
    </row>
    <row r="22" spans="1:30" x14ac:dyDescent="0.3">
      <c r="A22" s="3">
        <v>14</v>
      </c>
      <c r="B22" s="3" t="s">
        <v>29</v>
      </c>
      <c r="C22" s="3" t="s">
        <v>186</v>
      </c>
      <c r="D22" s="3" t="s">
        <v>31</v>
      </c>
      <c r="E22" s="3" t="s">
        <v>32</v>
      </c>
      <c r="F22" s="12">
        <v>45657</v>
      </c>
      <c r="G22" s="3">
        <v>2024</v>
      </c>
      <c r="H22" s="3" t="s">
        <v>44</v>
      </c>
      <c r="I22" s="3" t="s">
        <v>53</v>
      </c>
      <c r="J22" s="3"/>
      <c r="K22" s="3">
        <v>51116.334115206948</v>
      </c>
      <c r="L22" s="3">
        <v>52005</v>
      </c>
      <c r="M22" s="3">
        <v>1.017385164647961</v>
      </c>
      <c r="N22" s="3">
        <v>1.017385164647961</v>
      </c>
      <c r="O22" s="3" t="s">
        <v>35</v>
      </c>
      <c r="P22" s="3" t="s">
        <v>35</v>
      </c>
      <c r="Q22" s="3" t="str">
        <f t="shared" si="2"/>
        <v>14-2024-12-31</v>
      </c>
      <c r="R22" s="3">
        <v>0</v>
      </c>
      <c r="S22" s="3">
        <v>0</v>
      </c>
      <c r="T22" s="3" t="s">
        <v>443</v>
      </c>
      <c r="U22" s="3" t="s">
        <v>37</v>
      </c>
      <c r="V22" s="3" t="s">
        <v>30</v>
      </c>
      <c r="W22" s="3" t="s">
        <v>38</v>
      </c>
      <c r="X22" s="3" t="s">
        <v>39</v>
      </c>
      <c r="Y22" s="3" t="s">
        <v>40</v>
      </c>
      <c r="Z22" s="3" t="s">
        <v>41</v>
      </c>
      <c r="AA22" s="3" t="s">
        <v>42</v>
      </c>
      <c r="AB22" s="3" t="s">
        <v>43</v>
      </c>
      <c r="AC22" s="3" t="s">
        <v>31</v>
      </c>
      <c r="AD22" s="3">
        <v>0</v>
      </c>
    </row>
    <row r="23" spans="1:30" x14ac:dyDescent="0.3">
      <c r="A23" s="3">
        <v>14</v>
      </c>
      <c r="B23" s="3" t="s">
        <v>29</v>
      </c>
      <c r="C23" s="3" t="s">
        <v>186</v>
      </c>
      <c r="D23" s="3" t="s">
        <v>31</v>
      </c>
      <c r="E23" s="3" t="s">
        <v>32</v>
      </c>
      <c r="F23" s="12">
        <v>45838</v>
      </c>
      <c r="G23" s="3">
        <v>2025</v>
      </c>
      <c r="H23" s="3" t="s">
        <v>33</v>
      </c>
      <c r="I23" s="3" t="s">
        <v>404</v>
      </c>
      <c r="J23" s="3">
        <v>1</v>
      </c>
      <c r="K23" s="3">
        <v>53634</v>
      </c>
      <c r="L23" s="3">
        <v>56505</v>
      </c>
      <c r="M23" s="3">
        <v>1.053509834995805</v>
      </c>
      <c r="N23" s="3">
        <v>1.053509834995805</v>
      </c>
      <c r="O23" s="3" t="s">
        <v>35</v>
      </c>
      <c r="P23" s="3" t="s">
        <v>35</v>
      </c>
      <c r="Q23" s="3" t="str">
        <f t="shared" si="2"/>
        <v>14-2025-06-30</v>
      </c>
      <c r="R23" s="3">
        <v>0</v>
      </c>
      <c r="S23" s="3">
        <v>0</v>
      </c>
      <c r="T23" s="3" t="s">
        <v>31</v>
      </c>
      <c r="U23" s="3" t="s">
        <v>37</v>
      </c>
      <c r="V23" s="3" t="s">
        <v>30</v>
      </c>
      <c r="W23" s="3" t="s">
        <v>38</v>
      </c>
      <c r="X23" s="3" t="s">
        <v>39</v>
      </c>
      <c r="Y23" s="3" t="s">
        <v>40</v>
      </c>
      <c r="Z23" s="3" t="s">
        <v>41</v>
      </c>
      <c r="AA23" s="3" t="s">
        <v>42</v>
      </c>
      <c r="AB23" s="3" t="s">
        <v>43</v>
      </c>
      <c r="AC23" s="3" t="s">
        <v>31</v>
      </c>
      <c r="AD23" s="3">
        <v>0</v>
      </c>
    </row>
    <row r="24" spans="1:30" x14ac:dyDescent="0.3">
      <c r="A24" s="3">
        <v>14</v>
      </c>
      <c r="B24" s="3" t="s">
        <v>29</v>
      </c>
      <c r="C24" s="3" t="s">
        <v>186</v>
      </c>
      <c r="D24" s="3" t="s">
        <v>31</v>
      </c>
      <c r="E24" s="3" t="s">
        <v>32</v>
      </c>
      <c r="F24" s="12">
        <v>46022</v>
      </c>
      <c r="G24" s="3">
        <v>2025</v>
      </c>
      <c r="H24" s="3" t="s">
        <v>44</v>
      </c>
      <c r="I24" s="3" t="s">
        <v>465</v>
      </c>
      <c r="J24" s="3">
        <v>2</v>
      </c>
      <c r="K24" s="3">
        <v>55756</v>
      </c>
      <c r="L24" s="11">
        <v>56931</v>
      </c>
      <c r="M24" s="3">
        <f>+L24/K24</f>
        <v>1.0210739651337972</v>
      </c>
      <c r="N24" s="3">
        <f>+L24/K24</f>
        <v>1.0210739651337972</v>
      </c>
      <c r="O24" s="3" t="s">
        <v>35</v>
      </c>
      <c r="P24" s="3" t="s">
        <v>35</v>
      </c>
      <c r="Q24" s="3" t="str">
        <f t="shared" si="2"/>
        <v>14-2025-12-31</v>
      </c>
      <c r="R24" s="3">
        <v>0</v>
      </c>
      <c r="S24" s="3">
        <v>0</v>
      </c>
      <c r="T24" s="3" t="s">
        <v>31</v>
      </c>
      <c r="U24" s="3" t="s">
        <v>37</v>
      </c>
      <c r="V24" s="3" t="s">
        <v>30</v>
      </c>
      <c r="W24" s="3" t="s">
        <v>38</v>
      </c>
      <c r="X24" s="3" t="s">
        <v>39</v>
      </c>
      <c r="Y24" s="3" t="s">
        <v>40</v>
      </c>
      <c r="Z24" s="3" t="s">
        <v>41</v>
      </c>
      <c r="AA24" s="3" t="s">
        <v>42</v>
      </c>
      <c r="AB24" s="3" t="s">
        <v>43</v>
      </c>
      <c r="AC24" s="3" t="s">
        <v>31</v>
      </c>
      <c r="AD24" s="3">
        <v>0</v>
      </c>
    </row>
    <row r="25" spans="1:30" x14ac:dyDescent="0.3">
      <c r="A25" s="3">
        <v>14</v>
      </c>
      <c r="B25" s="3" t="s">
        <v>29</v>
      </c>
      <c r="C25" s="3" t="s">
        <v>186</v>
      </c>
      <c r="D25" s="3" t="s">
        <v>31</v>
      </c>
      <c r="E25" s="3" t="s">
        <v>32</v>
      </c>
      <c r="F25" s="12">
        <v>46022</v>
      </c>
      <c r="G25" s="3">
        <v>2025</v>
      </c>
      <c r="H25" s="3" t="s">
        <v>44</v>
      </c>
      <c r="I25" s="3" t="s">
        <v>465</v>
      </c>
      <c r="J25" s="3"/>
      <c r="K25" s="3">
        <v>55756</v>
      </c>
      <c r="L25" s="11">
        <v>56931</v>
      </c>
      <c r="M25" s="3">
        <f>+L25/K25</f>
        <v>1.0210739651337972</v>
      </c>
      <c r="N25" s="3">
        <f>+L25/K25</f>
        <v>1.0210739651337972</v>
      </c>
      <c r="O25" s="3" t="s">
        <v>35</v>
      </c>
      <c r="P25" s="3" t="s">
        <v>35</v>
      </c>
      <c r="Q25" s="3" t="str">
        <f t="shared" si="2"/>
        <v>14-2025-12-31</v>
      </c>
      <c r="R25" s="3">
        <v>0</v>
      </c>
      <c r="S25" s="3">
        <v>0</v>
      </c>
      <c r="T25" s="3" t="s">
        <v>443</v>
      </c>
      <c r="U25" s="3" t="s">
        <v>37</v>
      </c>
      <c r="V25" s="3" t="s">
        <v>30</v>
      </c>
      <c r="W25" s="3" t="s">
        <v>38</v>
      </c>
      <c r="X25" s="3" t="s">
        <v>39</v>
      </c>
      <c r="Y25" s="3" t="s">
        <v>40</v>
      </c>
      <c r="Z25" s="3" t="s">
        <v>41</v>
      </c>
      <c r="AA25" s="3" t="s">
        <v>42</v>
      </c>
      <c r="AB25" s="3" t="s">
        <v>43</v>
      </c>
      <c r="AC25" s="3" t="s">
        <v>31</v>
      </c>
      <c r="AD25" s="3">
        <v>0</v>
      </c>
    </row>
    <row r="26" spans="1:30" x14ac:dyDescent="0.3">
      <c r="A26" s="3" t="s">
        <v>587</v>
      </c>
      <c r="B26" s="3" t="s">
        <v>353</v>
      </c>
      <c r="C26" s="3" t="s">
        <v>186</v>
      </c>
      <c r="D26" s="3" t="s">
        <v>31</v>
      </c>
      <c r="E26" s="3" t="s">
        <v>32</v>
      </c>
      <c r="F26" s="12">
        <v>43281</v>
      </c>
      <c r="G26" s="3">
        <f t="shared" ref="G26:G37" si="4">YEAR(F26)</f>
        <v>2018</v>
      </c>
      <c r="H26" s="3" t="str">
        <f t="shared" ref="H26:H37" si="5">PROPER(TEXT(F26,"mmmm"))</f>
        <v>Junio</v>
      </c>
      <c r="I26" s="3" t="str">
        <f t="shared" ref="I26:I37" si="6">IF(H26="Junio",G26&amp;"-1",G26&amp;"-2")</f>
        <v>2018-1</v>
      </c>
      <c r="J26" s="3">
        <v>1</v>
      </c>
      <c r="K26" s="3"/>
      <c r="L26" s="11">
        <v>10066</v>
      </c>
      <c r="M26" s="3"/>
      <c r="N26" s="3"/>
      <c r="O26" s="3" t="s">
        <v>35</v>
      </c>
      <c r="P26" s="3" t="s">
        <v>35</v>
      </c>
      <c r="Q26" s="3" t="str">
        <f t="shared" si="2"/>
        <v>14.1-2018-06-30</v>
      </c>
      <c r="R26" s="3">
        <v>0</v>
      </c>
      <c r="S26" s="3">
        <v>0</v>
      </c>
      <c r="T26" s="3" t="s">
        <v>31</v>
      </c>
      <c r="U26" s="3" t="s">
        <v>37</v>
      </c>
      <c r="V26" s="3" t="s">
        <v>30</v>
      </c>
      <c r="W26" s="3" t="s">
        <v>38</v>
      </c>
      <c r="X26" s="3" t="s">
        <v>39</v>
      </c>
      <c r="Y26" s="3" t="s">
        <v>40</v>
      </c>
      <c r="Z26" s="3" t="s">
        <v>86</v>
      </c>
      <c r="AA26" s="3" t="s">
        <v>339</v>
      </c>
      <c r="AB26" s="3" t="s">
        <v>78</v>
      </c>
      <c r="AC26" s="3" t="s">
        <v>31</v>
      </c>
      <c r="AD26" s="3">
        <v>0</v>
      </c>
    </row>
    <row r="27" spans="1:30" x14ac:dyDescent="0.3">
      <c r="A27" s="3" t="s">
        <v>587</v>
      </c>
      <c r="B27" s="3" t="s">
        <v>353</v>
      </c>
      <c r="C27" s="3" t="s">
        <v>186</v>
      </c>
      <c r="D27" s="3" t="s">
        <v>31</v>
      </c>
      <c r="E27" s="3" t="s">
        <v>32</v>
      </c>
      <c r="F27" s="12">
        <v>43465</v>
      </c>
      <c r="G27" s="3">
        <f t="shared" si="4"/>
        <v>2018</v>
      </c>
      <c r="H27" s="3" t="str">
        <f t="shared" si="5"/>
        <v>Diciembre</v>
      </c>
      <c r="I27" s="3" t="str">
        <f t="shared" si="6"/>
        <v>2018-2</v>
      </c>
      <c r="J27" s="3">
        <v>2</v>
      </c>
      <c r="K27" s="3"/>
      <c r="L27" s="11">
        <v>9830</v>
      </c>
      <c r="M27" s="3"/>
      <c r="N27" s="3"/>
      <c r="O27" s="3" t="s">
        <v>35</v>
      </c>
      <c r="P27" s="3" t="s">
        <v>35</v>
      </c>
      <c r="Q27" s="3" t="str">
        <f t="shared" si="2"/>
        <v>14.1-2018-12-31</v>
      </c>
      <c r="R27" s="3">
        <v>0</v>
      </c>
      <c r="S27" s="3">
        <v>0</v>
      </c>
      <c r="T27" s="3" t="s">
        <v>31</v>
      </c>
      <c r="U27" s="3" t="s">
        <v>37</v>
      </c>
      <c r="V27" s="3" t="s">
        <v>30</v>
      </c>
      <c r="W27" s="3" t="s">
        <v>38</v>
      </c>
      <c r="X27" s="3" t="s">
        <v>39</v>
      </c>
      <c r="Y27" s="3" t="s">
        <v>40</v>
      </c>
      <c r="Z27" s="3" t="s">
        <v>86</v>
      </c>
      <c r="AA27" s="3" t="s">
        <v>339</v>
      </c>
      <c r="AB27" s="3" t="s">
        <v>78</v>
      </c>
      <c r="AC27" s="3" t="s">
        <v>31</v>
      </c>
      <c r="AD27" s="3">
        <v>0</v>
      </c>
    </row>
    <row r="28" spans="1:30" x14ac:dyDescent="0.3">
      <c r="A28" s="3" t="s">
        <v>587</v>
      </c>
      <c r="B28" s="3" t="s">
        <v>353</v>
      </c>
      <c r="C28" s="3" t="s">
        <v>186</v>
      </c>
      <c r="D28" s="3" t="s">
        <v>31</v>
      </c>
      <c r="E28" s="3" t="s">
        <v>32</v>
      </c>
      <c r="F28" s="12">
        <v>43465</v>
      </c>
      <c r="G28" s="3">
        <f t="shared" si="4"/>
        <v>2018</v>
      </c>
      <c r="H28" s="3" t="str">
        <f t="shared" si="5"/>
        <v>Diciembre</v>
      </c>
      <c r="I28" s="3" t="str">
        <f t="shared" si="6"/>
        <v>2018-2</v>
      </c>
      <c r="J28" s="3"/>
      <c r="K28" s="3"/>
      <c r="L28" s="3">
        <v>19896</v>
      </c>
      <c r="M28" s="3"/>
      <c r="N28" s="3"/>
      <c r="O28" s="3" t="s">
        <v>35</v>
      </c>
      <c r="P28" s="3" t="s">
        <v>35</v>
      </c>
      <c r="Q28" s="3" t="str">
        <f t="shared" si="2"/>
        <v>14.1-2018-12-31</v>
      </c>
      <c r="R28" s="3">
        <v>0</v>
      </c>
      <c r="S28" s="3">
        <v>0</v>
      </c>
      <c r="T28" s="3" t="s">
        <v>443</v>
      </c>
      <c r="U28" s="3" t="s">
        <v>37</v>
      </c>
      <c r="V28" s="3" t="s">
        <v>30</v>
      </c>
      <c r="W28" s="3" t="s">
        <v>38</v>
      </c>
      <c r="X28" s="3" t="s">
        <v>39</v>
      </c>
      <c r="Y28" s="3" t="s">
        <v>40</v>
      </c>
      <c r="Z28" s="3" t="s">
        <v>86</v>
      </c>
      <c r="AA28" s="3" t="s">
        <v>339</v>
      </c>
      <c r="AB28" s="3" t="s">
        <v>78</v>
      </c>
      <c r="AC28" s="3" t="s">
        <v>31</v>
      </c>
      <c r="AD28" s="3">
        <v>0</v>
      </c>
    </row>
    <row r="29" spans="1:30" x14ac:dyDescent="0.3">
      <c r="A29" s="3" t="s">
        <v>587</v>
      </c>
      <c r="B29" s="3" t="s">
        <v>353</v>
      </c>
      <c r="C29" s="3" t="s">
        <v>186</v>
      </c>
      <c r="D29" s="3" t="s">
        <v>31</v>
      </c>
      <c r="E29" s="3" t="s">
        <v>32</v>
      </c>
      <c r="F29" s="12">
        <v>43646</v>
      </c>
      <c r="G29" s="3">
        <f t="shared" si="4"/>
        <v>2019</v>
      </c>
      <c r="H29" s="3" t="str">
        <f t="shared" si="5"/>
        <v>Junio</v>
      </c>
      <c r="I29" s="3" t="str">
        <f t="shared" si="6"/>
        <v>2019-1</v>
      </c>
      <c r="J29" s="3">
        <v>1</v>
      </c>
      <c r="K29" s="3"/>
      <c r="L29" s="11">
        <v>9864</v>
      </c>
      <c r="M29" s="3"/>
      <c r="N29" s="3"/>
      <c r="O29" s="3" t="s">
        <v>35</v>
      </c>
      <c r="P29" s="3" t="s">
        <v>35</v>
      </c>
      <c r="Q29" s="3" t="str">
        <f t="shared" si="2"/>
        <v>14.1-2019-06-30</v>
      </c>
      <c r="R29" s="3">
        <v>0</v>
      </c>
      <c r="S29" s="3">
        <v>0</v>
      </c>
      <c r="T29" s="3" t="s">
        <v>31</v>
      </c>
      <c r="U29" s="3" t="s">
        <v>37</v>
      </c>
      <c r="V29" s="3" t="s">
        <v>30</v>
      </c>
      <c r="W29" s="3" t="s">
        <v>38</v>
      </c>
      <c r="X29" s="3" t="s">
        <v>39</v>
      </c>
      <c r="Y29" s="3" t="s">
        <v>40</v>
      </c>
      <c r="Z29" s="3" t="s">
        <v>86</v>
      </c>
      <c r="AA29" s="3" t="s">
        <v>339</v>
      </c>
      <c r="AB29" s="3" t="s">
        <v>78</v>
      </c>
      <c r="AC29" s="3" t="s">
        <v>31</v>
      </c>
      <c r="AD29" s="3">
        <v>0</v>
      </c>
    </row>
    <row r="30" spans="1:30" x14ac:dyDescent="0.3">
      <c r="A30" s="3" t="s">
        <v>587</v>
      </c>
      <c r="B30" s="3" t="s">
        <v>353</v>
      </c>
      <c r="C30" s="3" t="s">
        <v>186</v>
      </c>
      <c r="D30" s="3" t="s">
        <v>31</v>
      </c>
      <c r="E30" s="3" t="s">
        <v>32</v>
      </c>
      <c r="F30" s="12">
        <v>43830</v>
      </c>
      <c r="G30" s="3">
        <f t="shared" si="4"/>
        <v>2019</v>
      </c>
      <c r="H30" s="3" t="str">
        <f t="shared" si="5"/>
        <v>Diciembre</v>
      </c>
      <c r="I30" s="3" t="str">
        <f t="shared" si="6"/>
        <v>2019-2</v>
      </c>
      <c r="J30" s="3">
        <v>2</v>
      </c>
      <c r="K30" s="3"/>
      <c r="L30" s="11">
        <v>9586</v>
      </c>
      <c r="M30" s="3"/>
      <c r="N30" s="3"/>
      <c r="O30" s="3" t="s">
        <v>35</v>
      </c>
      <c r="P30" s="3" t="s">
        <v>35</v>
      </c>
      <c r="Q30" s="3" t="str">
        <f t="shared" si="2"/>
        <v>14.1-2019-12-31</v>
      </c>
      <c r="R30" s="3">
        <v>0</v>
      </c>
      <c r="S30" s="3">
        <v>0</v>
      </c>
      <c r="T30" s="3" t="s">
        <v>31</v>
      </c>
      <c r="U30" s="3" t="s">
        <v>37</v>
      </c>
      <c r="V30" s="3" t="s">
        <v>30</v>
      </c>
      <c r="W30" s="3" t="s">
        <v>38</v>
      </c>
      <c r="X30" s="3" t="s">
        <v>39</v>
      </c>
      <c r="Y30" s="3" t="s">
        <v>40</v>
      </c>
      <c r="Z30" s="3" t="s">
        <v>86</v>
      </c>
      <c r="AA30" s="3" t="s">
        <v>339</v>
      </c>
      <c r="AB30" s="3" t="s">
        <v>78</v>
      </c>
      <c r="AC30" s="3" t="s">
        <v>31</v>
      </c>
      <c r="AD30" s="3">
        <v>0</v>
      </c>
    </row>
    <row r="31" spans="1:30" x14ac:dyDescent="0.3">
      <c r="A31" s="3" t="s">
        <v>587</v>
      </c>
      <c r="B31" s="3" t="s">
        <v>353</v>
      </c>
      <c r="C31" s="3" t="s">
        <v>186</v>
      </c>
      <c r="D31" s="3" t="s">
        <v>31</v>
      </c>
      <c r="E31" s="3" t="s">
        <v>32</v>
      </c>
      <c r="F31" s="12">
        <v>43830</v>
      </c>
      <c r="G31" s="3">
        <f t="shared" si="4"/>
        <v>2019</v>
      </c>
      <c r="H31" s="3" t="str">
        <f t="shared" si="5"/>
        <v>Diciembre</v>
      </c>
      <c r="I31" s="3" t="str">
        <f t="shared" si="6"/>
        <v>2019-2</v>
      </c>
      <c r="J31" s="3"/>
      <c r="K31" s="3"/>
      <c r="L31" s="3">
        <v>19450</v>
      </c>
      <c r="M31" s="3"/>
      <c r="N31" s="3"/>
      <c r="O31" s="3" t="s">
        <v>35</v>
      </c>
      <c r="P31" s="3" t="s">
        <v>35</v>
      </c>
      <c r="Q31" s="3" t="str">
        <f t="shared" si="2"/>
        <v>14.1-2019-12-31</v>
      </c>
      <c r="R31" s="3">
        <v>0</v>
      </c>
      <c r="S31" s="3">
        <v>0</v>
      </c>
      <c r="T31" s="3" t="s">
        <v>443</v>
      </c>
      <c r="U31" s="3" t="s">
        <v>37</v>
      </c>
      <c r="V31" s="3" t="s">
        <v>30</v>
      </c>
      <c r="W31" s="3" t="s">
        <v>38</v>
      </c>
      <c r="X31" s="3" t="s">
        <v>39</v>
      </c>
      <c r="Y31" s="3" t="s">
        <v>40</v>
      </c>
      <c r="Z31" s="3" t="s">
        <v>86</v>
      </c>
      <c r="AA31" s="3" t="s">
        <v>339</v>
      </c>
      <c r="AB31" s="3" t="s">
        <v>78</v>
      </c>
      <c r="AC31" s="3" t="s">
        <v>31</v>
      </c>
      <c r="AD31" s="3">
        <v>0</v>
      </c>
    </row>
    <row r="32" spans="1:30" x14ac:dyDescent="0.3">
      <c r="A32" s="3" t="s">
        <v>587</v>
      </c>
      <c r="B32" s="3" t="s">
        <v>353</v>
      </c>
      <c r="C32" s="3" t="s">
        <v>186</v>
      </c>
      <c r="D32" s="3" t="s">
        <v>31</v>
      </c>
      <c r="E32" s="3" t="s">
        <v>32</v>
      </c>
      <c r="F32" s="12">
        <v>44012</v>
      </c>
      <c r="G32" s="3">
        <f t="shared" si="4"/>
        <v>2020</v>
      </c>
      <c r="H32" s="3" t="str">
        <f t="shared" si="5"/>
        <v>Junio</v>
      </c>
      <c r="I32" s="3" t="str">
        <f t="shared" si="6"/>
        <v>2020-1</v>
      </c>
      <c r="J32" s="3">
        <v>1</v>
      </c>
      <c r="K32" s="3"/>
      <c r="L32" s="11">
        <v>9828</v>
      </c>
      <c r="M32" s="3"/>
      <c r="N32" s="3"/>
      <c r="O32" s="3" t="s">
        <v>35</v>
      </c>
      <c r="P32" s="3" t="s">
        <v>35</v>
      </c>
      <c r="Q32" s="3" t="str">
        <f t="shared" si="2"/>
        <v>14.1-2020-06-30</v>
      </c>
      <c r="R32" s="3">
        <v>0</v>
      </c>
      <c r="S32" s="3">
        <v>0</v>
      </c>
      <c r="T32" s="3" t="s">
        <v>31</v>
      </c>
      <c r="U32" s="3" t="s">
        <v>37</v>
      </c>
      <c r="V32" s="3" t="s">
        <v>30</v>
      </c>
      <c r="W32" s="3" t="s">
        <v>38</v>
      </c>
      <c r="X32" s="3" t="s">
        <v>39</v>
      </c>
      <c r="Y32" s="3" t="s">
        <v>40</v>
      </c>
      <c r="Z32" s="3" t="s">
        <v>86</v>
      </c>
      <c r="AA32" s="3" t="s">
        <v>339</v>
      </c>
      <c r="AB32" s="3" t="s">
        <v>78</v>
      </c>
      <c r="AC32" s="3" t="s">
        <v>31</v>
      </c>
      <c r="AD32" s="3">
        <v>0</v>
      </c>
    </row>
    <row r="33" spans="1:30" x14ac:dyDescent="0.3">
      <c r="A33" s="3" t="s">
        <v>587</v>
      </c>
      <c r="B33" s="3" t="s">
        <v>353</v>
      </c>
      <c r="C33" s="3" t="s">
        <v>186</v>
      </c>
      <c r="D33" s="3" t="s">
        <v>31</v>
      </c>
      <c r="E33" s="3" t="s">
        <v>32</v>
      </c>
      <c r="F33" s="12">
        <v>44196</v>
      </c>
      <c r="G33" s="3">
        <f t="shared" si="4"/>
        <v>2020</v>
      </c>
      <c r="H33" s="3" t="str">
        <f t="shared" si="5"/>
        <v>Diciembre</v>
      </c>
      <c r="I33" s="3" t="str">
        <f t="shared" si="6"/>
        <v>2020-2</v>
      </c>
      <c r="J33" s="3">
        <v>2</v>
      </c>
      <c r="K33" s="3"/>
      <c r="L33" s="11">
        <v>7748</v>
      </c>
      <c r="M33" s="3"/>
      <c r="N33" s="3"/>
      <c r="O33" s="3" t="s">
        <v>35</v>
      </c>
      <c r="P33" s="3" t="s">
        <v>35</v>
      </c>
      <c r="Q33" s="3" t="str">
        <f t="shared" si="2"/>
        <v>14.1-2020-12-31</v>
      </c>
      <c r="R33" s="3">
        <v>0</v>
      </c>
      <c r="S33" s="3">
        <v>0</v>
      </c>
      <c r="T33" s="3" t="s">
        <v>31</v>
      </c>
      <c r="U33" s="3" t="s">
        <v>37</v>
      </c>
      <c r="V33" s="3" t="s">
        <v>30</v>
      </c>
      <c r="W33" s="3" t="s">
        <v>38</v>
      </c>
      <c r="X33" s="3" t="s">
        <v>39</v>
      </c>
      <c r="Y33" s="3" t="s">
        <v>40</v>
      </c>
      <c r="Z33" s="3" t="s">
        <v>86</v>
      </c>
      <c r="AA33" s="3" t="s">
        <v>339</v>
      </c>
      <c r="AB33" s="3" t="s">
        <v>78</v>
      </c>
      <c r="AC33" s="3" t="s">
        <v>31</v>
      </c>
      <c r="AD33" s="3">
        <v>0</v>
      </c>
    </row>
    <row r="34" spans="1:30" x14ac:dyDescent="0.3">
      <c r="A34" s="3" t="s">
        <v>587</v>
      </c>
      <c r="B34" s="3" t="s">
        <v>353</v>
      </c>
      <c r="C34" s="3" t="s">
        <v>186</v>
      </c>
      <c r="D34" s="3" t="s">
        <v>31</v>
      </c>
      <c r="E34" s="3" t="s">
        <v>32</v>
      </c>
      <c r="F34" s="12">
        <v>44196</v>
      </c>
      <c r="G34" s="3">
        <f t="shared" si="4"/>
        <v>2020</v>
      </c>
      <c r="H34" s="3" t="str">
        <f t="shared" si="5"/>
        <v>Diciembre</v>
      </c>
      <c r="I34" s="3" t="str">
        <f t="shared" si="6"/>
        <v>2020-2</v>
      </c>
      <c r="J34" s="3"/>
      <c r="K34" s="3"/>
      <c r="L34" s="3">
        <v>17576</v>
      </c>
      <c r="M34" s="3"/>
      <c r="N34" s="3"/>
      <c r="O34" s="3" t="s">
        <v>35</v>
      </c>
      <c r="P34" s="3" t="s">
        <v>35</v>
      </c>
      <c r="Q34" s="3" t="str">
        <f t="shared" si="2"/>
        <v>14.1-2020-12-31</v>
      </c>
      <c r="R34" s="3">
        <v>0</v>
      </c>
      <c r="S34" s="3">
        <v>0</v>
      </c>
      <c r="T34" s="3" t="s">
        <v>443</v>
      </c>
      <c r="U34" s="3" t="s">
        <v>37</v>
      </c>
      <c r="V34" s="3" t="s">
        <v>30</v>
      </c>
      <c r="W34" s="3" t="s">
        <v>38</v>
      </c>
      <c r="X34" s="3" t="s">
        <v>39</v>
      </c>
      <c r="Y34" s="3" t="s">
        <v>40</v>
      </c>
      <c r="Z34" s="3" t="s">
        <v>86</v>
      </c>
      <c r="AA34" s="3" t="s">
        <v>339</v>
      </c>
      <c r="AB34" s="3" t="s">
        <v>78</v>
      </c>
      <c r="AC34" s="3" t="s">
        <v>31</v>
      </c>
      <c r="AD34" s="3">
        <v>0</v>
      </c>
    </row>
    <row r="35" spans="1:30" x14ac:dyDescent="0.3">
      <c r="A35" s="3" t="s">
        <v>587</v>
      </c>
      <c r="B35" s="3" t="s">
        <v>353</v>
      </c>
      <c r="C35" s="3" t="s">
        <v>186</v>
      </c>
      <c r="D35" s="3" t="s">
        <v>31</v>
      </c>
      <c r="E35" s="3" t="s">
        <v>32</v>
      </c>
      <c r="F35" s="12">
        <v>44377</v>
      </c>
      <c r="G35" s="3">
        <f t="shared" si="4"/>
        <v>2021</v>
      </c>
      <c r="H35" s="3" t="str">
        <f t="shared" si="5"/>
        <v>Junio</v>
      </c>
      <c r="I35" s="3" t="str">
        <f t="shared" si="6"/>
        <v>2021-1</v>
      </c>
      <c r="J35" s="3">
        <v>1</v>
      </c>
      <c r="K35" s="3"/>
      <c r="L35" s="11">
        <v>8125</v>
      </c>
      <c r="M35" s="3"/>
      <c r="N35" s="3"/>
      <c r="O35" s="3" t="s">
        <v>35</v>
      </c>
      <c r="P35" s="3" t="s">
        <v>35</v>
      </c>
      <c r="Q35" s="3" t="str">
        <f t="shared" si="2"/>
        <v>14.1-2021-06-30</v>
      </c>
      <c r="R35" s="3">
        <v>0</v>
      </c>
      <c r="S35" s="3">
        <v>0</v>
      </c>
      <c r="T35" s="3" t="s">
        <v>31</v>
      </c>
      <c r="U35" s="3" t="s">
        <v>37</v>
      </c>
      <c r="V35" s="3" t="s">
        <v>30</v>
      </c>
      <c r="W35" s="3" t="s">
        <v>38</v>
      </c>
      <c r="X35" s="3" t="s">
        <v>39</v>
      </c>
      <c r="Y35" s="3" t="s">
        <v>40</v>
      </c>
      <c r="Z35" s="3" t="s">
        <v>86</v>
      </c>
      <c r="AA35" s="3" t="s">
        <v>339</v>
      </c>
      <c r="AB35" s="3" t="s">
        <v>78</v>
      </c>
      <c r="AC35" s="3" t="s">
        <v>31</v>
      </c>
      <c r="AD35" s="3">
        <v>0</v>
      </c>
    </row>
    <row r="36" spans="1:30" x14ac:dyDescent="0.3">
      <c r="A36" s="3" t="s">
        <v>587</v>
      </c>
      <c r="B36" s="3" t="s">
        <v>353</v>
      </c>
      <c r="C36" s="3" t="s">
        <v>186</v>
      </c>
      <c r="D36" s="3" t="s">
        <v>31</v>
      </c>
      <c r="E36" s="3" t="s">
        <v>32</v>
      </c>
      <c r="F36" s="12">
        <v>44561</v>
      </c>
      <c r="G36" s="3">
        <f t="shared" si="4"/>
        <v>2021</v>
      </c>
      <c r="H36" s="3" t="str">
        <f t="shared" si="5"/>
        <v>Diciembre</v>
      </c>
      <c r="I36" s="3" t="str">
        <f t="shared" si="6"/>
        <v>2021-2</v>
      </c>
      <c r="J36" s="3">
        <v>2</v>
      </c>
      <c r="K36" s="3"/>
      <c r="L36" s="11">
        <v>7626</v>
      </c>
      <c r="M36" s="3"/>
      <c r="N36" s="3"/>
      <c r="O36" s="3" t="s">
        <v>35</v>
      </c>
      <c r="P36" s="3" t="s">
        <v>35</v>
      </c>
      <c r="Q36" s="3" t="str">
        <f t="shared" si="2"/>
        <v>14.1-2021-12-31</v>
      </c>
      <c r="R36" s="3">
        <v>0</v>
      </c>
      <c r="S36" s="3">
        <v>0</v>
      </c>
      <c r="T36" s="3" t="s">
        <v>31</v>
      </c>
      <c r="U36" s="3" t="s">
        <v>37</v>
      </c>
      <c r="V36" s="3" t="s">
        <v>30</v>
      </c>
      <c r="W36" s="3" t="s">
        <v>38</v>
      </c>
      <c r="X36" s="3" t="s">
        <v>39</v>
      </c>
      <c r="Y36" s="3" t="s">
        <v>40</v>
      </c>
      <c r="Z36" s="3" t="s">
        <v>86</v>
      </c>
      <c r="AA36" s="3" t="s">
        <v>339</v>
      </c>
      <c r="AB36" s="3" t="s">
        <v>78</v>
      </c>
      <c r="AC36" s="3" t="s">
        <v>31</v>
      </c>
      <c r="AD36" s="3">
        <v>0</v>
      </c>
    </row>
    <row r="37" spans="1:30" x14ac:dyDescent="0.3">
      <c r="A37" s="3" t="s">
        <v>587</v>
      </c>
      <c r="B37" s="3" t="s">
        <v>353</v>
      </c>
      <c r="C37" s="3" t="s">
        <v>186</v>
      </c>
      <c r="D37" s="3" t="s">
        <v>31</v>
      </c>
      <c r="E37" s="3" t="s">
        <v>32</v>
      </c>
      <c r="F37" s="12">
        <v>44561</v>
      </c>
      <c r="G37" s="3">
        <f t="shared" si="4"/>
        <v>2021</v>
      </c>
      <c r="H37" s="3" t="str">
        <f t="shared" si="5"/>
        <v>Diciembre</v>
      </c>
      <c r="I37" s="3" t="str">
        <f t="shared" si="6"/>
        <v>2021-2</v>
      </c>
      <c r="J37" s="3"/>
      <c r="K37" s="3"/>
      <c r="L37" s="3">
        <v>15751</v>
      </c>
      <c r="M37" s="3"/>
      <c r="N37" s="3"/>
      <c r="O37" s="3" t="s">
        <v>35</v>
      </c>
      <c r="P37" s="3" t="s">
        <v>35</v>
      </c>
      <c r="Q37" s="3" t="str">
        <f t="shared" si="2"/>
        <v>14.1-2021-12-31</v>
      </c>
      <c r="R37" s="3">
        <v>0</v>
      </c>
      <c r="S37" s="3">
        <v>0</v>
      </c>
      <c r="T37" s="3" t="s">
        <v>443</v>
      </c>
      <c r="U37" s="3" t="s">
        <v>37</v>
      </c>
      <c r="V37" s="3" t="s">
        <v>30</v>
      </c>
      <c r="W37" s="3" t="s">
        <v>38</v>
      </c>
      <c r="X37" s="3" t="s">
        <v>39</v>
      </c>
      <c r="Y37" s="3" t="s">
        <v>40</v>
      </c>
      <c r="Z37" s="3" t="s">
        <v>86</v>
      </c>
      <c r="AA37" s="3" t="s">
        <v>339</v>
      </c>
      <c r="AB37" s="3" t="s">
        <v>78</v>
      </c>
      <c r="AC37" s="3" t="s">
        <v>31</v>
      </c>
      <c r="AD37" s="3">
        <v>0</v>
      </c>
    </row>
    <row r="38" spans="1:30" x14ac:dyDescent="0.3">
      <c r="A38" s="3" t="s">
        <v>587</v>
      </c>
      <c r="B38" s="3" t="s">
        <v>353</v>
      </c>
      <c r="C38" s="3" t="s">
        <v>30</v>
      </c>
      <c r="D38" s="3" t="s">
        <v>31</v>
      </c>
      <c r="E38" s="3" t="s">
        <v>32</v>
      </c>
      <c r="F38" s="12">
        <v>44742</v>
      </c>
      <c r="G38" s="3">
        <v>2022</v>
      </c>
      <c r="H38" s="3" t="s">
        <v>33</v>
      </c>
      <c r="I38" s="3" t="s">
        <v>34</v>
      </c>
      <c r="J38" s="3">
        <v>1</v>
      </c>
      <c r="K38" s="3">
        <v>7541</v>
      </c>
      <c r="L38" s="3">
        <v>7651</v>
      </c>
      <c r="M38" s="3">
        <v>1.0145869248110331</v>
      </c>
      <c r="N38" s="3">
        <v>1.0145869248110331</v>
      </c>
      <c r="O38" s="3" t="s">
        <v>35</v>
      </c>
      <c r="P38" s="3" t="s">
        <v>35</v>
      </c>
      <c r="Q38" s="3" t="str">
        <f t="shared" si="2"/>
        <v>14.1-2022-06-30</v>
      </c>
      <c r="R38" s="3">
        <v>0</v>
      </c>
      <c r="S38" s="3">
        <v>0</v>
      </c>
      <c r="T38" s="3" t="s">
        <v>31</v>
      </c>
      <c r="U38" s="3" t="s">
        <v>37</v>
      </c>
      <c r="V38" s="3" t="s">
        <v>30</v>
      </c>
      <c r="W38" s="3" t="s">
        <v>38</v>
      </c>
      <c r="X38" s="3" t="s">
        <v>39</v>
      </c>
      <c r="Y38" s="3" t="s">
        <v>40</v>
      </c>
      <c r="Z38" s="3" t="s">
        <v>86</v>
      </c>
      <c r="AA38" s="3" t="s">
        <v>339</v>
      </c>
      <c r="AB38" s="3" t="s">
        <v>78</v>
      </c>
      <c r="AC38" s="3" t="s">
        <v>31</v>
      </c>
      <c r="AD38" s="3">
        <v>0</v>
      </c>
    </row>
    <row r="39" spans="1:30" x14ac:dyDescent="0.3">
      <c r="A39" s="3" t="s">
        <v>587</v>
      </c>
      <c r="B39" s="3" t="s">
        <v>353</v>
      </c>
      <c r="C39" s="3" t="s">
        <v>30</v>
      </c>
      <c r="D39" s="3" t="s">
        <v>31</v>
      </c>
      <c r="E39" s="3" t="s">
        <v>32</v>
      </c>
      <c r="F39" s="12">
        <v>44926</v>
      </c>
      <c r="G39" s="3">
        <v>2022</v>
      </c>
      <c r="H39" s="3" t="s">
        <v>44</v>
      </c>
      <c r="I39" s="3" t="s">
        <v>45</v>
      </c>
      <c r="J39" s="3">
        <v>2</v>
      </c>
      <c r="K39" s="3">
        <v>6730</v>
      </c>
      <c r="L39" s="3">
        <v>7539</v>
      </c>
      <c r="M39" s="3">
        <v>1.1202080237741461</v>
      </c>
      <c r="N39" s="3">
        <v>1.1202080237741461</v>
      </c>
      <c r="O39" s="3" t="s">
        <v>35</v>
      </c>
      <c r="P39" s="3" t="s">
        <v>35</v>
      </c>
      <c r="Q39" s="3" t="str">
        <f t="shared" si="2"/>
        <v>14.1-2022-12-31</v>
      </c>
      <c r="R39" s="3">
        <v>0</v>
      </c>
      <c r="S39" s="3">
        <v>0</v>
      </c>
      <c r="T39" s="3" t="s">
        <v>31</v>
      </c>
      <c r="U39" s="3" t="s">
        <v>37</v>
      </c>
      <c r="V39" s="3" t="s">
        <v>30</v>
      </c>
      <c r="W39" s="3" t="s">
        <v>38</v>
      </c>
      <c r="X39" s="3" t="s">
        <v>39</v>
      </c>
      <c r="Y39" s="3" t="s">
        <v>40</v>
      </c>
      <c r="Z39" s="3" t="s">
        <v>86</v>
      </c>
      <c r="AA39" s="3" t="s">
        <v>339</v>
      </c>
      <c r="AB39" s="3" t="s">
        <v>78</v>
      </c>
      <c r="AC39" s="3" t="s">
        <v>31</v>
      </c>
      <c r="AD39" s="3">
        <v>0</v>
      </c>
    </row>
    <row r="40" spans="1:30" x14ac:dyDescent="0.3">
      <c r="A40" s="3" t="s">
        <v>587</v>
      </c>
      <c r="B40" s="3" t="s">
        <v>353</v>
      </c>
      <c r="C40" s="3" t="s">
        <v>186</v>
      </c>
      <c r="D40" s="3" t="s">
        <v>31</v>
      </c>
      <c r="E40" s="3" t="s">
        <v>32</v>
      </c>
      <c r="F40" s="12">
        <v>44926</v>
      </c>
      <c r="G40" s="3">
        <v>2022</v>
      </c>
      <c r="H40" s="3" t="s">
        <v>44</v>
      </c>
      <c r="I40" s="3" t="s">
        <v>45</v>
      </c>
      <c r="J40" s="3"/>
      <c r="K40" s="3">
        <v>14271</v>
      </c>
      <c r="L40" s="3">
        <v>15190</v>
      </c>
      <c r="M40" s="3">
        <v>1.0643963282180651</v>
      </c>
      <c r="N40" s="3">
        <v>1.0643963282180651</v>
      </c>
      <c r="O40" s="3" t="s">
        <v>35</v>
      </c>
      <c r="P40" s="3" t="s">
        <v>35</v>
      </c>
      <c r="Q40" s="3" t="str">
        <f t="shared" si="2"/>
        <v>14.1-2022-12-31</v>
      </c>
      <c r="R40" s="3">
        <v>0</v>
      </c>
      <c r="S40" s="3">
        <v>0</v>
      </c>
      <c r="T40" s="3" t="s">
        <v>443</v>
      </c>
      <c r="U40" s="3" t="s">
        <v>37</v>
      </c>
      <c r="V40" s="3" t="s">
        <v>30</v>
      </c>
      <c r="W40" s="3" t="s">
        <v>38</v>
      </c>
      <c r="X40" s="3" t="s">
        <v>39</v>
      </c>
      <c r="Y40" s="3" t="s">
        <v>40</v>
      </c>
      <c r="Z40" s="3" t="s">
        <v>86</v>
      </c>
      <c r="AA40" s="3" t="s">
        <v>339</v>
      </c>
      <c r="AB40" s="3" t="s">
        <v>78</v>
      </c>
      <c r="AC40" s="3" t="s">
        <v>31</v>
      </c>
      <c r="AD40" s="3">
        <v>0</v>
      </c>
    </row>
    <row r="41" spans="1:30" x14ac:dyDescent="0.3">
      <c r="A41" s="3" t="s">
        <v>587</v>
      </c>
      <c r="B41" s="3" t="s">
        <v>353</v>
      </c>
      <c r="C41" s="3" t="s">
        <v>30</v>
      </c>
      <c r="D41" s="3" t="s">
        <v>31</v>
      </c>
      <c r="E41" s="3" t="s">
        <v>32</v>
      </c>
      <c r="F41" s="12">
        <v>45107</v>
      </c>
      <c r="G41" s="3">
        <v>2023</v>
      </c>
      <c r="H41" s="3" t="s">
        <v>33</v>
      </c>
      <c r="I41" s="3" t="s">
        <v>47</v>
      </c>
      <c r="J41" s="3">
        <v>1</v>
      </c>
      <c r="K41" s="3">
        <v>7822</v>
      </c>
      <c r="L41" s="3">
        <v>7912</v>
      </c>
      <c r="M41" s="3">
        <v>1.0115060086934291</v>
      </c>
      <c r="N41" s="3">
        <v>1.0115060086934291</v>
      </c>
      <c r="O41" s="3" t="s">
        <v>35</v>
      </c>
      <c r="P41" s="3" t="s">
        <v>35</v>
      </c>
      <c r="Q41" s="3" t="str">
        <f t="shared" si="2"/>
        <v>14.1-2023-06-30</v>
      </c>
      <c r="R41" s="3">
        <v>0</v>
      </c>
      <c r="S41" s="3">
        <v>0</v>
      </c>
      <c r="T41" s="3" t="s">
        <v>31</v>
      </c>
      <c r="U41" s="3" t="s">
        <v>37</v>
      </c>
      <c r="V41" s="3" t="s">
        <v>30</v>
      </c>
      <c r="W41" s="3" t="s">
        <v>38</v>
      </c>
      <c r="X41" s="3" t="s">
        <v>39</v>
      </c>
      <c r="Y41" s="3" t="s">
        <v>40</v>
      </c>
      <c r="Z41" s="3" t="s">
        <v>86</v>
      </c>
      <c r="AA41" s="3" t="s">
        <v>339</v>
      </c>
      <c r="AB41" s="3" t="s">
        <v>78</v>
      </c>
      <c r="AC41" s="3" t="s">
        <v>31</v>
      </c>
      <c r="AD41" s="3">
        <v>0</v>
      </c>
    </row>
    <row r="42" spans="1:30" x14ac:dyDescent="0.3">
      <c r="A42" s="3" t="s">
        <v>587</v>
      </c>
      <c r="B42" s="3" t="s">
        <v>353</v>
      </c>
      <c r="C42" s="3" t="s">
        <v>186</v>
      </c>
      <c r="D42" s="3" t="s">
        <v>31</v>
      </c>
      <c r="E42" s="3" t="s">
        <v>32</v>
      </c>
      <c r="F42" s="12">
        <v>45291</v>
      </c>
      <c r="G42" s="3">
        <v>2023</v>
      </c>
      <c r="H42" s="3" t="s">
        <v>44</v>
      </c>
      <c r="I42" s="3" t="s">
        <v>49</v>
      </c>
      <c r="J42" s="3">
        <v>2</v>
      </c>
      <c r="K42" s="3">
        <v>7620</v>
      </c>
      <c r="L42" s="3">
        <v>8066</v>
      </c>
      <c r="M42" s="3">
        <v>1.058530183727034</v>
      </c>
      <c r="N42" s="3">
        <v>1.058530183727034</v>
      </c>
      <c r="O42" s="3" t="s">
        <v>35</v>
      </c>
      <c r="P42" s="3" t="s">
        <v>35</v>
      </c>
      <c r="Q42" s="3" t="str">
        <f t="shared" si="2"/>
        <v>14.1-2023-12-31</v>
      </c>
      <c r="R42" s="3">
        <v>0</v>
      </c>
      <c r="S42" s="3">
        <v>0</v>
      </c>
      <c r="T42" s="3" t="s">
        <v>31</v>
      </c>
      <c r="U42" s="3" t="s">
        <v>37</v>
      </c>
      <c r="V42" s="3" t="s">
        <v>30</v>
      </c>
      <c r="W42" s="3" t="s">
        <v>38</v>
      </c>
      <c r="X42" s="3" t="s">
        <v>39</v>
      </c>
      <c r="Y42" s="3" t="s">
        <v>40</v>
      </c>
      <c r="Z42" s="3" t="s">
        <v>86</v>
      </c>
      <c r="AA42" s="3" t="s">
        <v>339</v>
      </c>
      <c r="AB42" s="3" t="s">
        <v>78</v>
      </c>
      <c r="AC42" s="3" t="s">
        <v>31</v>
      </c>
      <c r="AD42" s="3">
        <v>0</v>
      </c>
    </row>
    <row r="43" spans="1:30" x14ac:dyDescent="0.3">
      <c r="A43" s="3" t="s">
        <v>587</v>
      </c>
      <c r="B43" s="3" t="s">
        <v>353</v>
      </c>
      <c r="C43" s="3" t="s">
        <v>186</v>
      </c>
      <c r="D43" s="3" t="s">
        <v>31</v>
      </c>
      <c r="E43" s="3" t="s">
        <v>32</v>
      </c>
      <c r="F43" s="12">
        <v>45291</v>
      </c>
      <c r="G43" s="3">
        <v>2023</v>
      </c>
      <c r="H43" s="3" t="s">
        <v>44</v>
      </c>
      <c r="I43" s="3" t="s">
        <v>49</v>
      </c>
      <c r="J43" s="3"/>
      <c r="K43" s="3">
        <v>15442</v>
      </c>
      <c r="L43" s="3">
        <v>15978</v>
      </c>
      <c r="M43" s="3">
        <v>1.034710529724129</v>
      </c>
      <c r="N43" s="3">
        <v>1.034710529724129</v>
      </c>
      <c r="O43" s="3" t="s">
        <v>35</v>
      </c>
      <c r="P43" s="3" t="s">
        <v>35</v>
      </c>
      <c r="Q43" s="3" t="str">
        <f t="shared" si="2"/>
        <v>14.1-2023-12-31</v>
      </c>
      <c r="R43" s="3">
        <v>0</v>
      </c>
      <c r="S43" s="3">
        <v>0</v>
      </c>
      <c r="T43" s="3" t="s">
        <v>443</v>
      </c>
      <c r="U43" s="3" t="s">
        <v>37</v>
      </c>
      <c r="V43" s="3" t="s">
        <v>30</v>
      </c>
      <c r="W43" s="3" t="s">
        <v>38</v>
      </c>
      <c r="X43" s="3" t="s">
        <v>39</v>
      </c>
      <c r="Y43" s="3" t="s">
        <v>40</v>
      </c>
      <c r="Z43" s="3" t="s">
        <v>86</v>
      </c>
      <c r="AA43" s="3" t="s">
        <v>339</v>
      </c>
      <c r="AB43" s="3" t="s">
        <v>78</v>
      </c>
      <c r="AC43" s="3" t="s">
        <v>31</v>
      </c>
      <c r="AD43" s="3">
        <v>0</v>
      </c>
    </row>
    <row r="44" spans="1:30" x14ac:dyDescent="0.3">
      <c r="A44" s="3" t="s">
        <v>587</v>
      </c>
      <c r="B44" s="3" t="s">
        <v>353</v>
      </c>
      <c r="C44" s="3" t="s">
        <v>186</v>
      </c>
      <c r="D44" s="3" t="s">
        <v>31</v>
      </c>
      <c r="E44" s="3" t="s">
        <v>32</v>
      </c>
      <c r="F44" s="12">
        <v>45473</v>
      </c>
      <c r="G44" s="3">
        <v>2024</v>
      </c>
      <c r="H44" s="3" t="s">
        <v>33</v>
      </c>
      <c r="I44" s="3" t="s">
        <v>51</v>
      </c>
      <c r="J44" s="3">
        <v>1</v>
      </c>
      <c r="K44" s="3">
        <v>8168</v>
      </c>
      <c r="L44" s="3">
        <v>8424</v>
      </c>
      <c r="M44" s="3">
        <v>1.031341821743389</v>
      </c>
      <c r="N44" s="3">
        <v>1.031341821743389</v>
      </c>
      <c r="O44" s="3" t="s">
        <v>35</v>
      </c>
      <c r="P44" s="3" t="s">
        <v>35</v>
      </c>
      <c r="Q44" s="3" t="str">
        <f t="shared" si="2"/>
        <v>14.1-2024-06-30</v>
      </c>
      <c r="R44" s="3">
        <v>0</v>
      </c>
      <c r="S44" s="3">
        <v>0</v>
      </c>
      <c r="T44" s="3" t="s">
        <v>31</v>
      </c>
      <c r="U44" s="3" t="s">
        <v>37</v>
      </c>
      <c r="V44" s="3" t="s">
        <v>30</v>
      </c>
      <c r="W44" s="3" t="s">
        <v>38</v>
      </c>
      <c r="X44" s="3" t="s">
        <v>39</v>
      </c>
      <c r="Y44" s="3" t="s">
        <v>40</v>
      </c>
      <c r="Z44" s="3" t="s">
        <v>86</v>
      </c>
      <c r="AA44" s="3" t="s">
        <v>339</v>
      </c>
      <c r="AB44" s="3" t="s">
        <v>78</v>
      </c>
      <c r="AC44" s="3" t="s">
        <v>31</v>
      </c>
      <c r="AD44" s="3">
        <v>0</v>
      </c>
    </row>
    <row r="45" spans="1:30" x14ac:dyDescent="0.3">
      <c r="A45" s="3" t="s">
        <v>587</v>
      </c>
      <c r="B45" s="3" t="s">
        <v>353</v>
      </c>
      <c r="C45" s="3" t="s">
        <v>186</v>
      </c>
      <c r="D45" s="3" t="s">
        <v>31</v>
      </c>
      <c r="E45" s="3" t="s">
        <v>32</v>
      </c>
      <c r="F45" s="12">
        <v>45657</v>
      </c>
      <c r="G45" s="3">
        <v>2024</v>
      </c>
      <c r="H45" s="3" t="s">
        <v>44</v>
      </c>
      <c r="I45" s="3" t="s">
        <v>53</v>
      </c>
      <c r="J45" s="3">
        <v>2</v>
      </c>
      <c r="K45" s="3">
        <v>7912</v>
      </c>
      <c r="L45" s="3">
        <v>8165</v>
      </c>
      <c r="M45" s="3">
        <v>1.031976744186047</v>
      </c>
      <c r="N45" s="3">
        <v>1.031976744186047</v>
      </c>
      <c r="O45" s="3" t="s">
        <v>35</v>
      </c>
      <c r="P45" s="3" t="s">
        <v>35</v>
      </c>
      <c r="Q45" s="3" t="str">
        <f t="shared" si="2"/>
        <v>14.1-2024-12-31</v>
      </c>
      <c r="R45" s="3">
        <v>0</v>
      </c>
      <c r="S45" s="3">
        <v>0</v>
      </c>
      <c r="T45" s="3" t="s">
        <v>31</v>
      </c>
      <c r="U45" s="3" t="s">
        <v>37</v>
      </c>
      <c r="V45" s="3" t="s">
        <v>30</v>
      </c>
      <c r="W45" s="3" t="s">
        <v>38</v>
      </c>
      <c r="X45" s="3" t="s">
        <v>39</v>
      </c>
      <c r="Y45" s="3" t="s">
        <v>40</v>
      </c>
      <c r="Z45" s="3" t="s">
        <v>86</v>
      </c>
      <c r="AA45" s="3" t="s">
        <v>339</v>
      </c>
      <c r="AB45" s="3" t="s">
        <v>78</v>
      </c>
      <c r="AC45" s="3" t="s">
        <v>31</v>
      </c>
      <c r="AD45" s="3">
        <v>0</v>
      </c>
    </row>
    <row r="46" spans="1:30" x14ac:dyDescent="0.3">
      <c r="A46" s="3" t="s">
        <v>587</v>
      </c>
      <c r="B46" s="3" t="s">
        <v>353</v>
      </c>
      <c r="C46" s="3" t="s">
        <v>186</v>
      </c>
      <c r="D46" s="3" t="s">
        <v>31</v>
      </c>
      <c r="E46" s="3" t="s">
        <v>32</v>
      </c>
      <c r="F46" s="12">
        <v>45657</v>
      </c>
      <c r="G46" s="3">
        <v>2024</v>
      </c>
      <c r="H46" s="3" t="s">
        <v>44</v>
      </c>
      <c r="I46" s="3" t="s">
        <v>53</v>
      </c>
      <c r="J46" s="3"/>
      <c r="K46" s="3">
        <v>16080</v>
      </c>
      <c r="L46" s="3">
        <v>16589</v>
      </c>
      <c r="M46" s="3">
        <v>1.0316542288557209</v>
      </c>
      <c r="N46" s="3">
        <v>1.0316542288557209</v>
      </c>
      <c r="O46" s="3" t="s">
        <v>35</v>
      </c>
      <c r="P46" s="3" t="s">
        <v>35</v>
      </c>
      <c r="Q46" s="3" t="str">
        <f t="shared" si="2"/>
        <v>14.1-2024-12-31</v>
      </c>
      <c r="R46" s="3">
        <v>0</v>
      </c>
      <c r="S46" s="3">
        <v>0</v>
      </c>
      <c r="T46" s="3" t="s">
        <v>443</v>
      </c>
      <c r="U46" s="3" t="s">
        <v>37</v>
      </c>
      <c r="V46" s="3" t="s">
        <v>30</v>
      </c>
      <c r="W46" s="3" t="s">
        <v>38</v>
      </c>
      <c r="X46" s="3" t="s">
        <v>39</v>
      </c>
      <c r="Y46" s="3" t="s">
        <v>40</v>
      </c>
      <c r="Z46" s="3" t="s">
        <v>86</v>
      </c>
      <c r="AA46" s="3" t="s">
        <v>339</v>
      </c>
      <c r="AB46" s="3" t="s">
        <v>78</v>
      </c>
      <c r="AC46" s="3" t="s">
        <v>31</v>
      </c>
      <c r="AD46" s="3">
        <v>0</v>
      </c>
    </row>
    <row r="47" spans="1:30" x14ac:dyDescent="0.3">
      <c r="A47" s="3" t="s">
        <v>587</v>
      </c>
      <c r="B47" s="3" t="s">
        <v>353</v>
      </c>
      <c r="C47" s="3" t="s">
        <v>186</v>
      </c>
      <c r="D47" s="3" t="s">
        <v>31</v>
      </c>
      <c r="E47" s="3" t="s">
        <v>32</v>
      </c>
      <c r="F47" s="12">
        <v>45838</v>
      </c>
      <c r="G47" s="3">
        <v>2025</v>
      </c>
      <c r="H47" s="3" t="s">
        <v>33</v>
      </c>
      <c r="I47" s="3" t="s">
        <v>404</v>
      </c>
      <c r="J47" s="3">
        <v>1</v>
      </c>
      <c r="K47" s="3">
        <v>8471</v>
      </c>
      <c r="L47" s="3">
        <v>8743</v>
      </c>
      <c r="M47" s="3">
        <f>+L47/K47</f>
        <v>1.0321095502301971</v>
      </c>
      <c r="N47" s="3">
        <v>1.0321095502301969</v>
      </c>
      <c r="O47" s="3" t="s">
        <v>35</v>
      </c>
      <c r="P47" s="3" t="s">
        <v>35</v>
      </c>
      <c r="Q47" s="3" t="str">
        <f t="shared" si="2"/>
        <v>14.1-2025-06-30</v>
      </c>
      <c r="R47" s="3">
        <v>0</v>
      </c>
      <c r="S47" s="3">
        <v>0</v>
      </c>
      <c r="T47" s="3" t="s">
        <v>31</v>
      </c>
      <c r="U47" s="3" t="s">
        <v>37</v>
      </c>
      <c r="V47" s="3" t="s">
        <v>30</v>
      </c>
      <c r="W47" s="3" t="s">
        <v>38</v>
      </c>
      <c r="X47" s="3" t="s">
        <v>39</v>
      </c>
      <c r="Y47" s="3" t="s">
        <v>40</v>
      </c>
      <c r="Z47" s="3" t="s">
        <v>86</v>
      </c>
      <c r="AA47" s="3" t="s">
        <v>339</v>
      </c>
      <c r="AB47" s="3" t="s">
        <v>78</v>
      </c>
      <c r="AC47" s="3" t="s">
        <v>31</v>
      </c>
      <c r="AD47" s="3">
        <v>0</v>
      </c>
    </row>
    <row r="48" spans="1:30" x14ac:dyDescent="0.3">
      <c r="A48" s="3" t="s">
        <v>587</v>
      </c>
      <c r="B48" s="3" t="s">
        <v>353</v>
      </c>
      <c r="C48" s="3" t="s">
        <v>186</v>
      </c>
      <c r="D48" s="3" t="s">
        <v>31</v>
      </c>
      <c r="E48" s="3" t="s">
        <v>32</v>
      </c>
      <c r="F48" s="12">
        <v>46022</v>
      </c>
      <c r="G48" s="3">
        <v>2025</v>
      </c>
      <c r="H48" s="3" t="s">
        <v>44</v>
      </c>
      <c r="I48" s="3" t="s">
        <v>465</v>
      </c>
      <c r="J48" s="3">
        <v>2</v>
      </c>
      <c r="K48" s="3">
        <v>8510</v>
      </c>
      <c r="L48" s="11">
        <v>8729</v>
      </c>
      <c r="M48" s="3">
        <f>+L48/K48</f>
        <v>1.0257344300822562</v>
      </c>
      <c r="N48" s="3">
        <f>+L48/K48</f>
        <v>1.0257344300822562</v>
      </c>
      <c r="O48" s="3" t="s">
        <v>35</v>
      </c>
      <c r="P48" s="3" t="s">
        <v>35</v>
      </c>
      <c r="Q48" s="3" t="str">
        <f t="shared" si="2"/>
        <v>14.1-2025-12-31</v>
      </c>
      <c r="R48" s="3">
        <v>0</v>
      </c>
      <c r="S48" s="3">
        <v>0</v>
      </c>
      <c r="T48" s="3" t="s">
        <v>31</v>
      </c>
      <c r="U48" s="3" t="s">
        <v>37</v>
      </c>
      <c r="V48" s="3" t="s">
        <v>30</v>
      </c>
      <c r="W48" s="3" t="s">
        <v>38</v>
      </c>
      <c r="X48" s="3" t="s">
        <v>39</v>
      </c>
      <c r="Y48" s="3" t="s">
        <v>40</v>
      </c>
      <c r="Z48" s="3" t="s">
        <v>86</v>
      </c>
      <c r="AA48" s="3" t="s">
        <v>339</v>
      </c>
      <c r="AB48" s="3" t="s">
        <v>78</v>
      </c>
      <c r="AC48" s="3" t="s">
        <v>31</v>
      </c>
      <c r="AD48" s="3">
        <v>0</v>
      </c>
    </row>
    <row r="49" spans="1:30" x14ac:dyDescent="0.3">
      <c r="A49" s="3" t="s">
        <v>587</v>
      </c>
      <c r="B49" s="3" t="s">
        <v>353</v>
      </c>
      <c r="C49" s="3" t="s">
        <v>186</v>
      </c>
      <c r="D49" s="3" t="s">
        <v>31</v>
      </c>
      <c r="E49" s="3" t="s">
        <v>32</v>
      </c>
      <c r="F49" s="12">
        <v>46022</v>
      </c>
      <c r="G49" s="3">
        <v>2025</v>
      </c>
      <c r="H49" s="3" t="s">
        <v>44</v>
      </c>
      <c r="I49" s="3" t="s">
        <v>465</v>
      </c>
      <c r="J49" s="3"/>
      <c r="K49" s="3">
        <v>16981</v>
      </c>
      <c r="L49" s="3">
        <v>17472</v>
      </c>
      <c r="M49" s="3">
        <f>+L49/K49</f>
        <v>1.0289146693363171</v>
      </c>
      <c r="N49" s="3">
        <f>+L49/K49</f>
        <v>1.0289146693363171</v>
      </c>
      <c r="O49" s="3" t="s">
        <v>35</v>
      </c>
      <c r="P49" s="3" t="s">
        <v>35</v>
      </c>
      <c r="Q49" s="3" t="str">
        <f t="shared" si="2"/>
        <v>14.1-2025-12-31</v>
      </c>
      <c r="R49" s="3">
        <v>0</v>
      </c>
      <c r="S49" s="3">
        <v>0</v>
      </c>
      <c r="T49" s="3" t="s">
        <v>443</v>
      </c>
      <c r="U49" s="3" t="s">
        <v>37</v>
      </c>
      <c r="V49" s="3" t="s">
        <v>30</v>
      </c>
      <c r="W49" s="3" t="s">
        <v>38</v>
      </c>
      <c r="X49" s="3" t="s">
        <v>39</v>
      </c>
      <c r="Y49" s="3" t="s">
        <v>40</v>
      </c>
      <c r="Z49" s="3" t="s">
        <v>86</v>
      </c>
      <c r="AA49" s="3" t="s">
        <v>339</v>
      </c>
      <c r="AB49" s="3" t="s">
        <v>78</v>
      </c>
      <c r="AC49" s="3" t="s">
        <v>31</v>
      </c>
      <c r="AD49" s="3">
        <v>0</v>
      </c>
    </row>
    <row r="50" spans="1:30" x14ac:dyDescent="0.3">
      <c r="A50" s="3" t="s">
        <v>588</v>
      </c>
      <c r="B50" s="3" t="s">
        <v>359</v>
      </c>
      <c r="C50" s="3" t="s">
        <v>30</v>
      </c>
      <c r="D50" s="3" t="s">
        <v>31</v>
      </c>
      <c r="E50" s="3" t="s">
        <v>32</v>
      </c>
      <c r="F50" s="12">
        <v>43281</v>
      </c>
      <c r="G50" s="3">
        <f t="shared" ref="G50:G61" si="7">YEAR(F50)</f>
        <v>2018</v>
      </c>
      <c r="H50" s="3" t="str">
        <f t="shared" ref="H50:H61" si="8">PROPER(TEXT(F50,"mmmm"))</f>
        <v>Junio</v>
      </c>
      <c r="I50" s="3" t="str">
        <f t="shared" ref="I50:I61" si="9">IF(H50="Junio",G50&amp;"-1",G50&amp;"-2")</f>
        <v>2018-1</v>
      </c>
      <c r="J50" s="3">
        <v>1</v>
      </c>
      <c r="K50" s="3"/>
      <c r="L50" s="11">
        <v>39163</v>
      </c>
      <c r="M50" s="3"/>
      <c r="N50" s="3"/>
      <c r="O50" s="3" t="s">
        <v>35</v>
      </c>
      <c r="P50" s="3" t="s">
        <v>35</v>
      </c>
      <c r="Q50" s="3" t="str">
        <f t="shared" si="2"/>
        <v>14.2-2018-06-30</v>
      </c>
      <c r="R50" s="3">
        <v>0</v>
      </c>
      <c r="S50" s="3">
        <v>0</v>
      </c>
      <c r="T50" s="3" t="s">
        <v>31</v>
      </c>
      <c r="U50" s="3" t="s">
        <v>37</v>
      </c>
      <c r="V50" s="3" t="s">
        <v>30</v>
      </c>
      <c r="W50" s="3" t="s">
        <v>38</v>
      </c>
      <c r="X50" s="3" t="s">
        <v>39</v>
      </c>
      <c r="Y50" s="3" t="s">
        <v>40</v>
      </c>
      <c r="Z50" s="3" t="s">
        <v>86</v>
      </c>
      <c r="AA50" s="3" t="s">
        <v>339</v>
      </c>
      <c r="AB50" s="3" t="s">
        <v>78</v>
      </c>
      <c r="AC50" s="3" t="s">
        <v>31</v>
      </c>
      <c r="AD50" s="3">
        <v>0</v>
      </c>
    </row>
    <row r="51" spans="1:30" x14ac:dyDescent="0.3">
      <c r="A51" s="3" t="s">
        <v>588</v>
      </c>
      <c r="B51" s="3" t="s">
        <v>359</v>
      </c>
      <c r="C51" s="3" t="s">
        <v>186</v>
      </c>
      <c r="D51" s="3" t="s">
        <v>31</v>
      </c>
      <c r="E51" s="3" t="s">
        <v>32</v>
      </c>
      <c r="F51" s="12">
        <v>43465</v>
      </c>
      <c r="G51" s="3">
        <f t="shared" si="7"/>
        <v>2018</v>
      </c>
      <c r="H51" s="3" t="str">
        <f t="shared" si="8"/>
        <v>Diciembre</v>
      </c>
      <c r="I51" s="3" t="str">
        <f t="shared" si="9"/>
        <v>2018-2</v>
      </c>
      <c r="J51" s="3">
        <v>2</v>
      </c>
      <c r="K51" s="3"/>
      <c r="L51" s="11">
        <v>40871</v>
      </c>
      <c r="M51" s="3"/>
      <c r="N51" s="3"/>
      <c r="O51" s="3" t="s">
        <v>35</v>
      </c>
      <c r="P51" s="3" t="s">
        <v>35</v>
      </c>
      <c r="Q51" s="3" t="str">
        <f t="shared" si="2"/>
        <v>14.2-2018-12-31</v>
      </c>
      <c r="R51" s="3">
        <v>0</v>
      </c>
      <c r="S51" s="3">
        <v>0</v>
      </c>
      <c r="T51" s="3" t="s">
        <v>31</v>
      </c>
      <c r="U51" s="3" t="s">
        <v>37</v>
      </c>
      <c r="V51" s="3" t="s">
        <v>30</v>
      </c>
      <c r="W51" s="3" t="s">
        <v>38</v>
      </c>
      <c r="X51" s="3" t="s">
        <v>39</v>
      </c>
      <c r="Y51" s="3" t="s">
        <v>40</v>
      </c>
      <c r="Z51" s="3" t="s">
        <v>86</v>
      </c>
      <c r="AA51" s="3" t="s">
        <v>339</v>
      </c>
      <c r="AB51" s="3" t="s">
        <v>78</v>
      </c>
      <c r="AC51" s="3" t="s">
        <v>31</v>
      </c>
      <c r="AD51" s="3">
        <v>0</v>
      </c>
    </row>
    <row r="52" spans="1:30" x14ac:dyDescent="0.3">
      <c r="A52" s="3" t="s">
        <v>588</v>
      </c>
      <c r="B52" s="3" t="s">
        <v>359</v>
      </c>
      <c r="C52" s="3" t="s">
        <v>186</v>
      </c>
      <c r="D52" s="3" t="s">
        <v>31</v>
      </c>
      <c r="E52" s="3" t="s">
        <v>32</v>
      </c>
      <c r="F52" s="12">
        <v>43465</v>
      </c>
      <c r="G52" s="3">
        <f t="shared" si="7"/>
        <v>2018</v>
      </c>
      <c r="H52" s="3" t="str">
        <f t="shared" si="8"/>
        <v>Diciembre</v>
      </c>
      <c r="I52" s="3" t="str">
        <f t="shared" si="9"/>
        <v>2018-2</v>
      </c>
      <c r="J52" s="3"/>
      <c r="K52" s="3"/>
      <c r="L52" s="3">
        <v>80034</v>
      </c>
      <c r="M52" s="3"/>
      <c r="N52" s="3"/>
      <c r="O52" s="3" t="s">
        <v>35</v>
      </c>
      <c r="P52" s="3" t="s">
        <v>35</v>
      </c>
      <c r="Q52" s="3" t="str">
        <f t="shared" si="2"/>
        <v>14.2-2018-12-31</v>
      </c>
      <c r="R52" s="3">
        <v>0</v>
      </c>
      <c r="S52" s="3">
        <v>0</v>
      </c>
      <c r="T52" s="3" t="s">
        <v>443</v>
      </c>
      <c r="U52" s="3" t="s">
        <v>37</v>
      </c>
      <c r="V52" s="3" t="s">
        <v>30</v>
      </c>
      <c r="W52" s="3" t="s">
        <v>38</v>
      </c>
      <c r="X52" s="3" t="s">
        <v>39</v>
      </c>
      <c r="Y52" s="3" t="s">
        <v>40</v>
      </c>
      <c r="Z52" s="3" t="s">
        <v>86</v>
      </c>
      <c r="AA52" s="3" t="s">
        <v>339</v>
      </c>
      <c r="AB52" s="3" t="s">
        <v>78</v>
      </c>
      <c r="AC52" s="3" t="s">
        <v>31</v>
      </c>
      <c r="AD52" s="3">
        <v>0</v>
      </c>
    </row>
    <row r="53" spans="1:30" x14ac:dyDescent="0.3">
      <c r="A53" s="3" t="s">
        <v>588</v>
      </c>
      <c r="B53" s="3" t="s">
        <v>359</v>
      </c>
      <c r="C53" s="3" t="s">
        <v>30</v>
      </c>
      <c r="D53" s="3" t="s">
        <v>31</v>
      </c>
      <c r="E53" s="3" t="s">
        <v>32</v>
      </c>
      <c r="F53" s="12">
        <v>43646</v>
      </c>
      <c r="G53" s="3">
        <f t="shared" si="7"/>
        <v>2019</v>
      </c>
      <c r="H53" s="3" t="str">
        <f t="shared" si="8"/>
        <v>Junio</v>
      </c>
      <c r="I53" s="3" t="str">
        <f t="shared" si="9"/>
        <v>2019-1</v>
      </c>
      <c r="J53" s="3">
        <v>1</v>
      </c>
      <c r="K53" s="3"/>
      <c r="L53" s="11">
        <v>44631</v>
      </c>
      <c r="M53" s="3"/>
      <c r="N53" s="3"/>
      <c r="O53" s="3" t="s">
        <v>35</v>
      </c>
      <c r="P53" s="3" t="s">
        <v>35</v>
      </c>
      <c r="Q53" s="3" t="str">
        <f t="shared" si="2"/>
        <v>14.2-2019-06-30</v>
      </c>
      <c r="R53" s="3">
        <v>0</v>
      </c>
      <c r="S53" s="3">
        <v>0</v>
      </c>
      <c r="T53" s="3" t="s">
        <v>31</v>
      </c>
      <c r="U53" s="3" t="s">
        <v>37</v>
      </c>
      <c r="V53" s="3" t="s">
        <v>30</v>
      </c>
      <c r="W53" s="3" t="s">
        <v>38</v>
      </c>
      <c r="X53" s="3" t="s">
        <v>39</v>
      </c>
      <c r="Y53" s="3" t="s">
        <v>40</v>
      </c>
      <c r="Z53" s="3" t="s">
        <v>86</v>
      </c>
      <c r="AA53" s="3" t="s">
        <v>339</v>
      </c>
      <c r="AB53" s="3" t="s">
        <v>78</v>
      </c>
      <c r="AC53" s="3" t="s">
        <v>31</v>
      </c>
      <c r="AD53" s="3">
        <v>0</v>
      </c>
    </row>
    <row r="54" spans="1:30" x14ac:dyDescent="0.3">
      <c r="A54" s="3" t="s">
        <v>588</v>
      </c>
      <c r="B54" s="3" t="s">
        <v>359</v>
      </c>
      <c r="C54" s="3" t="s">
        <v>186</v>
      </c>
      <c r="D54" s="3" t="s">
        <v>31</v>
      </c>
      <c r="E54" s="3" t="s">
        <v>32</v>
      </c>
      <c r="F54" s="12">
        <v>43830</v>
      </c>
      <c r="G54" s="3">
        <f t="shared" si="7"/>
        <v>2019</v>
      </c>
      <c r="H54" s="3" t="str">
        <f t="shared" si="8"/>
        <v>Diciembre</v>
      </c>
      <c r="I54" s="3" t="str">
        <f t="shared" si="9"/>
        <v>2019-2</v>
      </c>
      <c r="J54" s="3">
        <v>2</v>
      </c>
      <c r="K54" s="3"/>
      <c r="L54" s="11">
        <v>43611</v>
      </c>
      <c r="M54" s="3"/>
      <c r="N54" s="3"/>
      <c r="O54" s="3" t="s">
        <v>35</v>
      </c>
      <c r="P54" s="3" t="s">
        <v>35</v>
      </c>
      <c r="Q54" s="3" t="str">
        <f t="shared" si="2"/>
        <v>14.2-2019-12-31</v>
      </c>
      <c r="R54" s="3">
        <v>0</v>
      </c>
      <c r="S54" s="3">
        <v>0</v>
      </c>
      <c r="T54" s="3" t="s">
        <v>31</v>
      </c>
      <c r="U54" s="3" t="s">
        <v>37</v>
      </c>
      <c r="V54" s="3" t="s">
        <v>30</v>
      </c>
      <c r="W54" s="3" t="s">
        <v>38</v>
      </c>
      <c r="X54" s="3" t="s">
        <v>39</v>
      </c>
      <c r="Y54" s="3" t="s">
        <v>40</v>
      </c>
      <c r="Z54" s="3" t="s">
        <v>86</v>
      </c>
      <c r="AA54" s="3" t="s">
        <v>339</v>
      </c>
      <c r="AB54" s="3" t="s">
        <v>78</v>
      </c>
      <c r="AC54" s="3" t="s">
        <v>31</v>
      </c>
      <c r="AD54" s="3">
        <v>0</v>
      </c>
    </row>
    <row r="55" spans="1:30" x14ac:dyDescent="0.3">
      <c r="A55" s="3" t="s">
        <v>588</v>
      </c>
      <c r="B55" s="3" t="s">
        <v>359</v>
      </c>
      <c r="C55" s="3" t="s">
        <v>186</v>
      </c>
      <c r="D55" s="3" t="s">
        <v>31</v>
      </c>
      <c r="E55" s="3" t="s">
        <v>32</v>
      </c>
      <c r="F55" s="12">
        <v>43830</v>
      </c>
      <c r="G55" s="3">
        <f t="shared" si="7"/>
        <v>2019</v>
      </c>
      <c r="H55" s="3" t="str">
        <f t="shared" si="8"/>
        <v>Diciembre</v>
      </c>
      <c r="I55" s="3" t="str">
        <f t="shared" si="9"/>
        <v>2019-2</v>
      </c>
      <c r="J55" s="3"/>
      <c r="K55" s="3"/>
      <c r="L55" s="3">
        <v>88242</v>
      </c>
      <c r="M55" s="3"/>
      <c r="N55" s="3"/>
      <c r="O55" s="3" t="s">
        <v>35</v>
      </c>
      <c r="P55" s="3" t="s">
        <v>35</v>
      </c>
      <c r="Q55" s="3" t="str">
        <f t="shared" si="2"/>
        <v>14.2-2019-12-31</v>
      </c>
      <c r="R55" s="3">
        <v>0</v>
      </c>
      <c r="S55" s="3">
        <v>0</v>
      </c>
      <c r="T55" s="3" t="s">
        <v>443</v>
      </c>
      <c r="U55" s="3" t="s">
        <v>37</v>
      </c>
      <c r="V55" s="3" t="s">
        <v>30</v>
      </c>
      <c r="W55" s="3" t="s">
        <v>38</v>
      </c>
      <c r="X55" s="3" t="s">
        <v>39</v>
      </c>
      <c r="Y55" s="3" t="s">
        <v>40</v>
      </c>
      <c r="Z55" s="3" t="s">
        <v>86</v>
      </c>
      <c r="AA55" s="3" t="s">
        <v>339</v>
      </c>
      <c r="AB55" s="3" t="s">
        <v>78</v>
      </c>
      <c r="AC55" s="3" t="s">
        <v>31</v>
      </c>
      <c r="AD55" s="3">
        <v>0</v>
      </c>
    </row>
    <row r="56" spans="1:30" x14ac:dyDescent="0.3">
      <c r="A56" s="3" t="s">
        <v>588</v>
      </c>
      <c r="B56" s="3" t="s">
        <v>359</v>
      </c>
      <c r="C56" s="3" t="s">
        <v>30</v>
      </c>
      <c r="D56" s="3" t="s">
        <v>31</v>
      </c>
      <c r="E56" s="3" t="s">
        <v>32</v>
      </c>
      <c r="F56" s="12">
        <v>44012</v>
      </c>
      <c r="G56" s="3">
        <f t="shared" si="7"/>
        <v>2020</v>
      </c>
      <c r="H56" s="3" t="str">
        <f t="shared" si="8"/>
        <v>Junio</v>
      </c>
      <c r="I56" s="3" t="str">
        <f t="shared" si="9"/>
        <v>2020-1</v>
      </c>
      <c r="J56" s="3">
        <v>1</v>
      </c>
      <c r="K56" s="3"/>
      <c r="L56" s="11">
        <v>45713</v>
      </c>
      <c r="M56" s="3"/>
      <c r="N56" s="3"/>
      <c r="O56" s="3" t="s">
        <v>35</v>
      </c>
      <c r="P56" s="3" t="s">
        <v>35</v>
      </c>
      <c r="Q56" s="3" t="str">
        <f t="shared" si="2"/>
        <v>14.2-2020-06-30</v>
      </c>
      <c r="R56" s="3">
        <v>0</v>
      </c>
      <c r="S56" s="3">
        <v>0</v>
      </c>
      <c r="T56" s="3" t="s">
        <v>31</v>
      </c>
      <c r="U56" s="3" t="s">
        <v>37</v>
      </c>
      <c r="V56" s="3" t="s">
        <v>30</v>
      </c>
      <c r="W56" s="3" t="s">
        <v>38</v>
      </c>
      <c r="X56" s="3" t="s">
        <v>39</v>
      </c>
      <c r="Y56" s="3" t="s">
        <v>40</v>
      </c>
      <c r="Z56" s="3" t="s">
        <v>86</v>
      </c>
      <c r="AA56" s="3" t="s">
        <v>339</v>
      </c>
      <c r="AB56" s="3" t="s">
        <v>78</v>
      </c>
      <c r="AC56" s="3" t="s">
        <v>31</v>
      </c>
      <c r="AD56" s="3">
        <v>0</v>
      </c>
    </row>
    <row r="57" spans="1:30" x14ac:dyDescent="0.3">
      <c r="A57" s="3" t="s">
        <v>588</v>
      </c>
      <c r="B57" s="3" t="s">
        <v>359</v>
      </c>
      <c r="C57" s="3" t="s">
        <v>186</v>
      </c>
      <c r="D57" s="3" t="s">
        <v>31</v>
      </c>
      <c r="E57" s="3" t="s">
        <v>32</v>
      </c>
      <c r="F57" s="12">
        <v>44196</v>
      </c>
      <c r="G57" s="3">
        <f t="shared" si="7"/>
        <v>2020</v>
      </c>
      <c r="H57" s="3" t="str">
        <f t="shared" si="8"/>
        <v>Diciembre</v>
      </c>
      <c r="I57" s="3" t="str">
        <f t="shared" si="9"/>
        <v>2020-2</v>
      </c>
      <c r="J57" s="3">
        <v>2</v>
      </c>
      <c r="K57" s="3"/>
      <c r="L57" s="11">
        <v>43447</v>
      </c>
      <c r="M57" s="3"/>
      <c r="N57" s="3"/>
      <c r="O57" s="3" t="s">
        <v>35</v>
      </c>
      <c r="P57" s="3" t="s">
        <v>35</v>
      </c>
      <c r="Q57" s="3" t="str">
        <f t="shared" si="2"/>
        <v>14.2-2020-12-31</v>
      </c>
      <c r="R57" s="3">
        <v>0</v>
      </c>
      <c r="S57" s="3">
        <v>0</v>
      </c>
      <c r="T57" s="3" t="s">
        <v>31</v>
      </c>
      <c r="U57" s="3" t="s">
        <v>37</v>
      </c>
      <c r="V57" s="3" t="s">
        <v>30</v>
      </c>
      <c r="W57" s="3" t="s">
        <v>38</v>
      </c>
      <c r="X57" s="3" t="s">
        <v>39</v>
      </c>
      <c r="Y57" s="3" t="s">
        <v>40</v>
      </c>
      <c r="Z57" s="3" t="s">
        <v>86</v>
      </c>
      <c r="AA57" s="3" t="s">
        <v>339</v>
      </c>
      <c r="AB57" s="3" t="s">
        <v>78</v>
      </c>
      <c r="AC57" s="3" t="s">
        <v>31</v>
      </c>
      <c r="AD57" s="3">
        <v>0</v>
      </c>
    </row>
    <row r="58" spans="1:30" x14ac:dyDescent="0.3">
      <c r="A58" s="3" t="s">
        <v>588</v>
      </c>
      <c r="B58" s="3" t="s">
        <v>359</v>
      </c>
      <c r="C58" s="3" t="s">
        <v>186</v>
      </c>
      <c r="D58" s="3" t="s">
        <v>31</v>
      </c>
      <c r="E58" s="3" t="s">
        <v>32</v>
      </c>
      <c r="F58" s="12">
        <v>44196</v>
      </c>
      <c r="G58" s="3">
        <f t="shared" si="7"/>
        <v>2020</v>
      </c>
      <c r="H58" s="3" t="str">
        <f t="shared" si="8"/>
        <v>Diciembre</v>
      </c>
      <c r="I58" s="3" t="str">
        <f t="shared" si="9"/>
        <v>2020-2</v>
      </c>
      <c r="J58" s="3"/>
      <c r="K58" s="3"/>
      <c r="L58" s="3">
        <v>89160</v>
      </c>
      <c r="M58" s="3"/>
      <c r="N58" s="3"/>
      <c r="O58" s="3" t="s">
        <v>35</v>
      </c>
      <c r="P58" s="3" t="s">
        <v>35</v>
      </c>
      <c r="Q58" s="3" t="str">
        <f t="shared" si="2"/>
        <v>14.2-2020-12-31</v>
      </c>
      <c r="R58" s="3">
        <v>0</v>
      </c>
      <c r="S58" s="3">
        <v>0</v>
      </c>
      <c r="T58" s="3" t="s">
        <v>443</v>
      </c>
      <c r="U58" s="3" t="s">
        <v>37</v>
      </c>
      <c r="V58" s="3" t="s">
        <v>30</v>
      </c>
      <c r="W58" s="3" t="s">
        <v>38</v>
      </c>
      <c r="X58" s="3" t="s">
        <v>39</v>
      </c>
      <c r="Y58" s="3" t="s">
        <v>40</v>
      </c>
      <c r="Z58" s="3" t="s">
        <v>86</v>
      </c>
      <c r="AA58" s="3" t="s">
        <v>339</v>
      </c>
      <c r="AB58" s="3" t="s">
        <v>78</v>
      </c>
      <c r="AC58" s="3" t="s">
        <v>31</v>
      </c>
      <c r="AD58" s="3">
        <v>0</v>
      </c>
    </row>
    <row r="59" spans="1:30" x14ac:dyDescent="0.3">
      <c r="A59" s="3" t="s">
        <v>588</v>
      </c>
      <c r="B59" s="3" t="s">
        <v>359</v>
      </c>
      <c r="C59" s="3" t="s">
        <v>30</v>
      </c>
      <c r="D59" s="3" t="s">
        <v>31</v>
      </c>
      <c r="E59" s="3" t="s">
        <v>32</v>
      </c>
      <c r="F59" s="12">
        <v>44377</v>
      </c>
      <c r="G59" s="3">
        <f t="shared" si="7"/>
        <v>2021</v>
      </c>
      <c r="H59" s="3" t="str">
        <f t="shared" si="8"/>
        <v>Junio</v>
      </c>
      <c r="I59" s="3" t="str">
        <f t="shared" si="9"/>
        <v>2021-1</v>
      </c>
      <c r="J59" s="3">
        <v>1</v>
      </c>
      <c r="K59" s="3"/>
      <c r="L59" s="11">
        <v>43569</v>
      </c>
      <c r="M59" s="3"/>
      <c r="N59" s="3"/>
      <c r="O59" s="3" t="s">
        <v>35</v>
      </c>
      <c r="P59" s="3" t="s">
        <v>35</v>
      </c>
      <c r="Q59" s="3" t="str">
        <f t="shared" si="2"/>
        <v>14.2-2021-06-30</v>
      </c>
      <c r="R59" s="3">
        <v>0</v>
      </c>
      <c r="S59" s="3">
        <v>0</v>
      </c>
      <c r="T59" s="3" t="s">
        <v>31</v>
      </c>
      <c r="U59" s="3" t="s">
        <v>37</v>
      </c>
      <c r="V59" s="3" t="s">
        <v>30</v>
      </c>
      <c r="W59" s="3" t="s">
        <v>38</v>
      </c>
      <c r="X59" s="3" t="s">
        <v>39</v>
      </c>
      <c r="Y59" s="3" t="s">
        <v>40</v>
      </c>
      <c r="Z59" s="3" t="s">
        <v>86</v>
      </c>
      <c r="AA59" s="3" t="s">
        <v>339</v>
      </c>
      <c r="AB59" s="3" t="s">
        <v>78</v>
      </c>
      <c r="AC59" s="3" t="s">
        <v>31</v>
      </c>
      <c r="AD59" s="3">
        <v>0</v>
      </c>
    </row>
    <row r="60" spans="1:30" x14ac:dyDescent="0.3">
      <c r="A60" s="3" t="s">
        <v>588</v>
      </c>
      <c r="B60" s="3" t="s">
        <v>359</v>
      </c>
      <c r="C60" s="3" t="s">
        <v>186</v>
      </c>
      <c r="D60" s="3" t="s">
        <v>31</v>
      </c>
      <c r="E60" s="3" t="s">
        <v>32</v>
      </c>
      <c r="F60" s="12">
        <v>44561</v>
      </c>
      <c r="G60" s="3">
        <f t="shared" si="7"/>
        <v>2021</v>
      </c>
      <c r="H60" s="3" t="str">
        <f t="shared" si="8"/>
        <v>Diciembre</v>
      </c>
      <c r="I60" s="3" t="str">
        <f t="shared" si="9"/>
        <v>2021-2</v>
      </c>
      <c r="J60" s="3">
        <v>2</v>
      </c>
      <c r="K60" s="3"/>
      <c r="L60" s="11">
        <v>41540</v>
      </c>
      <c r="M60" s="3"/>
      <c r="N60" s="3"/>
      <c r="O60" s="3" t="s">
        <v>35</v>
      </c>
      <c r="P60" s="3" t="s">
        <v>35</v>
      </c>
      <c r="Q60" s="3" t="str">
        <f t="shared" si="2"/>
        <v>14.2-2021-12-31</v>
      </c>
      <c r="R60" s="3">
        <v>0</v>
      </c>
      <c r="S60" s="3">
        <v>0</v>
      </c>
      <c r="T60" s="3" t="s">
        <v>31</v>
      </c>
      <c r="U60" s="3" t="s">
        <v>37</v>
      </c>
      <c r="V60" s="3" t="s">
        <v>30</v>
      </c>
      <c r="W60" s="3" t="s">
        <v>38</v>
      </c>
      <c r="X60" s="3" t="s">
        <v>39</v>
      </c>
      <c r="Y60" s="3" t="s">
        <v>40</v>
      </c>
      <c r="Z60" s="3" t="s">
        <v>86</v>
      </c>
      <c r="AA60" s="3" t="s">
        <v>339</v>
      </c>
      <c r="AB60" s="3" t="s">
        <v>78</v>
      </c>
      <c r="AC60" s="3" t="s">
        <v>31</v>
      </c>
      <c r="AD60" s="3">
        <v>0</v>
      </c>
    </row>
    <row r="61" spans="1:30" x14ac:dyDescent="0.3">
      <c r="A61" s="3" t="s">
        <v>588</v>
      </c>
      <c r="B61" s="3" t="s">
        <v>359</v>
      </c>
      <c r="C61" s="3" t="s">
        <v>186</v>
      </c>
      <c r="D61" s="3" t="s">
        <v>31</v>
      </c>
      <c r="E61" s="3" t="s">
        <v>32</v>
      </c>
      <c r="F61" s="12">
        <v>44561</v>
      </c>
      <c r="G61" s="3">
        <f t="shared" si="7"/>
        <v>2021</v>
      </c>
      <c r="H61" s="3" t="str">
        <f t="shared" si="8"/>
        <v>Diciembre</v>
      </c>
      <c r="I61" s="3" t="str">
        <f t="shared" si="9"/>
        <v>2021-2</v>
      </c>
      <c r="J61" s="3"/>
      <c r="K61" s="3"/>
      <c r="L61" s="3">
        <v>85109</v>
      </c>
      <c r="M61" s="3"/>
      <c r="N61" s="3"/>
      <c r="O61" s="3" t="s">
        <v>35</v>
      </c>
      <c r="P61" s="3" t="s">
        <v>35</v>
      </c>
      <c r="Q61" s="3" t="str">
        <f t="shared" si="2"/>
        <v>14.2-2021-12-31</v>
      </c>
      <c r="R61" s="3">
        <v>0</v>
      </c>
      <c r="S61" s="3">
        <v>0</v>
      </c>
      <c r="T61" s="3" t="s">
        <v>443</v>
      </c>
      <c r="U61" s="3" t="s">
        <v>37</v>
      </c>
      <c r="V61" s="3" t="s">
        <v>30</v>
      </c>
      <c r="W61" s="3" t="s">
        <v>38</v>
      </c>
      <c r="X61" s="3" t="s">
        <v>39</v>
      </c>
      <c r="Y61" s="3" t="s">
        <v>40</v>
      </c>
      <c r="Z61" s="3" t="s">
        <v>86</v>
      </c>
      <c r="AA61" s="3" t="s">
        <v>339</v>
      </c>
      <c r="AB61" s="3" t="s">
        <v>78</v>
      </c>
      <c r="AC61" s="3" t="s">
        <v>31</v>
      </c>
      <c r="AD61" s="3">
        <v>0</v>
      </c>
    </row>
    <row r="62" spans="1:30" x14ac:dyDescent="0.3">
      <c r="A62" s="3" t="s">
        <v>588</v>
      </c>
      <c r="B62" s="3" t="s">
        <v>359</v>
      </c>
      <c r="C62" s="3" t="s">
        <v>30</v>
      </c>
      <c r="D62" s="3" t="s">
        <v>31</v>
      </c>
      <c r="E62" s="3" t="s">
        <v>32</v>
      </c>
      <c r="F62" s="12">
        <v>44742</v>
      </c>
      <c r="G62" s="3">
        <v>2022</v>
      </c>
      <c r="H62" s="3" t="s">
        <v>33</v>
      </c>
      <c r="I62" s="3" t="s">
        <v>34</v>
      </c>
      <c r="J62" s="3">
        <v>1</v>
      </c>
      <c r="K62" s="3">
        <v>42889</v>
      </c>
      <c r="L62" s="3">
        <v>43361</v>
      </c>
      <c r="M62" s="3">
        <v>1.010958520832848</v>
      </c>
      <c r="N62" s="3">
        <v>1.010958520832848</v>
      </c>
      <c r="O62" s="3" t="s">
        <v>35</v>
      </c>
      <c r="P62" s="3" t="s">
        <v>35</v>
      </c>
      <c r="Q62" s="3" t="str">
        <f t="shared" si="2"/>
        <v>14.2-2022-06-30</v>
      </c>
      <c r="R62" s="3">
        <v>0</v>
      </c>
      <c r="S62" s="3">
        <v>0</v>
      </c>
      <c r="T62" s="3" t="s">
        <v>31</v>
      </c>
      <c r="U62" s="3" t="s">
        <v>37</v>
      </c>
      <c r="V62" s="3" t="s">
        <v>30</v>
      </c>
      <c r="W62" s="3" t="s">
        <v>38</v>
      </c>
      <c r="X62" s="3" t="s">
        <v>39</v>
      </c>
      <c r="Y62" s="3" t="s">
        <v>40</v>
      </c>
      <c r="Z62" s="3" t="s">
        <v>86</v>
      </c>
      <c r="AA62" s="3" t="s">
        <v>339</v>
      </c>
      <c r="AB62" s="3" t="s">
        <v>78</v>
      </c>
      <c r="AC62" s="3" t="s">
        <v>31</v>
      </c>
      <c r="AD62" s="3">
        <v>0</v>
      </c>
    </row>
    <row r="63" spans="1:30" x14ac:dyDescent="0.3">
      <c r="A63" s="3" t="s">
        <v>588</v>
      </c>
      <c r="B63" s="3" t="s">
        <v>359</v>
      </c>
      <c r="C63" s="3" t="s">
        <v>30</v>
      </c>
      <c r="D63" s="3" t="s">
        <v>31</v>
      </c>
      <c r="E63" s="3" t="s">
        <v>32</v>
      </c>
      <c r="F63" s="12">
        <v>44926</v>
      </c>
      <c r="G63" s="3">
        <v>2022</v>
      </c>
      <c r="H63" s="3" t="s">
        <v>44</v>
      </c>
      <c r="I63" s="3" t="s">
        <v>45</v>
      </c>
      <c r="J63" s="3">
        <v>2</v>
      </c>
      <c r="K63" s="3">
        <v>42274</v>
      </c>
      <c r="L63" s="3">
        <v>42702</v>
      </c>
      <c r="M63" s="3">
        <v>1.0100534607560201</v>
      </c>
      <c r="N63" s="3">
        <v>1.0100534607560201</v>
      </c>
      <c r="O63" s="3" t="s">
        <v>35</v>
      </c>
      <c r="P63" s="3" t="s">
        <v>35</v>
      </c>
      <c r="Q63" s="3" t="str">
        <f t="shared" si="2"/>
        <v>14.2-2022-12-31</v>
      </c>
      <c r="R63" s="3">
        <v>0</v>
      </c>
      <c r="S63" s="3">
        <v>0</v>
      </c>
      <c r="T63" s="3" t="s">
        <v>31</v>
      </c>
      <c r="U63" s="3" t="s">
        <v>37</v>
      </c>
      <c r="V63" s="3" t="s">
        <v>30</v>
      </c>
      <c r="W63" s="3" t="s">
        <v>38</v>
      </c>
      <c r="X63" s="3" t="s">
        <v>39</v>
      </c>
      <c r="Y63" s="3" t="s">
        <v>40</v>
      </c>
      <c r="Z63" s="3" t="s">
        <v>86</v>
      </c>
      <c r="AA63" s="3" t="s">
        <v>339</v>
      </c>
      <c r="AB63" s="3" t="s">
        <v>78</v>
      </c>
      <c r="AC63" s="3" t="s">
        <v>31</v>
      </c>
      <c r="AD63" s="3">
        <v>0</v>
      </c>
    </row>
    <row r="64" spans="1:30" x14ac:dyDescent="0.3">
      <c r="A64" s="3" t="s">
        <v>588</v>
      </c>
      <c r="B64" s="3" t="s">
        <v>359</v>
      </c>
      <c r="C64" s="3" t="s">
        <v>30</v>
      </c>
      <c r="D64" s="3" t="s">
        <v>31</v>
      </c>
      <c r="E64" s="3" t="s">
        <v>32</v>
      </c>
      <c r="F64" s="12">
        <v>44926</v>
      </c>
      <c r="G64" s="3">
        <v>2022</v>
      </c>
      <c r="H64" s="3" t="s">
        <v>44</v>
      </c>
      <c r="I64" s="3" t="s">
        <v>45</v>
      </c>
      <c r="J64" s="3"/>
      <c r="K64" s="3">
        <v>85163</v>
      </c>
      <c r="L64" s="3">
        <v>86063</v>
      </c>
      <c r="M64" s="3">
        <v>1.010509258715639</v>
      </c>
      <c r="N64" s="3">
        <v>1.010509258715639</v>
      </c>
      <c r="O64" s="3" t="s">
        <v>35</v>
      </c>
      <c r="P64" s="3" t="s">
        <v>35</v>
      </c>
      <c r="Q64" s="3" t="str">
        <f t="shared" si="2"/>
        <v>14.2-2022-12-31</v>
      </c>
      <c r="R64" s="3">
        <v>0</v>
      </c>
      <c r="S64" s="3">
        <v>0</v>
      </c>
      <c r="T64" s="3" t="s">
        <v>443</v>
      </c>
      <c r="U64" s="3" t="s">
        <v>37</v>
      </c>
      <c r="V64" s="3" t="s">
        <v>30</v>
      </c>
      <c r="W64" s="3" t="s">
        <v>38</v>
      </c>
      <c r="X64" s="3" t="s">
        <v>39</v>
      </c>
      <c r="Y64" s="3" t="s">
        <v>40</v>
      </c>
      <c r="Z64" s="3" t="s">
        <v>86</v>
      </c>
      <c r="AA64" s="3" t="s">
        <v>339</v>
      </c>
      <c r="AB64" s="3" t="s">
        <v>78</v>
      </c>
      <c r="AC64" s="3" t="s">
        <v>31</v>
      </c>
      <c r="AD64" s="3">
        <v>0</v>
      </c>
    </row>
    <row r="65" spans="1:30" x14ac:dyDescent="0.3">
      <c r="A65" s="3" t="s">
        <v>588</v>
      </c>
      <c r="B65" s="3" t="s">
        <v>359</v>
      </c>
      <c r="C65" s="3" t="s">
        <v>30</v>
      </c>
      <c r="D65" s="3" t="s">
        <v>31</v>
      </c>
      <c r="E65" s="3" t="s">
        <v>32</v>
      </c>
      <c r="F65" s="12">
        <v>45107</v>
      </c>
      <c r="G65" s="3">
        <v>2023</v>
      </c>
      <c r="H65" s="3" t="s">
        <v>33</v>
      </c>
      <c r="I65" s="3" t="s">
        <v>47</v>
      </c>
      <c r="J65" s="3">
        <v>1</v>
      </c>
      <c r="K65" s="3">
        <v>44355</v>
      </c>
      <c r="L65" s="3">
        <v>43561</v>
      </c>
      <c r="M65" s="3">
        <v>0.98209897418554837</v>
      </c>
      <c r="N65" s="3">
        <v>0.98209897418554837</v>
      </c>
      <c r="O65" s="3" t="s">
        <v>35</v>
      </c>
      <c r="P65" s="3" t="s">
        <v>35</v>
      </c>
      <c r="Q65" s="3" t="str">
        <f t="shared" si="2"/>
        <v>14.2-2023-06-30</v>
      </c>
      <c r="R65" s="3">
        <v>0</v>
      </c>
      <c r="S65" s="3">
        <v>0</v>
      </c>
      <c r="T65" s="3" t="s">
        <v>31</v>
      </c>
      <c r="U65" s="3" t="s">
        <v>37</v>
      </c>
      <c r="V65" s="3" t="s">
        <v>30</v>
      </c>
      <c r="W65" s="3" t="s">
        <v>38</v>
      </c>
      <c r="X65" s="3" t="s">
        <v>39</v>
      </c>
      <c r="Y65" s="3" t="s">
        <v>40</v>
      </c>
      <c r="Z65" s="3" t="s">
        <v>86</v>
      </c>
      <c r="AA65" s="3" t="s">
        <v>339</v>
      </c>
      <c r="AB65" s="3" t="s">
        <v>78</v>
      </c>
      <c r="AC65" s="3" t="s">
        <v>31</v>
      </c>
      <c r="AD65" s="3">
        <v>0</v>
      </c>
    </row>
    <row r="66" spans="1:30" x14ac:dyDescent="0.3">
      <c r="A66" s="3" t="s">
        <v>588</v>
      </c>
      <c r="B66" s="3" t="s">
        <v>359</v>
      </c>
      <c r="C66" s="3" t="s">
        <v>186</v>
      </c>
      <c r="D66" s="3" t="s">
        <v>31</v>
      </c>
      <c r="E66" s="3" t="s">
        <v>32</v>
      </c>
      <c r="F66" s="12">
        <v>45291</v>
      </c>
      <c r="G66" s="3">
        <v>2023</v>
      </c>
      <c r="H66" s="3" t="s">
        <v>44</v>
      </c>
      <c r="I66" s="3" t="s">
        <v>49</v>
      </c>
      <c r="J66" s="3">
        <v>2</v>
      </c>
      <c r="K66" s="3">
        <v>44067</v>
      </c>
      <c r="L66" s="3">
        <v>43309</v>
      </c>
      <c r="M66" s="3">
        <v>0.98277622710872081</v>
      </c>
      <c r="N66" s="3">
        <v>0.98277622710872081</v>
      </c>
      <c r="O66" s="3" t="s">
        <v>35</v>
      </c>
      <c r="P66" s="3" t="s">
        <v>35</v>
      </c>
      <c r="Q66" s="3" t="str">
        <f t="shared" si="2"/>
        <v>14.2-2023-12-31</v>
      </c>
      <c r="R66" s="3">
        <v>0</v>
      </c>
      <c r="S66" s="3">
        <v>0</v>
      </c>
      <c r="T66" s="3" t="s">
        <v>31</v>
      </c>
      <c r="U66" s="3" t="s">
        <v>37</v>
      </c>
      <c r="V66" s="3" t="s">
        <v>30</v>
      </c>
      <c r="W66" s="3" t="s">
        <v>38</v>
      </c>
      <c r="X66" s="3" t="s">
        <v>39</v>
      </c>
      <c r="Y66" s="3" t="s">
        <v>40</v>
      </c>
      <c r="Z66" s="3" t="s">
        <v>86</v>
      </c>
      <c r="AA66" s="3" t="s">
        <v>339</v>
      </c>
      <c r="AB66" s="3" t="s">
        <v>78</v>
      </c>
      <c r="AC66" s="3" t="s">
        <v>31</v>
      </c>
      <c r="AD66" s="3">
        <v>0</v>
      </c>
    </row>
    <row r="67" spans="1:30" x14ac:dyDescent="0.3">
      <c r="A67" s="3" t="s">
        <v>588</v>
      </c>
      <c r="B67" s="3" t="s">
        <v>359</v>
      </c>
      <c r="C67" s="3" t="s">
        <v>186</v>
      </c>
      <c r="D67" s="3" t="s">
        <v>31</v>
      </c>
      <c r="E67" s="3" t="s">
        <v>32</v>
      </c>
      <c r="F67" s="12">
        <v>45291</v>
      </c>
      <c r="G67" s="3">
        <v>2023</v>
      </c>
      <c r="H67" s="3" t="s">
        <v>44</v>
      </c>
      <c r="I67" s="3" t="s">
        <v>49</v>
      </c>
      <c r="J67" s="3"/>
      <c r="K67" s="3">
        <v>88422</v>
      </c>
      <c r="L67" s="3">
        <v>86870</v>
      </c>
      <c r="M67" s="3">
        <v>0.98243649770419128</v>
      </c>
      <c r="N67" s="3">
        <v>0.98243649770419128</v>
      </c>
      <c r="O67" s="3" t="s">
        <v>35</v>
      </c>
      <c r="P67" s="3" t="s">
        <v>35</v>
      </c>
      <c r="Q67" s="3" t="str">
        <f t="shared" ref="Q67:Q130" si="10">A67&amp;"-"&amp;YEAR(F67)&amp;"-"&amp;IF(LEN(MONTH(F67))=1,"0"&amp;MONTH(F67),MONTH(F67))&amp;"-"&amp;IF(LEN(DAY(F67))=1,"0"&amp;DAY(F67),DAY(F67))</f>
        <v>14.2-2023-12-31</v>
      </c>
      <c r="R67" s="3">
        <v>0</v>
      </c>
      <c r="S67" s="3">
        <v>0</v>
      </c>
      <c r="T67" s="3" t="s">
        <v>443</v>
      </c>
      <c r="U67" s="3" t="s">
        <v>37</v>
      </c>
      <c r="V67" s="3" t="s">
        <v>30</v>
      </c>
      <c r="W67" s="3" t="s">
        <v>38</v>
      </c>
      <c r="X67" s="3" t="s">
        <v>39</v>
      </c>
      <c r="Y67" s="3" t="s">
        <v>40</v>
      </c>
      <c r="Z67" s="3" t="s">
        <v>86</v>
      </c>
      <c r="AA67" s="3" t="s">
        <v>339</v>
      </c>
      <c r="AB67" s="3" t="s">
        <v>78</v>
      </c>
      <c r="AC67" s="3" t="s">
        <v>31</v>
      </c>
      <c r="AD67" s="3">
        <v>0</v>
      </c>
    </row>
    <row r="68" spans="1:30" x14ac:dyDescent="0.3">
      <c r="A68" s="3" t="s">
        <v>588</v>
      </c>
      <c r="B68" s="3" t="s">
        <v>359</v>
      </c>
      <c r="C68" s="3" t="s">
        <v>186</v>
      </c>
      <c r="D68" s="3" t="s">
        <v>31</v>
      </c>
      <c r="E68" s="3" t="s">
        <v>32</v>
      </c>
      <c r="F68" s="12">
        <v>45473</v>
      </c>
      <c r="G68" s="3">
        <v>2024</v>
      </c>
      <c r="H68" s="3" t="s">
        <v>33</v>
      </c>
      <c r="I68" s="3" t="s">
        <v>51</v>
      </c>
      <c r="J68" s="3">
        <v>1</v>
      </c>
      <c r="K68" s="3">
        <v>44235</v>
      </c>
      <c r="L68" s="3">
        <v>44161</v>
      </c>
      <c r="M68" s="3">
        <v>0.99832711653667905</v>
      </c>
      <c r="N68" s="3">
        <v>1.0007686047563069</v>
      </c>
      <c r="O68" s="3" t="s">
        <v>35</v>
      </c>
      <c r="P68" s="3" t="s">
        <v>35</v>
      </c>
      <c r="Q68" s="3" t="str">
        <f t="shared" si="10"/>
        <v>14.2-2024-06-30</v>
      </c>
      <c r="R68" s="3">
        <v>0</v>
      </c>
      <c r="S68" s="3">
        <v>0</v>
      </c>
      <c r="T68" s="3" t="s">
        <v>31</v>
      </c>
      <c r="U68" s="3" t="s">
        <v>37</v>
      </c>
      <c r="V68" s="3" t="s">
        <v>30</v>
      </c>
      <c r="W68" s="3" t="s">
        <v>38</v>
      </c>
      <c r="X68" s="3" t="s">
        <v>39</v>
      </c>
      <c r="Y68" s="3" t="s">
        <v>40</v>
      </c>
      <c r="Z68" s="3" t="s">
        <v>86</v>
      </c>
      <c r="AA68" s="3" t="s">
        <v>339</v>
      </c>
      <c r="AB68" s="3" t="s">
        <v>78</v>
      </c>
      <c r="AC68" s="3" t="s">
        <v>31</v>
      </c>
      <c r="AD68" s="3">
        <v>0</v>
      </c>
    </row>
    <row r="69" spans="1:30" x14ac:dyDescent="0.3">
      <c r="A69" s="3" t="s">
        <v>588</v>
      </c>
      <c r="B69" s="3" t="s">
        <v>359</v>
      </c>
      <c r="C69" s="3" t="s">
        <v>186</v>
      </c>
      <c r="D69" s="3" t="s">
        <v>31</v>
      </c>
      <c r="E69" s="3" t="s">
        <v>32</v>
      </c>
      <c r="F69" s="12">
        <v>45657</v>
      </c>
      <c r="G69" s="3">
        <v>2024</v>
      </c>
      <c r="H69" s="3" t="s">
        <v>44</v>
      </c>
      <c r="I69" s="3" t="s">
        <v>53</v>
      </c>
      <c r="J69" s="3">
        <v>2</v>
      </c>
      <c r="K69" s="3">
        <v>43204</v>
      </c>
      <c r="L69" s="3">
        <v>43840</v>
      </c>
      <c r="M69" s="3">
        <v>1.0147208591797059</v>
      </c>
      <c r="N69" s="3">
        <v>1.0007686047563069</v>
      </c>
      <c r="O69" s="3" t="s">
        <v>35</v>
      </c>
      <c r="P69" s="3" t="s">
        <v>35</v>
      </c>
      <c r="Q69" s="3" t="str">
        <f t="shared" si="10"/>
        <v>14.2-2024-12-31</v>
      </c>
      <c r="R69" s="3">
        <v>0</v>
      </c>
      <c r="S69" s="3">
        <v>0</v>
      </c>
      <c r="T69" s="3" t="s">
        <v>31</v>
      </c>
      <c r="U69" s="3" t="s">
        <v>37</v>
      </c>
      <c r="V69" s="3" t="s">
        <v>30</v>
      </c>
      <c r="W69" s="3" t="s">
        <v>38</v>
      </c>
      <c r="X69" s="3" t="s">
        <v>39</v>
      </c>
      <c r="Y69" s="3" t="s">
        <v>40</v>
      </c>
      <c r="Z69" s="3" t="s">
        <v>86</v>
      </c>
      <c r="AA69" s="3" t="s">
        <v>339</v>
      </c>
      <c r="AB69" s="3" t="s">
        <v>78</v>
      </c>
      <c r="AC69" s="3" t="s">
        <v>31</v>
      </c>
      <c r="AD69" s="3">
        <v>0</v>
      </c>
    </row>
    <row r="70" spans="1:30" x14ac:dyDescent="0.3">
      <c r="A70" s="3" t="s">
        <v>588</v>
      </c>
      <c r="B70" s="3" t="s">
        <v>359</v>
      </c>
      <c r="C70" s="3" t="s">
        <v>186</v>
      </c>
      <c r="D70" s="3" t="s">
        <v>31</v>
      </c>
      <c r="E70" s="3" t="s">
        <v>32</v>
      </c>
      <c r="F70" s="12">
        <v>45657</v>
      </c>
      <c r="G70" s="3">
        <v>2024</v>
      </c>
      <c r="H70" s="3" t="s">
        <v>44</v>
      </c>
      <c r="I70" s="3" t="s">
        <v>53</v>
      </c>
      <c r="J70" s="3"/>
      <c r="K70" s="3">
        <v>87439</v>
      </c>
      <c r="L70" s="3">
        <v>88001</v>
      </c>
      <c r="M70" s="3">
        <v>1.006427337915575</v>
      </c>
      <c r="N70" s="3">
        <v>1.006427337915575</v>
      </c>
      <c r="O70" s="3" t="s">
        <v>35</v>
      </c>
      <c r="P70" s="3" t="s">
        <v>35</v>
      </c>
      <c r="Q70" s="3" t="str">
        <f t="shared" si="10"/>
        <v>14.2-2024-12-31</v>
      </c>
      <c r="R70" s="3">
        <v>0</v>
      </c>
      <c r="S70" s="3">
        <v>0</v>
      </c>
      <c r="T70" s="3" t="s">
        <v>443</v>
      </c>
      <c r="U70" s="3" t="s">
        <v>37</v>
      </c>
      <c r="V70" s="3" t="s">
        <v>30</v>
      </c>
      <c r="W70" s="3" t="s">
        <v>38</v>
      </c>
      <c r="X70" s="3" t="s">
        <v>39</v>
      </c>
      <c r="Y70" s="3" t="s">
        <v>40</v>
      </c>
      <c r="Z70" s="3" t="s">
        <v>86</v>
      </c>
      <c r="AA70" s="3" t="s">
        <v>339</v>
      </c>
      <c r="AB70" s="3" t="s">
        <v>78</v>
      </c>
      <c r="AC70" s="3" t="s">
        <v>31</v>
      </c>
      <c r="AD70" s="3">
        <v>0</v>
      </c>
    </row>
    <row r="71" spans="1:30" x14ac:dyDescent="0.3">
      <c r="A71" s="3" t="s">
        <v>588</v>
      </c>
      <c r="B71" s="3" t="s">
        <v>359</v>
      </c>
      <c r="C71" s="3" t="s">
        <v>186</v>
      </c>
      <c r="D71" s="3" t="s">
        <v>31</v>
      </c>
      <c r="E71" s="3" t="s">
        <v>32</v>
      </c>
      <c r="F71" s="12">
        <v>45838</v>
      </c>
      <c r="G71" s="3">
        <v>2025</v>
      </c>
      <c r="H71" s="3" t="s">
        <v>33</v>
      </c>
      <c r="I71" s="3" t="s">
        <v>404</v>
      </c>
      <c r="J71" s="3">
        <v>1</v>
      </c>
      <c r="K71" s="3">
        <v>45163</v>
      </c>
      <c r="L71" s="3">
        <v>47762</v>
      </c>
      <c r="M71" s="3">
        <f>+L71/K71</f>
        <v>1.0575471071452296</v>
      </c>
      <c r="N71" s="3">
        <f>+L71/K71</f>
        <v>1.0575471071452296</v>
      </c>
      <c r="O71" s="3" t="s">
        <v>35</v>
      </c>
      <c r="P71" s="3" t="s">
        <v>35</v>
      </c>
      <c r="Q71" s="3" t="str">
        <f t="shared" si="10"/>
        <v>14.2-2025-06-30</v>
      </c>
      <c r="R71" s="3">
        <v>0</v>
      </c>
      <c r="S71" s="3">
        <v>0</v>
      </c>
      <c r="T71" s="3" t="s">
        <v>31</v>
      </c>
      <c r="U71" s="3" t="s">
        <v>37</v>
      </c>
      <c r="V71" s="3" t="s">
        <v>30</v>
      </c>
      <c r="W71" s="3" t="s">
        <v>38</v>
      </c>
      <c r="X71" s="3" t="s">
        <v>39</v>
      </c>
      <c r="Y71" s="3" t="s">
        <v>40</v>
      </c>
      <c r="Z71" s="3" t="s">
        <v>86</v>
      </c>
      <c r="AA71" s="3" t="s">
        <v>339</v>
      </c>
      <c r="AB71" s="3" t="s">
        <v>78</v>
      </c>
      <c r="AC71" s="3" t="s">
        <v>31</v>
      </c>
      <c r="AD71" s="3">
        <v>0</v>
      </c>
    </row>
    <row r="72" spans="1:30" x14ac:dyDescent="0.3">
      <c r="A72" s="3" t="s">
        <v>588</v>
      </c>
      <c r="B72" s="3" t="s">
        <v>359</v>
      </c>
      <c r="C72" s="3" t="s">
        <v>186</v>
      </c>
      <c r="D72" s="3" t="s">
        <v>31</v>
      </c>
      <c r="E72" s="3" t="s">
        <v>32</v>
      </c>
      <c r="F72" s="12">
        <v>46022</v>
      </c>
      <c r="G72" s="3">
        <v>2025</v>
      </c>
      <c r="H72" s="3" t="s">
        <v>44</v>
      </c>
      <c r="I72" s="3" t="s">
        <v>465</v>
      </c>
      <c r="J72" s="3">
        <v>2</v>
      </c>
      <c r="K72" s="3">
        <v>47246</v>
      </c>
      <c r="L72" s="11">
        <v>48202</v>
      </c>
      <c r="M72" s="3">
        <f>+L72/K72</f>
        <v>1.020234517207806</v>
      </c>
      <c r="N72" s="3">
        <f>+L72/K72</f>
        <v>1.020234517207806</v>
      </c>
      <c r="O72" s="3" t="s">
        <v>35</v>
      </c>
      <c r="P72" s="3" t="s">
        <v>35</v>
      </c>
      <c r="Q72" s="3" t="str">
        <f t="shared" si="10"/>
        <v>14.2-2025-12-31</v>
      </c>
      <c r="R72" s="3">
        <v>0</v>
      </c>
      <c r="S72" s="3">
        <v>0</v>
      </c>
      <c r="T72" s="3" t="s">
        <v>31</v>
      </c>
      <c r="U72" s="3" t="s">
        <v>37</v>
      </c>
      <c r="V72" s="3" t="s">
        <v>30</v>
      </c>
      <c r="W72" s="3" t="s">
        <v>38</v>
      </c>
      <c r="X72" s="3" t="s">
        <v>39</v>
      </c>
      <c r="Y72" s="3" t="s">
        <v>40</v>
      </c>
      <c r="Z72" s="3" t="s">
        <v>86</v>
      </c>
      <c r="AA72" s="3" t="s">
        <v>339</v>
      </c>
      <c r="AB72" s="3" t="s">
        <v>78</v>
      </c>
      <c r="AC72" s="3" t="s">
        <v>31</v>
      </c>
      <c r="AD72" s="3">
        <v>0</v>
      </c>
    </row>
    <row r="73" spans="1:30" x14ac:dyDescent="0.3">
      <c r="A73" s="3" t="s">
        <v>588</v>
      </c>
      <c r="B73" s="3" t="s">
        <v>359</v>
      </c>
      <c r="C73" s="3" t="s">
        <v>186</v>
      </c>
      <c r="D73" s="3" t="s">
        <v>31</v>
      </c>
      <c r="E73" s="3" t="s">
        <v>32</v>
      </c>
      <c r="F73" s="12">
        <v>46022</v>
      </c>
      <c r="G73" s="3">
        <v>2025</v>
      </c>
      <c r="H73" s="3" t="s">
        <v>44</v>
      </c>
      <c r="I73" s="3" t="s">
        <v>465</v>
      </c>
      <c r="J73" s="3"/>
      <c r="K73" s="3">
        <v>92409</v>
      </c>
      <c r="L73" s="3">
        <v>95964</v>
      </c>
      <c r="M73" s="3">
        <f>+L73/K73</f>
        <v>1.0384702788689413</v>
      </c>
      <c r="N73" s="3">
        <f>+L73/K73</f>
        <v>1.0384702788689413</v>
      </c>
      <c r="O73" s="3" t="s">
        <v>35</v>
      </c>
      <c r="P73" s="3" t="s">
        <v>35</v>
      </c>
      <c r="Q73" s="3" t="str">
        <f t="shared" si="10"/>
        <v>14.2-2025-12-31</v>
      </c>
      <c r="R73" s="3">
        <v>0</v>
      </c>
      <c r="S73" s="3">
        <v>0</v>
      </c>
      <c r="T73" s="3" t="s">
        <v>443</v>
      </c>
      <c r="U73" s="3" t="s">
        <v>37</v>
      </c>
      <c r="V73" s="3" t="s">
        <v>30</v>
      </c>
      <c r="W73" s="3" t="s">
        <v>38</v>
      </c>
      <c r="X73" s="3" t="s">
        <v>39</v>
      </c>
      <c r="Y73" s="3" t="s">
        <v>40</v>
      </c>
      <c r="Z73" s="3" t="s">
        <v>86</v>
      </c>
      <c r="AA73" s="3" t="s">
        <v>339</v>
      </c>
      <c r="AB73" s="3" t="s">
        <v>78</v>
      </c>
      <c r="AC73" s="3" t="s">
        <v>31</v>
      </c>
      <c r="AD73" s="3">
        <v>0</v>
      </c>
    </row>
    <row r="74" spans="1:30" x14ac:dyDescent="0.3">
      <c r="A74" s="3" t="s">
        <v>589</v>
      </c>
      <c r="B74" s="3" t="s">
        <v>365</v>
      </c>
      <c r="C74" s="3" t="s">
        <v>186</v>
      </c>
      <c r="D74" s="3" t="s">
        <v>31</v>
      </c>
      <c r="E74" s="3" t="s">
        <v>32</v>
      </c>
      <c r="F74" s="12">
        <v>43281</v>
      </c>
      <c r="G74" s="3">
        <f t="shared" ref="G74:G85" si="11">YEAR(F74)</f>
        <v>2018</v>
      </c>
      <c r="H74" s="3" t="str">
        <f t="shared" ref="H74:H85" si="12">PROPER(TEXT(F74,"mmmm"))</f>
        <v>Junio</v>
      </c>
      <c r="I74" s="3" t="str">
        <f t="shared" ref="I74:I85" si="13">IF(H74="Junio",G74&amp;"-1",G74&amp;"-2")</f>
        <v>2018-1</v>
      </c>
      <c r="J74" s="3">
        <v>1</v>
      </c>
      <c r="K74" s="3"/>
      <c r="L74" s="11">
        <v>47522</v>
      </c>
      <c r="M74" s="3"/>
      <c r="N74" s="3"/>
      <c r="O74" s="3" t="s">
        <v>35</v>
      </c>
      <c r="P74" s="3" t="s">
        <v>35</v>
      </c>
      <c r="Q74" s="3" t="str">
        <f t="shared" si="10"/>
        <v>14.3-2018-06-30</v>
      </c>
      <c r="R74" s="3">
        <v>0</v>
      </c>
      <c r="S74" s="3">
        <v>0</v>
      </c>
      <c r="T74" s="3" t="s">
        <v>31</v>
      </c>
      <c r="U74" s="3" t="s">
        <v>37</v>
      </c>
      <c r="V74" s="3" t="s">
        <v>30</v>
      </c>
      <c r="W74" s="3" t="s">
        <v>38</v>
      </c>
      <c r="X74" s="3" t="s">
        <v>39</v>
      </c>
      <c r="Y74" s="3" t="s">
        <v>40</v>
      </c>
      <c r="Z74" s="3" t="s">
        <v>86</v>
      </c>
      <c r="AA74" s="3" t="s">
        <v>339</v>
      </c>
      <c r="AB74" s="3" t="s">
        <v>78</v>
      </c>
      <c r="AC74" s="3" t="s">
        <v>31</v>
      </c>
      <c r="AD74" s="3">
        <v>0</v>
      </c>
    </row>
    <row r="75" spans="1:30" x14ac:dyDescent="0.3">
      <c r="A75" s="3" t="s">
        <v>589</v>
      </c>
      <c r="B75" s="3" t="s">
        <v>365</v>
      </c>
      <c r="C75" s="3" t="s">
        <v>186</v>
      </c>
      <c r="D75" s="3" t="s">
        <v>31</v>
      </c>
      <c r="E75" s="3" t="s">
        <v>32</v>
      </c>
      <c r="F75" s="12">
        <v>43465</v>
      </c>
      <c r="G75" s="3">
        <f t="shared" si="11"/>
        <v>2018</v>
      </c>
      <c r="H75" s="3" t="str">
        <f t="shared" si="12"/>
        <v>Diciembre</v>
      </c>
      <c r="I75" s="3" t="str">
        <f t="shared" si="13"/>
        <v>2018-2</v>
      </c>
      <c r="J75" s="3">
        <v>2</v>
      </c>
      <c r="K75" s="3"/>
      <c r="L75" s="11">
        <v>48925</v>
      </c>
      <c r="M75" s="3"/>
      <c r="N75" s="3"/>
      <c r="O75" s="3" t="s">
        <v>35</v>
      </c>
      <c r="P75" s="3" t="s">
        <v>35</v>
      </c>
      <c r="Q75" s="3" t="str">
        <f t="shared" si="10"/>
        <v>14.3-2018-12-31</v>
      </c>
      <c r="R75" s="3">
        <v>0</v>
      </c>
      <c r="S75" s="3">
        <v>0</v>
      </c>
      <c r="T75" s="3" t="s">
        <v>31</v>
      </c>
      <c r="U75" s="3" t="s">
        <v>37</v>
      </c>
      <c r="V75" s="3" t="s">
        <v>30</v>
      </c>
      <c r="W75" s="3" t="s">
        <v>38</v>
      </c>
      <c r="X75" s="3" t="s">
        <v>39</v>
      </c>
      <c r="Y75" s="3" t="s">
        <v>40</v>
      </c>
      <c r="Z75" s="3" t="s">
        <v>86</v>
      </c>
      <c r="AA75" s="3" t="s">
        <v>339</v>
      </c>
      <c r="AB75" s="3" t="s">
        <v>78</v>
      </c>
      <c r="AC75" s="3" t="s">
        <v>31</v>
      </c>
      <c r="AD75" s="3">
        <v>0</v>
      </c>
    </row>
    <row r="76" spans="1:30" x14ac:dyDescent="0.3">
      <c r="A76" s="3" t="s">
        <v>589</v>
      </c>
      <c r="B76" s="3" t="s">
        <v>365</v>
      </c>
      <c r="C76" s="3" t="s">
        <v>186</v>
      </c>
      <c r="D76" s="3" t="s">
        <v>31</v>
      </c>
      <c r="E76" s="3" t="s">
        <v>32</v>
      </c>
      <c r="F76" s="12">
        <v>43465</v>
      </c>
      <c r="G76" s="3">
        <f t="shared" si="11"/>
        <v>2018</v>
      </c>
      <c r="H76" s="3" t="str">
        <f t="shared" si="12"/>
        <v>Diciembre</v>
      </c>
      <c r="I76" s="3" t="str">
        <f t="shared" si="13"/>
        <v>2018-2</v>
      </c>
      <c r="J76" s="3"/>
      <c r="K76" s="3"/>
      <c r="L76" s="3">
        <v>96447</v>
      </c>
      <c r="M76" s="3"/>
      <c r="N76" s="3"/>
      <c r="O76" s="3" t="s">
        <v>35</v>
      </c>
      <c r="P76" s="3" t="s">
        <v>35</v>
      </c>
      <c r="Q76" s="3" t="str">
        <f t="shared" si="10"/>
        <v>14.3-2018-12-31</v>
      </c>
      <c r="R76" s="3">
        <v>0</v>
      </c>
      <c r="S76" s="3">
        <v>0</v>
      </c>
      <c r="T76" s="3" t="s">
        <v>443</v>
      </c>
      <c r="U76" s="3" t="s">
        <v>37</v>
      </c>
      <c r="V76" s="3" t="s">
        <v>30</v>
      </c>
      <c r="W76" s="3" t="s">
        <v>38</v>
      </c>
      <c r="X76" s="3" t="s">
        <v>39</v>
      </c>
      <c r="Y76" s="3" t="s">
        <v>40</v>
      </c>
      <c r="Z76" s="3" t="s">
        <v>86</v>
      </c>
      <c r="AA76" s="3" t="s">
        <v>339</v>
      </c>
      <c r="AB76" s="3" t="s">
        <v>78</v>
      </c>
      <c r="AC76" s="3" t="s">
        <v>31</v>
      </c>
      <c r="AD76" s="3">
        <v>0</v>
      </c>
    </row>
    <row r="77" spans="1:30" x14ac:dyDescent="0.3">
      <c r="A77" s="3" t="s">
        <v>589</v>
      </c>
      <c r="B77" s="3" t="s">
        <v>365</v>
      </c>
      <c r="C77" s="3" t="s">
        <v>186</v>
      </c>
      <c r="D77" s="3" t="s">
        <v>31</v>
      </c>
      <c r="E77" s="3" t="s">
        <v>32</v>
      </c>
      <c r="F77" s="12">
        <v>43646</v>
      </c>
      <c r="G77" s="3">
        <f t="shared" si="11"/>
        <v>2019</v>
      </c>
      <c r="H77" s="3" t="str">
        <f t="shared" si="12"/>
        <v>Junio</v>
      </c>
      <c r="I77" s="3" t="str">
        <f t="shared" si="13"/>
        <v>2019-1</v>
      </c>
      <c r="J77" s="3">
        <v>1</v>
      </c>
      <c r="K77" s="3"/>
      <c r="L77" s="11">
        <v>52526</v>
      </c>
      <c r="M77" s="3"/>
      <c r="N77" s="3"/>
      <c r="O77" s="3" t="s">
        <v>35</v>
      </c>
      <c r="P77" s="3" t="s">
        <v>35</v>
      </c>
      <c r="Q77" s="3" t="str">
        <f t="shared" si="10"/>
        <v>14.3-2019-06-30</v>
      </c>
      <c r="R77" s="3">
        <v>0</v>
      </c>
      <c r="S77" s="3">
        <v>0</v>
      </c>
      <c r="T77" s="3" t="s">
        <v>31</v>
      </c>
      <c r="U77" s="3" t="s">
        <v>37</v>
      </c>
      <c r="V77" s="3" t="s">
        <v>30</v>
      </c>
      <c r="W77" s="3" t="s">
        <v>38</v>
      </c>
      <c r="X77" s="3" t="s">
        <v>39</v>
      </c>
      <c r="Y77" s="3" t="s">
        <v>40</v>
      </c>
      <c r="Z77" s="3" t="s">
        <v>86</v>
      </c>
      <c r="AA77" s="3" t="s">
        <v>339</v>
      </c>
      <c r="AB77" s="3" t="s">
        <v>78</v>
      </c>
      <c r="AC77" s="3" t="s">
        <v>31</v>
      </c>
      <c r="AD77" s="3">
        <v>0</v>
      </c>
    </row>
    <row r="78" spans="1:30" x14ac:dyDescent="0.3">
      <c r="A78" s="3" t="s">
        <v>589</v>
      </c>
      <c r="B78" s="3" t="s">
        <v>365</v>
      </c>
      <c r="C78" s="3" t="s">
        <v>186</v>
      </c>
      <c r="D78" s="3" t="s">
        <v>31</v>
      </c>
      <c r="E78" s="3" t="s">
        <v>32</v>
      </c>
      <c r="F78" s="12">
        <v>43830</v>
      </c>
      <c r="G78" s="3">
        <f t="shared" si="11"/>
        <v>2019</v>
      </c>
      <c r="H78" s="3" t="str">
        <f t="shared" si="12"/>
        <v>Diciembre</v>
      </c>
      <c r="I78" s="3" t="str">
        <f t="shared" si="13"/>
        <v>2019-2</v>
      </c>
      <c r="J78" s="3">
        <v>2</v>
      </c>
      <c r="K78" s="3"/>
      <c r="L78" s="11">
        <v>51296</v>
      </c>
      <c r="M78" s="3"/>
      <c r="N78" s="3"/>
      <c r="O78" s="3" t="s">
        <v>35</v>
      </c>
      <c r="P78" s="3" t="s">
        <v>35</v>
      </c>
      <c r="Q78" s="3" t="str">
        <f t="shared" si="10"/>
        <v>14.3-2019-12-31</v>
      </c>
      <c r="R78" s="3">
        <v>0</v>
      </c>
      <c r="S78" s="3">
        <v>0</v>
      </c>
      <c r="T78" s="3" t="s">
        <v>31</v>
      </c>
      <c r="U78" s="3" t="s">
        <v>37</v>
      </c>
      <c r="V78" s="3" t="s">
        <v>30</v>
      </c>
      <c r="W78" s="3" t="s">
        <v>38</v>
      </c>
      <c r="X78" s="3" t="s">
        <v>39</v>
      </c>
      <c r="Y78" s="3" t="s">
        <v>40</v>
      </c>
      <c r="Z78" s="3" t="s">
        <v>86</v>
      </c>
      <c r="AA78" s="3" t="s">
        <v>339</v>
      </c>
      <c r="AB78" s="3" t="s">
        <v>78</v>
      </c>
      <c r="AC78" s="3" t="s">
        <v>31</v>
      </c>
      <c r="AD78" s="3">
        <v>0</v>
      </c>
    </row>
    <row r="79" spans="1:30" x14ac:dyDescent="0.3">
      <c r="A79" s="3" t="s">
        <v>589</v>
      </c>
      <c r="B79" s="3" t="s">
        <v>365</v>
      </c>
      <c r="C79" s="3" t="s">
        <v>186</v>
      </c>
      <c r="D79" s="3" t="s">
        <v>31</v>
      </c>
      <c r="E79" s="3" t="s">
        <v>32</v>
      </c>
      <c r="F79" s="12">
        <v>43830</v>
      </c>
      <c r="G79" s="3">
        <f t="shared" si="11"/>
        <v>2019</v>
      </c>
      <c r="H79" s="3" t="str">
        <f t="shared" si="12"/>
        <v>Diciembre</v>
      </c>
      <c r="I79" s="3" t="str">
        <f t="shared" si="13"/>
        <v>2019-2</v>
      </c>
      <c r="J79" s="3"/>
      <c r="K79" s="3"/>
      <c r="L79" s="3">
        <v>103822</v>
      </c>
      <c r="M79" s="3"/>
      <c r="N79" s="3"/>
      <c r="O79" s="3" t="s">
        <v>35</v>
      </c>
      <c r="P79" s="3" t="s">
        <v>35</v>
      </c>
      <c r="Q79" s="3" t="str">
        <f t="shared" si="10"/>
        <v>14.3-2019-12-31</v>
      </c>
      <c r="R79" s="3">
        <v>0</v>
      </c>
      <c r="S79" s="3">
        <v>0</v>
      </c>
      <c r="T79" s="3" t="s">
        <v>443</v>
      </c>
      <c r="U79" s="3" t="s">
        <v>37</v>
      </c>
      <c r="V79" s="3" t="s">
        <v>30</v>
      </c>
      <c r="W79" s="3" t="s">
        <v>38</v>
      </c>
      <c r="X79" s="3" t="s">
        <v>39</v>
      </c>
      <c r="Y79" s="3" t="s">
        <v>40</v>
      </c>
      <c r="Z79" s="3" t="s">
        <v>86</v>
      </c>
      <c r="AA79" s="3" t="s">
        <v>339</v>
      </c>
      <c r="AB79" s="3" t="s">
        <v>78</v>
      </c>
      <c r="AC79" s="3" t="s">
        <v>31</v>
      </c>
      <c r="AD79" s="3">
        <v>0</v>
      </c>
    </row>
    <row r="80" spans="1:30" x14ac:dyDescent="0.3">
      <c r="A80" s="3" t="s">
        <v>589</v>
      </c>
      <c r="B80" s="3" t="s">
        <v>365</v>
      </c>
      <c r="C80" s="3" t="s">
        <v>186</v>
      </c>
      <c r="D80" s="3" t="s">
        <v>31</v>
      </c>
      <c r="E80" s="3" t="s">
        <v>32</v>
      </c>
      <c r="F80" s="12">
        <v>44012</v>
      </c>
      <c r="G80" s="3">
        <f t="shared" si="11"/>
        <v>2020</v>
      </c>
      <c r="H80" s="3" t="str">
        <f t="shared" si="12"/>
        <v>Junio</v>
      </c>
      <c r="I80" s="3" t="str">
        <f t="shared" si="13"/>
        <v>2020-1</v>
      </c>
      <c r="J80" s="3">
        <v>1</v>
      </c>
      <c r="K80" s="3"/>
      <c r="L80" s="11">
        <v>53450</v>
      </c>
      <c r="M80" s="3"/>
      <c r="N80" s="3"/>
      <c r="O80" s="3" t="s">
        <v>35</v>
      </c>
      <c r="P80" s="3" t="s">
        <v>35</v>
      </c>
      <c r="Q80" s="3" t="str">
        <f t="shared" si="10"/>
        <v>14.3-2020-06-30</v>
      </c>
      <c r="R80" s="3">
        <v>0</v>
      </c>
      <c r="S80" s="3">
        <v>0</v>
      </c>
      <c r="T80" s="3" t="s">
        <v>31</v>
      </c>
      <c r="U80" s="3" t="s">
        <v>37</v>
      </c>
      <c r="V80" s="3" t="s">
        <v>30</v>
      </c>
      <c r="W80" s="3" t="s">
        <v>38</v>
      </c>
      <c r="X80" s="3" t="s">
        <v>39</v>
      </c>
      <c r="Y80" s="3" t="s">
        <v>40</v>
      </c>
      <c r="Z80" s="3" t="s">
        <v>86</v>
      </c>
      <c r="AA80" s="3" t="s">
        <v>339</v>
      </c>
      <c r="AB80" s="3" t="s">
        <v>78</v>
      </c>
      <c r="AC80" s="3" t="s">
        <v>31</v>
      </c>
      <c r="AD80" s="3">
        <v>0</v>
      </c>
    </row>
    <row r="81" spans="1:30" x14ac:dyDescent="0.3">
      <c r="A81" s="3" t="s">
        <v>589</v>
      </c>
      <c r="B81" s="3" t="s">
        <v>365</v>
      </c>
      <c r="C81" s="3" t="s">
        <v>186</v>
      </c>
      <c r="D81" s="3" t="s">
        <v>31</v>
      </c>
      <c r="E81" s="3" t="s">
        <v>32</v>
      </c>
      <c r="F81" s="12">
        <v>44196</v>
      </c>
      <c r="G81" s="3">
        <f t="shared" si="11"/>
        <v>2020</v>
      </c>
      <c r="H81" s="3" t="str">
        <f t="shared" si="12"/>
        <v>Diciembre</v>
      </c>
      <c r="I81" s="3" t="str">
        <f t="shared" si="13"/>
        <v>2020-2</v>
      </c>
      <c r="J81" s="3">
        <v>2</v>
      </c>
      <c r="K81" s="3"/>
      <c r="L81" s="11">
        <v>49051</v>
      </c>
      <c r="M81" s="3"/>
      <c r="N81" s="3"/>
      <c r="O81" s="3" t="s">
        <v>35</v>
      </c>
      <c r="P81" s="3" t="s">
        <v>35</v>
      </c>
      <c r="Q81" s="3" t="str">
        <f t="shared" si="10"/>
        <v>14.3-2020-12-31</v>
      </c>
      <c r="R81" s="3">
        <v>0</v>
      </c>
      <c r="S81" s="3">
        <v>0</v>
      </c>
      <c r="T81" s="3" t="s">
        <v>31</v>
      </c>
      <c r="U81" s="3" t="s">
        <v>37</v>
      </c>
      <c r="V81" s="3" t="s">
        <v>30</v>
      </c>
      <c r="W81" s="3" t="s">
        <v>38</v>
      </c>
      <c r="X81" s="3" t="s">
        <v>39</v>
      </c>
      <c r="Y81" s="3" t="s">
        <v>40</v>
      </c>
      <c r="Z81" s="3" t="s">
        <v>86</v>
      </c>
      <c r="AA81" s="3" t="s">
        <v>339</v>
      </c>
      <c r="AB81" s="3" t="s">
        <v>78</v>
      </c>
      <c r="AC81" s="3" t="s">
        <v>31</v>
      </c>
      <c r="AD81" s="3">
        <v>0</v>
      </c>
    </row>
    <row r="82" spans="1:30" x14ac:dyDescent="0.3">
      <c r="A82" s="3" t="s">
        <v>589</v>
      </c>
      <c r="B82" s="3" t="s">
        <v>365</v>
      </c>
      <c r="C82" s="3" t="s">
        <v>186</v>
      </c>
      <c r="D82" s="3" t="s">
        <v>31</v>
      </c>
      <c r="E82" s="3" t="s">
        <v>32</v>
      </c>
      <c r="F82" s="12">
        <v>44196</v>
      </c>
      <c r="G82" s="3">
        <f t="shared" si="11"/>
        <v>2020</v>
      </c>
      <c r="H82" s="3" t="str">
        <f t="shared" si="12"/>
        <v>Diciembre</v>
      </c>
      <c r="I82" s="3" t="str">
        <f t="shared" si="13"/>
        <v>2020-2</v>
      </c>
      <c r="J82" s="3"/>
      <c r="K82" s="3"/>
      <c r="L82" s="3">
        <v>102501</v>
      </c>
      <c r="M82" s="3"/>
      <c r="N82" s="3"/>
      <c r="O82" s="3" t="s">
        <v>35</v>
      </c>
      <c r="P82" s="3" t="s">
        <v>35</v>
      </c>
      <c r="Q82" s="3" t="str">
        <f t="shared" si="10"/>
        <v>14.3-2020-12-31</v>
      </c>
      <c r="R82" s="3">
        <v>0</v>
      </c>
      <c r="S82" s="3">
        <v>0</v>
      </c>
      <c r="T82" s="3" t="s">
        <v>443</v>
      </c>
      <c r="U82" s="3" t="s">
        <v>37</v>
      </c>
      <c r="V82" s="3" t="s">
        <v>30</v>
      </c>
      <c r="W82" s="3" t="s">
        <v>38</v>
      </c>
      <c r="X82" s="3" t="s">
        <v>39</v>
      </c>
      <c r="Y82" s="3" t="s">
        <v>40</v>
      </c>
      <c r="Z82" s="3" t="s">
        <v>86</v>
      </c>
      <c r="AA82" s="3" t="s">
        <v>339</v>
      </c>
      <c r="AB82" s="3" t="s">
        <v>78</v>
      </c>
      <c r="AC82" s="3" t="s">
        <v>31</v>
      </c>
      <c r="AD82" s="3">
        <v>0</v>
      </c>
    </row>
    <row r="83" spans="1:30" x14ac:dyDescent="0.3">
      <c r="A83" s="3" t="s">
        <v>589</v>
      </c>
      <c r="B83" s="3" t="s">
        <v>365</v>
      </c>
      <c r="C83" s="3" t="s">
        <v>186</v>
      </c>
      <c r="D83" s="3" t="s">
        <v>31</v>
      </c>
      <c r="E83" s="3" t="s">
        <v>32</v>
      </c>
      <c r="F83" s="12">
        <v>44377</v>
      </c>
      <c r="G83" s="3">
        <f t="shared" si="11"/>
        <v>2021</v>
      </c>
      <c r="H83" s="3" t="str">
        <f t="shared" si="12"/>
        <v>Junio</v>
      </c>
      <c r="I83" s="3" t="str">
        <f t="shared" si="13"/>
        <v>2021-1</v>
      </c>
      <c r="J83" s="3">
        <v>1</v>
      </c>
      <c r="K83" s="3"/>
      <c r="L83" s="11">
        <v>49449</v>
      </c>
      <c r="M83" s="3"/>
      <c r="N83" s="3"/>
      <c r="O83" s="3" t="s">
        <v>35</v>
      </c>
      <c r="P83" s="3" t="s">
        <v>35</v>
      </c>
      <c r="Q83" s="3" t="str">
        <f t="shared" si="10"/>
        <v>14.3-2021-06-30</v>
      </c>
      <c r="R83" s="3">
        <v>0</v>
      </c>
      <c r="S83" s="3">
        <v>0</v>
      </c>
      <c r="T83" s="3" t="s">
        <v>31</v>
      </c>
      <c r="U83" s="3" t="s">
        <v>37</v>
      </c>
      <c r="V83" s="3" t="s">
        <v>30</v>
      </c>
      <c r="W83" s="3" t="s">
        <v>38</v>
      </c>
      <c r="X83" s="3" t="s">
        <v>39</v>
      </c>
      <c r="Y83" s="3" t="s">
        <v>40</v>
      </c>
      <c r="Z83" s="3" t="s">
        <v>86</v>
      </c>
      <c r="AA83" s="3" t="s">
        <v>339</v>
      </c>
      <c r="AB83" s="3" t="s">
        <v>78</v>
      </c>
      <c r="AC83" s="3" t="s">
        <v>31</v>
      </c>
      <c r="AD83" s="3">
        <v>0</v>
      </c>
    </row>
    <row r="84" spans="1:30" x14ac:dyDescent="0.3">
      <c r="A84" s="3" t="s">
        <v>589</v>
      </c>
      <c r="B84" s="3" t="s">
        <v>365</v>
      </c>
      <c r="C84" s="3" t="s">
        <v>186</v>
      </c>
      <c r="D84" s="3" t="s">
        <v>31</v>
      </c>
      <c r="E84" s="3" t="s">
        <v>32</v>
      </c>
      <c r="F84" s="12">
        <v>44561</v>
      </c>
      <c r="G84" s="3">
        <f t="shared" si="11"/>
        <v>2021</v>
      </c>
      <c r="H84" s="3" t="str">
        <f t="shared" si="12"/>
        <v>Diciembre</v>
      </c>
      <c r="I84" s="3" t="str">
        <f t="shared" si="13"/>
        <v>2021-2</v>
      </c>
      <c r="J84" s="3">
        <v>2</v>
      </c>
      <c r="K84" s="3"/>
      <c r="L84" s="11">
        <v>47079</v>
      </c>
      <c r="M84" s="3"/>
      <c r="N84" s="3"/>
      <c r="O84" s="3" t="s">
        <v>35</v>
      </c>
      <c r="P84" s="3" t="s">
        <v>35</v>
      </c>
      <c r="Q84" s="3" t="str">
        <f t="shared" si="10"/>
        <v>14.3-2021-12-31</v>
      </c>
      <c r="R84" s="3">
        <v>0</v>
      </c>
      <c r="S84" s="3">
        <v>0</v>
      </c>
      <c r="T84" s="3" t="s">
        <v>31</v>
      </c>
      <c r="U84" s="3" t="s">
        <v>37</v>
      </c>
      <c r="V84" s="3" t="s">
        <v>30</v>
      </c>
      <c r="W84" s="3" t="s">
        <v>38</v>
      </c>
      <c r="X84" s="3" t="s">
        <v>39</v>
      </c>
      <c r="Y84" s="3" t="s">
        <v>40</v>
      </c>
      <c r="Z84" s="3" t="s">
        <v>86</v>
      </c>
      <c r="AA84" s="3" t="s">
        <v>339</v>
      </c>
      <c r="AB84" s="3" t="s">
        <v>78</v>
      </c>
      <c r="AC84" s="3" t="s">
        <v>31</v>
      </c>
      <c r="AD84" s="3">
        <v>0</v>
      </c>
    </row>
    <row r="85" spans="1:30" x14ac:dyDescent="0.3">
      <c r="A85" s="3" t="s">
        <v>589</v>
      </c>
      <c r="B85" s="3" t="s">
        <v>365</v>
      </c>
      <c r="C85" s="3" t="s">
        <v>186</v>
      </c>
      <c r="D85" s="3" t="s">
        <v>31</v>
      </c>
      <c r="E85" s="3" t="s">
        <v>32</v>
      </c>
      <c r="F85" s="12">
        <v>44561</v>
      </c>
      <c r="G85" s="3">
        <f t="shared" si="11"/>
        <v>2021</v>
      </c>
      <c r="H85" s="3" t="str">
        <f t="shared" si="12"/>
        <v>Diciembre</v>
      </c>
      <c r="I85" s="3" t="str">
        <f t="shared" si="13"/>
        <v>2021-2</v>
      </c>
      <c r="J85" s="3"/>
      <c r="K85" s="3"/>
      <c r="L85" s="3">
        <v>96528</v>
      </c>
      <c r="M85" s="3"/>
      <c r="N85" s="3"/>
      <c r="O85" s="3" t="s">
        <v>35</v>
      </c>
      <c r="P85" s="3" t="s">
        <v>35</v>
      </c>
      <c r="Q85" s="3" t="str">
        <f t="shared" si="10"/>
        <v>14.3-2021-12-31</v>
      </c>
      <c r="R85" s="3">
        <v>0</v>
      </c>
      <c r="S85" s="3">
        <v>0</v>
      </c>
      <c r="T85" s="3" t="s">
        <v>443</v>
      </c>
      <c r="U85" s="3" t="s">
        <v>37</v>
      </c>
      <c r="V85" s="3" t="s">
        <v>30</v>
      </c>
      <c r="W85" s="3" t="s">
        <v>38</v>
      </c>
      <c r="X85" s="3" t="s">
        <v>39</v>
      </c>
      <c r="Y85" s="3" t="s">
        <v>40</v>
      </c>
      <c r="Z85" s="3" t="s">
        <v>86</v>
      </c>
      <c r="AA85" s="3" t="s">
        <v>339</v>
      </c>
      <c r="AB85" s="3" t="s">
        <v>78</v>
      </c>
      <c r="AC85" s="3" t="s">
        <v>31</v>
      </c>
      <c r="AD85" s="3">
        <v>0</v>
      </c>
    </row>
    <row r="86" spans="1:30" x14ac:dyDescent="0.3">
      <c r="A86" s="3" t="s">
        <v>589</v>
      </c>
      <c r="B86" s="3" t="s">
        <v>365</v>
      </c>
      <c r="C86" s="3" t="s">
        <v>186</v>
      </c>
      <c r="D86" s="3" t="s">
        <v>31</v>
      </c>
      <c r="E86" s="3" t="s">
        <v>32</v>
      </c>
      <c r="F86" s="12">
        <v>44742</v>
      </c>
      <c r="G86" s="3">
        <v>2022</v>
      </c>
      <c r="H86" s="3" t="s">
        <v>33</v>
      </c>
      <c r="I86" s="3" t="s">
        <v>34</v>
      </c>
      <c r="J86" s="3">
        <v>1</v>
      </c>
      <c r="K86" s="3">
        <v>48022</v>
      </c>
      <c r="L86" s="3">
        <v>48614</v>
      </c>
      <c r="M86" s="3">
        <v>1.012327683145225</v>
      </c>
      <c r="N86" s="3">
        <v>1.012327683145225</v>
      </c>
      <c r="O86" s="3" t="s">
        <v>35</v>
      </c>
      <c r="P86" s="3" t="s">
        <v>35</v>
      </c>
      <c r="Q86" s="3" t="str">
        <f t="shared" si="10"/>
        <v>14.3-2022-06-30</v>
      </c>
      <c r="R86" s="3">
        <v>0</v>
      </c>
      <c r="S86" s="3">
        <v>0</v>
      </c>
      <c r="T86" s="3" t="s">
        <v>31</v>
      </c>
      <c r="U86" s="3" t="s">
        <v>37</v>
      </c>
      <c r="V86" s="3" t="s">
        <v>30</v>
      </c>
      <c r="W86" s="3" t="s">
        <v>38</v>
      </c>
      <c r="X86" s="3" t="s">
        <v>39</v>
      </c>
      <c r="Y86" s="3" t="s">
        <v>40</v>
      </c>
      <c r="Z86" s="3" t="s">
        <v>86</v>
      </c>
      <c r="AA86" s="3" t="s">
        <v>339</v>
      </c>
      <c r="AB86" s="3" t="s">
        <v>78</v>
      </c>
      <c r="AC86" s="3" t="s">
        <v>31</v>
      </c>
      <c r="AD86" s="3">
        <v>0</v>
      </c>
    </row>
    <row r="87" spans="1:30" x14ac:dyDescent="0.3">
      <c r="A87" s="3" t="s">
        <v>589</v>
      </c>
      <c r="B87" s="3" t="s">
        <v>365</v>
      </c>
      <c r="C87" s="3" t="s">
        <v>186</v>
      </c>
      <c r="D87" s="3" t="s">
        <v>31</v>
      </c>
      <c r="E87" s="3" t="s">
        <v>32</v>
      </c>
      <c r="F87" s="12">
        <v>44926</v>
      </c>
      <c r="G87" s="3">
        <v>2022</v>
      </c>
      <c r="H87" s="3" t="s">
        <v>44</v>
      </c>
      <c r="I87" s="3" t="s">
        <v>45</v>
      </c>
      <c r="J87" s="3">
        <v>2</v>
      </c>
      <c r="K87" s="3">
        <v>46674</v>
      </c>
      <c r="L87" s="3">
        <v>47631</v>
      </c>
      <c r="M87" s="3">
        <v>1.020503920812444</v>
      </c>
      <c r="N87" s="3">
        <v>1.020503920812444</v>
      </c>
      <c r="O87" s="3" t="s">
        <v>35</v>
      </c>
      <c r="P87" s="3" t="s">
        <v>35</v>
      </c>
      <c r="Q87" s="3" t="str">
        <f t="shared" si="10"/>
        <v>14.3-2022-12-31</v>
      </c>
      <c r="R87" s="3">
        <v>0</v>
      </c>
      <c r="S87" s="3">
        <v>0</v>
      </c>
      <c r="T87" s="3" t="s">
        <v>31</v>
      </c>
      <c r="U87" s="3" t="s">
        <v>37</v>
      </c>
      <c r="V87" s="3" t="s">
        <v>30</v>
      </c>
      <c r="W87" s="3" t="s">
        <v>38</v>
      </c>
      <c r="X87" s="3" t="s">
        <v>39</v>
      </c>
      <c r="Y87" s="3" t="s">
        <v>40</v>
      </c>
      <c r="Z87" s="3" t="s">
        <v>86</v>
      </c>
      <c r="AA87" s="3" t="s">
        <v>339</v>
      </c>
      <c r="AB87" s="3" t="s">
        <v>78</v>
      </c>
      <c r="AC87" s="3" t="s">
        <v>31</v>
      </c>
      <c r="AD87" s="3">
        <v>0</v>
      </c>
    </row>
    <row r="88" spans="1:30" x14ac:dyDescent="0.3">
      <c r="A88" s="3" t="s">
        <v>589</v>
      </c>
      <c r="B88" s="3" t="s">
        <v>365</v>
      </c>
      <c r="C88" s="3" t="s">
        <v>186</v>
      </c>
      <c r="D88" s="3" t="s">
        <v>31</v>
      </c>
      <c r="E88" s="3" t="s">
        <v>32</v>
      </c>
      <c r="F88" s="12">
        <v>44926</v>
      </c>
      <c r="G88" s="3">
        <v>2022</v>
      </c>
      <c r="H88" s="3" t="s">
        <v>44</v>
      </c>
      <c r="I88" s="3" t="s">
        <v>45</v>
      </c>
      <c r="J88" s="3"/>
      <c r="K88" s="3">
        <v>94696</v>
      </c>
      <c r="L88" s="3">
        <v>96245</v>
      </c>
      <c r="M88" s="3">
        <v>1.016357607501901</v>
      </c>
      <c r="N88" s="3">
        <v>1.016357607501901</v>
      </c>
      <c r="O88" s="3" t="s">
        <v>35</v>
      </c>
      <c r="P88" s="3" t="s">
        <v>35</v>
      </c>
      <c r="Q88" s="3" t="str">
        <f t="shared" si="10"/>
        <v>14.3-2022-12-31</v>
      </c>
      <c r="R88" s="3">
        <v>0</v>
      </c>
      <c r="S88" s="3">
        <v>0</v>
      </c>
      <c r="T88" s="3" t="s">
        <v>443</v>
      </c>
      <c r="U88" s="3" t="s">
        <v>37</v>
      </c>
      <c r="V88" s="3" t="s">
        <v>30</v>
      </c>
      <c r="W88" s="3" t="s">
        <v>38</v>
      </c>
      <c r="X88" s="3" t="s">
        <v>39</v>
      </c>
      <c r="Y88" s="3" t="s">
        <v>40</v>
      </c>
      <c r="Z88" s="3" t="s">
        <v>86</v>
      </c>
      <c r="AA88" s="3" t="s">
        <v>339</v>
      </c>
      <c r="AB88" s="3" t="s">
        <v>78</v>
      </c>
      <c r="AC88" s="3" t="s">
        <v>31</v>
      </c>
      <c r="AD88" s="3">
        <v>0</v>
      </c>
    </row>
    <row r="89" spans="1:30" x14ac:dyDescent="0.3">
      <c r="A89" s="3" t="s">
        <v>589</v>
      </c>
      <c r="B89" s="3" t="s">
        <v>365</v>
      </c>
      <c r="C89" s="3" t="s">
        <v>186</v>
      </c>
      <c r="D89" s="3" t="s">
        <v>31</v>
      </c>
      <c r="E89" s="3" t="s">
        <v>32</v>
      </c>
      <c r="F89" s="12">
        <v>45107</v>
      </c>
      <c r="G89" s="3">
        <v>2023</v>
      </c>
      <c r="H89" s="3" t="s">
        <v>33</v>
      </c>
      <c r="I89" s="3" t="s">
        <v>47</v>
      </c>
      <c r="J89" s="3">
        <v>1</v>
      </c>
      <c r="K89" s="3">
        <v>49451</v>
      </c>
      <c r="L89" s="3">
        <v>48483</v>
      </c>
      <c r="M89" s="3">
        <v>0.98042506723827627</v>
      </c>
      <c r="N89" s="3">
        <v>0.98042506723827627</v>
      </c>
      <c r="O89" s="3" t="s">
        <v>35</v>
      </c>
      <c r="P89" s="3" t="s">
        <v>35</v>
      </c>
      <c r="Q89" s="3" t="str">
        <f t="shared" si="10"/>
        <v>14.3-2023-06-30</v>
      </c>
      <c r="R89" s="3">
        <v>0</v>
      </c>
      <c r="S89" s="3">
        <v>0</v>
      </c>
      <c r="T89" s="3" t="s">
        <v>31</v>
      </c>
      <c r="U89" s="3" t="s">
        <v>37</v>
      </c>
      <c r="V89" s="3" t="s">
        <v>30</v>
      </c>
      <c r="W89" s="3" t="s">
        <v>38</v>
      </c>
      <c r="X89" s="3" t="s">
        <v>39</v>
      </c>
      <c r="Y89" s="3" t="s">
        <v>40</v>
      </c>
      <c r="Z89" s="3" t="s">
        <v>86</v>
      </c>
      <c r="AA89" s="3" t="s">
        <v>339</v>
      </c>
      <c r="AB89" s="3" t="s">
        <v>78</v>
      </c>
      <c r="AC89" s="3" t="s">
        <v>31</v>
      </c>
      <c r="AD89" s="3">
        <v>0</v>
      </c>
    </row>
    <row r="90" spans="1:30" x14ac:dyDescent="0.3">
      <c r="A90" s="3" t="s">
        <v>589</v>
      </c>
      <c r="B90" s="3" t="s">
        <v>365</v>
      </c>
      <c r="C90" s="3" t="s">
        <v>186</v>
      </c>
      <c r="D90" s="3" t="s">
        <v>31</v>
      </c>
      <c r="E90" s="3" t="s">
        <v>32</v>
      </c>
      <c r="F90" s="12">
        <v>45291</v>
      </c>
      <c r="G90" s="3">
        <v>2023</v>
      </c>
      <c r="H90" s="3" t="s">
        <v>44</v>
      </c>
      <c r="I90" s="3" t="s">
        <v>49</v>
      </c>
      <c r="J90" s="3">
        <v>2</v>
      </c>
      <c r="K90" s="3">
        <v>48891</v>
      </c>
      <c r="L90" s="3">
        <v>48047</v>
      </c>
      <c r="M90" s="3">
        <v>0.98273710907938061</v>
      </c>
      <c r="N90" s="3">
        <v>0.98273710907938061</v>
      </c>
      <c r="O90" s="3" t="s">
        <v>35</v>
      </c>
      <c r="P90" s="3" t="s">
        <v>35</v>
      </c>
      <c r="Q90" s="3" t="str">
        <f t="shared" si="10"/>
        <v>14.3-2023-12-31</v>
      </c>
      <c r="R90" s="3">
        <v>0</v>
      </c>
      <c r="S90" s="3">
        <v>0</v>
      </c>
      <c r="T90" s="3" t="s">
        <v>31</v>
      </c>
      <c r="U90" s="3" t="s">
        <v>37</v>
      </c>
      <c r="V90" s="3" t="s">
        <v>30</v>
      </c>
      <c r="W90" s="3" t="s">
        <v>38</v>
      </c>
      <c r="X90" s="3" t="s">
        <v>39</v>
      </c>
      <c r="Y90" s="3" t="s">
        <v>40</v>
      </c>
      <c r="Z90" s="3" t="s">
        <v>86</v>
      </c>
      <c r="AA90" s="3" t="s">
        <v>339</v>
      </c>
      <c r="AB90" s="3" t="s">
        <v>78</v>
      </c>
      <c r="AC90" s="3" t="s">
        <v>31</v>
      </c>
      <c r="AD90" s="3">
        <v>0</v>
      </c>
    </row>
    <row r="91" spans="1:30" x14ac:dyDescent="0.3">
      <c r="A91" s="3" t="s">
        <v>589</v>
      </c>
      <c r="B91" s="3" t="s">
        <v>365</v>
      </c>
      <c r="C91" s="3" t="s">
        <v>186</v>
      </c>
      <c r="D91" s="3" t="s">
        <v>31</v>
      </c>
      <c r="E91" s="3" t="s">
        <v>32</v>
      </c>
      <c r="F91" s="12">
        <v>45291</v>
      </c>
      <c r="G91" s="3">
        <v>2023</v>
      </c>
      <c r="H91" s="3" t="s">
        <v>44</v>
      </c>
      <c r="I91" s="3" t="s">
        <v>49</v>
      </c>
      <c r="J91" s="3"/>
      <c r="K91" s="3">
        <v>98342</v>
      </c>
      <c r="L91" s="3">
        <v>96530</v>
      </c>
      <c r="M91" s="3">
        <v>0.98157450529783818</v>
      </c>
      <c r="N91" s="3">
        <v>0.98157450529783818</v>
      </c>
      <c r="O91" s="3" t="s">
        <v>35</v>
      </c>
      <c r="P91" s="3" t="s">
        <v>35</v>
      </c>
      <c r="Q91" s="3" t="str">
        <f t="shared" si="10"/>
        <v>14.3-2023-12-31</v>
      </c>
      <c r="R91" s="3">
        <v>0</v>
      </c>
      <c r="S91" s="3">
        <v>0</v>
      </c>
      <c r="T91" s="3" t="s">
        <v>443</v>
      </c>
      <c r="U91" s="3" t="s">
        <v>37</v>
      </c>
      <c r="V91" s="3" t="s">
        <v>30</v>
      </c>
      <c r="W91" s="3" t="s">
        <v>38</v>
      </c>
      <c r="X91" s="3" t="s">
        <v>39</v>
      </c>
      <c r="Y91" s="3" t="s">
        <v>40</v>
      </c>
      <c r="Z91" s="3" t="s">
        <v>86</v>
      </c>
      <c r="AA91" s="3" t="s">
        <v>339</v>
      </c>
      <c r="AB91" s="3" t="s">
        <v>78</v>
      </c>
      <c r="AC91" s="3" t="s">
        <v>31</v>
      </c>
      <c r="AD91" s="3">
        <v>0</v>
      </c>
    </row>
    <row r="92" spans="1:30" x14ac:dyDescent="0.3">
      <c r="A92" s="3" t="s">
        <v>589</v>
      </c>
      <c r="B92" s="3" t="s">
        <v>365</v>
      </c>
      <c r="C92" s="3" t="s">
        <v>186</v>
      </c>
      <c r="D92" s="3" t="s">
        <v>31</v>
      </c>
      <c r="E92" s="3" t="s">
        <v>32</v>
      </c>
      <c r="F92" s="12">
        <v>45473</v>
      </c>
      <c r="G92" s="3">
        <v>2024</v>
      </c>
      <c r="H92" s="3" t="s">
        <v>33</v>
      </c>
      <c r="I92" s="3" t="s">
        <v>51</v>
      </c>
      <c r="J92" s="3">
        <v>1</v>
      </c>
      <c r="K92" s="3">
        <v>49310</v>
      </c>
      <c r="L92" s="3">
        <v>49100</v>
      </c>
      <c r="M92" s="3">
        <f t="shared" ref="M92:M97" si="14">+L92/K92</f>
        <v>0.99574122895964312</v>
      </c>
      <c r="N92" s="3">
        <f t="shared" ref="N92:N97" si="15">+L92/K92</f>
        <v>0.99574122895964312</v>
      </c>
      <c r="O92" s="3" t="s">
        <v>35</v>
      </c>
      <c r="P92" s="3" t="s">
        <v>35</v>
      </c>
      <c r="Q92" s="3" t="str">
        <f t="shared" si="10"/>
        <v>14.3-2024-06-30</v>
      </c>
      <c r="R92" s="3">
        <v>0</v>
      </c>
      <c r="S92" s="3">
        <v>0</v>
      </c>
      <c r="T92" s="3" t="s">
        <v>31</v>
      </c>
      <c r="U92" s="3" t="s">
        <v>37</v>
      </c>
      <c r="V92" s="3" t="s">
        <v>30</v>
      </c>
      <c r="W92" s="3" t="s">
        <v>38</v>
      </c>
      <c r="X92" s="3" t="s">
        <v>39</v>
      </c>
      <c r="Y92" s="3" t="s">
        <v>40</v>
      </c>
      <c r="Z92" s="3" t="s">
        <v>86</v>
      </c>
      <c r="AA92" s="3" t="s">
        <v>339</v>
      </c>
      <c r="AB92" s="3" t="s">
        <v>78</v>
      </c>
      <c r="AC92" s="3" t="s">
        <v>31</v>
      </c>
      <c r="AD92" s="3">
        <v>0</v>
      </c>
    </row>
    <row r="93" spans="1:30" x14ac:dyDescent="0.3">
      <c r="A93" s="3" t="s">
        <v>589</v>
      </c>
      <c r="B93" s="3" t="s">
        <v>365</v>
      </c>
      <c r="C93" s="3" t="s">
        <v>186</v>
      </c>
      <c r="D93" s="3" t="s">
        <v>31</v>
      </c>
      <c r="E93" s="3" t="s">
        <v>32</v>
      </c>
      <c r="F93" s="12">
        <v>45657</v>
      </c>
      <c r="G93" s="3">
        <v>2024</v>
      </c>
      <c r="H93" s="3" t="s">
        <v>44</v>
      </c>
      <c r="I93" s="3" t="s">
        <v>53</v>
      </c>
      <c r="J93" s="3">
        <v>2</v>
      </c>
      <c r="K93" s="3">
        <v>48061</v>
      </c>
      <c r="L93" s="3">
        <v>48339</v>
      </c>
      <c r="M93" s="3">
        <f t="shared" si="14"/>
        <v>1.0057843157653814</v>
      </c>
      <c r="N93" s="3">
        <f t="shared" si="15"/>
        <v>1.0057843157653814</v>
      </c>
      <c r="O93" s="3" t="s">
        <v>35</v>
      </c>
      <c r="P93" s="3" t="s">
        <v>35</v>
      </c>
      <c r="Q93" s="3" t="str">
        <f t="shared" si="10"/>
        <v>14.3-2024-12-31</v>
      </c>
      <c r="R93" s="3">
        <v>0</v>
      </c>
      <c r="S93" s="3">
        <v>0</v>
      </c>
      <c r="T93" s="3" t="s">
        <v>31</v>
      </c>
      <c r="U93" s="3" t="s">
        <v>37</v>
      </c>
      <c r="V93" s="3" t="s">
        <v>30</v>
      </c>
      <c r="W93" s="3" t="s">
        <v>38</v>
      </c>
      <c r="X93" s="3" t="s">
        <v>39</v>
      </c>
      <c r="Y93" s="3" t="s">
        <v>40</v>
      </c>
      <c r="Z93" s="3" t="s">
        <v>86</v>
      </c>
      <c r="AA93" s="3" t="s">
        <v>339</v>
      </c>
      <c r="AB93" s="3" t="s">
        <v>78</v>
      </c>
      <c r="AC93" s="3" t="s">
        <v>31</v>
      </c>
      <c r="AD93" s="3">
        <v>0</v>
      </c>
    </row>
    <row r="94" spans="1:30" x14ac:dyDescent="0.3">
      <c r="A94" s="3" t="s">
        <v>589</v>
      </c>
      <c r="B94" s="3" t="s">
        <v>365</v>
      </c>
      <c r="C94" s="3" t="s">
        <v>186</v>
      </c>
      <c r="D94" s="3" t="s">
        <v>31</v>
      </c>
      <c r="E94" s="3" t="s">
        <v>32</v>
      </c>
      <c r="F94" s="12">
        <v>45657</v>
      </c>
      <c r="G94" s="3">
        <v>2024</v>
      </c>
      <c r="H94" s="3" t="s">
        <v>44</v>
      </c>
      <c r="I94" s="3" t="s">
        <v>53</v>
      </c>
      <c r="J94" s="3"/>
      <c r="K94" s="3">
        <v>97371</v>
      </c>
      <c r="L94" s="3">
        <v>97439</v>
      </c>
      <c r="M94" s="3">
        <f t="shared" si="14"/>
        <v>1.0006983598812789</v>
      </c>
      <c r="N94" s="3">
        <f t="shared" si="15"/>
        <v>1.0006983598812789</v>
      </c>
      <c r="O94" s="3" t="s">
        <v>35</v>
      </c>
      <c r="P94" s="3" t="s">
        <v>35</v>
      </c>
      <c r="Q94" s="3" t="str">
        <f t="shared" si="10"/>
        <v>14.3-2024-12-31</v>
      </c>
      <c r="R94" s="3">
        <v>0</v>
      </c>
      <c r="S94" s="3">
        <v>0</v>
      </c>
      <c r="T94" s="3" t="s">
        <v>443</v>
      </c>
      <c r="U94" s="3" t="s">
        <v>37</v>
      </c>
      <c r="V94" s="3" t="s">
        <v>30</v>
      </c>
      <c r="W94" s="3" t="s">
        <v>38</v>
      </c>
      <c r="X94" s="3" t="s">
        <v>39</v>
      </c>
      <c r="Y94" s="3" t="s">
        <v>40</v>
      </c>
      <c r="Z94" s="3" t="s">
        <v>86</v>
      </c>
      <c r="AA94" s="3" t="s">
        <v>339</v>
      </c>
      <c r="AB94" s="3" t="s">
        <v>78</v>
      </c>
      <c r="AC94" s="3" t="s">
        <v>31</v>
      </c>
      <c r="AD94" s="3">
        <v>0</v>
      </c>
    </row>
    <row r="95" spans="1:30" x14ac:dyDescent="0.3">
      <c r="A95" s="3" t="s">
        <v>589</v>
      </c>
      <c r="B95" s="3" t="s">
        <v>365</v>
      </c>
      <c r="C95" s="3" t="s">
        <v>186</v>
      </c>
      <c r="D95" s="3" t="s">
        <v>31</v>
      </c>
      <c r="E95" s="3" t="s">
        <v>32</v>
      </c>
      <c r="F95" s="12">
        <v>45838</v>
      </c>
      <c r="G95" s="3">
        <v>2025</v>
      </c>
      <c r="H95" s="3" t="s">
        <v>33</v>
      </c>
      <c r="I95" s="3" t="s">
        <v>404</v>
      </c>
      <c r="J95" s="3">
        <v>1</v>
      </c>
      <c r="K95" s="3">
        <v>49640</v>
      </c>
      <c r="L95" s="3">
        <v>52096</v>
      </c>
      <c r="M95" s="3">
        <f t="shared" si="14"/>
        <v>1.0494762288477035</v>
      </c>
      <c r="N95" s="3">
        <f t="shared" si="15"/>
        <v>1.0494762288477035</v>
      </c>
      <c r="O95" s="3" t="s">
        <v>35</v>
      </c>
      <c r="P95" s="3" t="s">
        <v>35</v>
      </c>
      <c r="Q95" s="3" t="str">
        <f t="shared" si="10"/>
        <v>14.3-2025-06-30</v>
      </c>
      <c r="R95" s="3">
        <v>0</v>
      </c>
      <c r="S95" s="3">
        <v>0</v>
      </c>
      <c r="T95" s="3" t="s">
        <v>31</v>
      </c>
      <c r="U95" s="3" t="s">
        <v>37</v>
      </c>
      <c r="V95" s="3" t="s">
        <v>30</v>
      </c>
      <c r="W95" s="3" t="s">
        <v>38</v>
      </c>
      <c r="X95" s="3" t="s">
        <v>39</v>
      </c>
      <c r="Y95" s="3" t="s">
        <v>40</v>
      </c>
      <c r="Z95" s="3" t="s">
        <v>86</v>
      </c>
      <c r="AA95" s="3" t="s">
        <v>339</v>
      </c>
      <c r="AB95" s="3" t="s">
        <v>78</v>
      </c>
      <c r="AC95" s="3" t="s">
        <v>31</v>
      </c>
      <c r="AD95" s="3">
        <v>0</v>
      </c>
    </row>
    <row r="96" spans="1:30" x14ac:dyDescent="0.3">
      <c r="A96" s="3" t="s">
        <v>589</v>
      </c>
      <c r="B96" s="3" t="s">
        <v>365</v>
      </c>
      <c r="C96" s="3" t="s">
        <v>186</v>
      </c>
      <c r="D96" s="3" t="s">
        <v>31</v>
      </c>
      <c r="E96" s="3" t="s">
        <v>32</v>
      </c>
      <c r="F96" s="12">
        <v>46022</v>
      </c>
      <c r="G96" s="3">
        <v>2025</v>
      </c>
      <c r="H96" s="3" t="s">
        <v>44</v>
      </c>
      <c r="I96" s="3" t="s">
        <v>465</v>
      </c>
      <c r="J96" s="3">
        <v>2</v>
      </c>
      <c r="K96" s="3">
        <v>51739</v>
      </c>
      <c r="L96" s="11">
        <v>52271</v>
      </c>
      <c r="M96" s="3">
        <f t="shared" si="14"/>
        <v>1.0102823788631401</v>
      </c>
      <c r="N96" s="3">
        <f t="shared" si="15"/>
        <v>1.0102823788631401</v>
      </c>
      <c r="O96" s="3" t="s">
        <v>35</v>
      </c>
      <c r="P96" s="3" t="s">
        <v>35</v>
      </c>
      <c r="Q96" s="3" t="str">
        <f t="shared" si="10"/>
        <v>14.3-2025-12-31</v>
      </c>
      <c r="R96" s="3">
        <v>0</v>
      </c>
      <c r="S96" s="3">
        <v>0</v>
      </c>
      <c r="T96" s="3" t="s">
        <v>31</v>
      </c>
      <c r="U96" s="3" t="s">
        <v>37</v>
      </c>
      <c r="V96" s="3" t="s">
        <v>30</v>
      </c>
      <c r="W96" s="3" t="s">
        <v>38</v>
      </c>
      <c r="X96" s="3" t="s">
        <v>39</v>
      </c>
      <c r="Y96" s="3" t="s">
        <v>40</v>
      </c>
      <c r="Z96" s="3" t="s">
        <v>86</v>
      </c>
      <c r="AA96" s="3" t="s">
        <v>339</v>
      </c>
      <c r="AB96" s="3" t="s">
        <v>78</v>
      </c>
      <c r="AC96" s="3" t="s">
        <v>31</v>
      </c>
      <c r="AD96" s="3">
        <v>0</v>
      </c>
    </row>
    <row r="97" spans="1:30" x14ac:dyDescent="0.3">
      <c r="A97" s="3" t="s">
        <v>589</v>
      </c>
      <c r="B97" s="3" t="s">
        <v>365</v>
      </c>
      <c r="C97" s="3" t="s">
        <v>186</v>
      </c>
      <c r="D97" s="3" t="s">
        <v>31</v>
      </c>
      <c r="E97" s="3" t="s">
        <v>32</v>
      </c>
      <c r="F97" s="12">
        <v>46022</v>
      </c>
      <c r="G97" s="3">
        <v>2025</v>
      </c>
      <c r="H97" s="3" t="s">
        <v>44</v>
      </c>
      <c r="I97" s="3" t="s">
        <v>465</v>
      </c>
      <c r="J97" s="3"/>
      <c r="K97" s="3">
        <v>101379</v>
      </c>
      <c r="L97" s="3">
        <v>104367</v>
      </c>
      <c r="M97" s="3">
        <f t="shared" si="14"/>
        <v>1.0294735596129376</v>
      </c>
      <c r="N97" s="3">
        <f t="shared" si="15"/>
        <v>1.0294735596129376</v>
      </c>
      <c r="O97" s="3" t="s">
        <v>35</v>
      </c>
      <c r="P97" s="3" t="s">
        <v>35</v>
      </c>
      <c r="Q97" s="3" t="str">
        <f t="shared" si="10"/>
        <v>14.3-2025-12-31</v>
      </c>
      <c r="R97" s="3">
        <v>0</v>
      </c>
      <c r="S97" s="3">
        <v>0</v>
      </c>
      <c r="T97" s="3" t="s">
        <v>443</v>
      </c>
      <c r="U97" s="3" t="s">
        <v>37</v>
      </c>
      <c r="V97" s="3" t="s">
        <v>30</v>
      </c>
      <c r="W97" s="3" t="s">
        <v>38</v>
      </c>
      <c r="X97" s="3" t="s">
        <v>39</v>
      </c>
      <c r="Y97" s="3" t="s">
        <v>40</v>
      </c>
      <c r="Z97" s="3" t="s">
        <v>86</v>
      </c>
      <c r="AA97" s="3" t="s">
        <v>339</v>
      </c>
      <c r="AB97" s="3" t="s">
        <v>78</v>
      </c>
      <c r="AC97" s="3" t="s">
        <v>31</v>
      </c>
      <c r="AD97" s="3">
        <v>0</v>
      </c>
    </row>
    <row r="98" spans="1:30" x14ac:dyDescent="0.3">
      <c r="A98" s="3" t="s">
        <v>590</v>
      </c>
      <c r="B98" s="3" t="s">
        <v>371</v>
      </c>
      <c r="C98" s="3" t="s">
        <v>186</v>
      </c>
      <c r="D98" s="3" t="s">
        <v>31</v>
      </c>
      <c r="E98" s="3" t="s">
        <v>32</v>
      </c>
      <c r="F98" s="12">
        <v>43281</v>
      </c>
      <c r="G98" s="3">
        <f t="shared" ref="G98:G109" si="16">YEAR(F98)</f>
        <v>2018</v>
      </c>
      <c r="H98" s="3" t="str">
        <f t="shared" ref="H98:H109" si="17">PROPER(TEXT(F98,"mmmm"))</f>
        <v>Junio</v>
      </c>
      <c r="I98" s="3" t="str">
        <f t="shared" ref="I98:I109" si="18">IF(H98="Junio",G98&amp;"-1",G98&amp;"-2")</f>
        <v>2018-1</v>
      </c>
      <c r="J98" s="3">
        <v>1</v>
      </c>
      <c r="K98" s="3"/>
      <c r="L98" s="11">
        <v>1707</v>
      </c>
      <c r="M98" s="3"/>
      <c r="N98" s="3"/>
      <c r="O98" s="3" t="s">
        <v>35</v>
      </c>
      <c r="P98" s="3" t="s">
        <v>35</v>
      </c>
      <c r="Q98" s="3" t="str">
        <f t="shared" si="10"/>
        <v>14.4-2018-06-30</v>
      </c>
      <c r="R98" s="3">
        <v>0</v>
      </c>
      <c r="S98" s="3">
        <v>0</v>
      </c>
      <c r="T98" s="3" t="s">
        <v>31</v>
      </c>
      <c r="U98" s="3" t="s">
        <v>37</v>
      </c>
      <c r="V98" s="3" t="s">
        <v>30</v>
      </c>
      <c r="W98" s="3" t="s">
        <v>38</v>
      </c>
      <c r="X98" s="3" t="s">
        <v>39</v>
      </c>
      <c r="Y98" s="3" t="s">
        <v>40</v>
      </c>
      <c r="Z98" s="3" t="s">
        <v>86</v>
      </c>
      <c r="AA98" s="3" t="s">
        <v>339</v>
      </c>
      <c r="AB98" s="3" t="s">
        <v>78</v>
      </c>
      <c r="AC98" s="3" t="s">
        <v>31</v>
      </c>
      <c r="AD98" s="3">
        <v>0</v>
      </c>
    </row>
    <row r="99" spans="1:30" x14ac:dyDescent="0.3">
      <c r="A99" s="3" t="s">
        <v>590</v>
      </c>
      <c r="B99" s="3" t="s">
        <v>371</v>
      </c>
      <c r="C99" s="3" t="s">
        <v>186</v>
      </c>
      <c r="D99" s="3" t="s">
        <v>31</v>
      </c>
      <c r="E99" s="3" t="s">
        <v>32</v>
      </c>
      <c r="F99" s="12">
        <v>43465</v>
      </c>
      <c r="G99" s="3">
        <f t="shared" si="16"/>
        <v>2018</v>
      </c>
      <c r="H99" s="3" t="str">
        <f t="shared" si="17"/>
        <v>Diciembre</v>
      </c>
      <c r="I99" s="3" t="str">
        <f t="shared" si="18"/>
        <v>2018-2</v>
      </c>
      <c r="J99" s="3">
        <v>2</v>
      </c>
      <c r="K99" s="3"/>
      <c r="L99" s="11">
        <v>1776</v>
      </c>
      <c r="M99" s="3"/>
      <c r="N99" s="3"/>
      <c r="O99" s="3" t="s">
        <v>35</v>
      </c>
      <c r="P99" s="3" t="s">
        <v>35</v>
      </c>
      <c r="Q99" s="3" t="str">
        <f t="shared" si="10"/>
        <v>14.4-2018-12-31</v>
      </c>
      <c r="R99" s="3">
        <v>0</v>
      </c>
      <c r="S99" s="3">
        <v>0</v>
      </c>
      <c r="T99" s="3" t="s">
        <v>31</v>
      </c>
      <c r="U99" s="3" t="s">
        <v>37</v>
      </c>
      <c r="V99" s="3" t="s">
        <v>30</v>
      </c>
      <c r="W99" s="3" t="s">
        <v>38</v>
      </c>
      <c r="X99" s="3" t="s">
        <v>39</v>
      </c>
      <c r="Y99" s="3" t="s">
        <v>40</v>
      </c>
      <c r="Z99" s="3" t="s">
        <v>86</v>
      </c>
      <c r="AA99" s="3" t="s">
        <v>339</v>
      </c>
      <c r="AB99" s="3" t="s">
        <v>78</v>
      </c>
      <c r="AC99" s="3" t="s">
        <v>31</v>
      </c>
      <c r="AD99" s="3">
        <v>0</v>
      </c>
    </row>
    <row r="100" spans="1:30" x14ac:dyDescent="0.3">
      <c r="A100" s="3" t="s">
        <v>590</v>
      </c>
      <c r="B100" s="3" t="s">
        <v>371</v>
      </c>
      <c r="C100" s="3" t="s">
        <v>186</v>
      </c>
      <c r="D100" s="3" t="s">
        <v>31</v>
      </c>
      <c r="E100" s="3" t="s">
        <v>32</v>
      </c>
      <c r="F100" s="12">
        <v>43465</v>
      </c>
      <c r="G100" s="3">
        <f t="shared" si="16"/>
        <v>2018</v>
      </c>
      <c r="H100" s="3" t="str">
        <f t="shared" si="17"/>
        <v>Diciembre</v>
      </c>
      <c r="I100" s="3" t="str">
        <f t="shared" si="18"/>
        <v>2018-2</v>
      </c>
      <c r="J100" s="3"/>
      <c r="K100" s="3"/>
      <c r="L100" s="3">
        <v>3483</v>
      </c>
      <c r="M100" s="3"/>
      <c r="N100" s="3"/>
      <c r="O100" s="3" t="s">
        <v>35</v>
      </c>
      <c r="P100" s="3" t="s">
        <v>35</v>
      </c>
      <c r="Q100" s="3" t="str">
        <f t="shared" si="10"/>
        <v>14.4-2018-12-31</v>
      </c>
      <c r="R100" s="3">
        <v>0</v>
      </c>
      <c r="S100" s="3">
        <v>0</v>
      </c>
      <c r="T100" s="3" t="s">
        <v>443</v>
      </c>
      <c r="U100" s="3" t="s">
        <v>37</v>
      </c>
      <c r="V100" s="3" t="s">
        <v>30</v>
      </c>
      <c r="W100" s="3" t="s">
        <v>38</v>
      </c>
      <c r="X100" s="3" t="s">
        <v>39</v>
      </c>
      <c r="Y100" s="3" t="s">
        <v>40</v>
      </c>
      <c r="Z100" s="3" t="s">
        <v>86</v>
      </c>
      <c r="AA100" s="3" t="s">
        <v>339</v>
      </c>
      <c r="AB100" s="3" t="s">
        <v>78</v>
      </c>
      <c r="AC100" s="3" t="s">
        <v>31</v>
      </c>
      <c r="AD100" s="3">
        <v>0</v>
      </c>
    </row>
    <row r="101" spans="1:30" x14ac:dyDescent="0.3">
      <c r="A101" s="3" t="s">
        <v>590</v>
      </c>
      <c r="B101" s="3" t="s">
        <v>371</v>
      </c>
      <c r="C101" s="3" t="s">
        <v>186</v>
      </c>
      <c r="D101" s="3" t="s">
        <v>31</v>
      </c>
      <c r="E101" s="3" t="s">
        <v>32</v>
      </c>
      <c r="F101" s="12">
        <v>43646</v>
      </c>
      <c r="G101" s="3">
        <f t="shared" si="16"/>
        <v>2019</v>
      </c>
      <c r="H101" s="3" t="str">
        <f t="shared" si="17"/>
        <v>Junio</v>
      </c>
      <c r="I101" s="3" t="str">
        <f t="shared" si="18"/>
        <v>2019-1</v>
      </c>
      <c r="J101" s="3">
        <v>1</v>
      </c>
      <c r="K101" s="3"/>
      <c r="L101" s="3">
        <v>1969</v>
      </c>
      <c r="M101" s="3"/>
      <c r="N101" s="3"/>
      <c r="O101" s="3" t="s">
        <v>35</v>
      </c>
      <c r="P101" s="3" t="s">
        <v>35</v>
      </c>
      <c r="Q101" s="3" t="str">
        <f t="shared" si="10"/>
        <v>14.4-2019-06-30</v>
      </c>
      <c r="R101" s="3">
        <v>0</v>
      </c>
      <c r="S101" s="3">
        <v>0</v>
      </c>
      <c r="T101" s="3" t="s">
        <v>31</v>
      </c>
      <c r="U101" s="3" t="s">
        <v>37</v>
      </c>
      <c r="V101" s="3" t="s">
        <v>30</v>
      </c>
      <c r="W101" s="3" t="s">
        <v>38</v>
      </c>
      <c r="X101" s="3" t="s">
        <v>39</v>
      </c>
      <c r="Y101" s="3" t="s">
        <v>40</v>
      </c>
      <c r="Z101" s="3" t="s">
        <v>86</v>
      </c>
      <c r="AA101" s="3" t="s">
        <v>339</v>
      </c>
      <c r="AB101" s="3" t="s">
        <v>78</v>
      </c>
      <c r="AC101" s="3" t="s">
        <v>31</v>
      </c>
      <c r="AD101" s="3">
        <v>0</v>
      </c>
    </row>
    <row r="102" spans="1:30" x14ac:dyDescent="0.3">
      <c r="A102" s="3" t="s">
        <v>590</v>
      </c>
      <c r="B102" s="3" t="s">
        <v>371</v>
      </c>
      <c r="C102" s="3" t="s">
        <v>186</v>
      </c>
      <c r="D102" s="3" t="s">
        <v>31</v>
      </c>
      <c r="E102" s="3" t="s">
        <v>32</v>
      </c>
      <c r="F102" s="12">
        <v>43830</v>
      </c>
      <c r="G102" s="3">
        <f t="shared" si="16"/>
        <v>2019</v>
      </c>
      <c r="H102" s="3" t="str">
        <f t="shared" si="17"/>
        <v>Diciembre</v>
      </c>
      <c r="I102" s="3" t="str">
        <f t="shared" si="18"/>
        <v>2019-2</v>
      </c>
      <c r="J102" s="3">
        <v>2</v>
      </c>
      <c r="K102" s="3"/>
      <c r="L102" s="3">
        <v>1901</v>
      </c>
      <c r="M102" s="3"/>
      <c r="N102" s="3"/>
      <c r="O102" s="3" t="s">
        <v>35</v>
      </c>
      <c r="P102" s="3" t="s">
        <v>35</v>
      </c>
      <c r="Q102" s="3" t="str">
        <f t="shared" si="10"/>
        <v>14.4-2019-12-31</v>
      </c>
      <c r="R102" s="3">
        <v>0</v>
      </c>
      <c r="S102" s="3">
        <v>0</v>
      </c>
      <c r="T102" s="3" t="s">
        <v>31</v>
      </c>
      <c r="U102" s="3" t="s">
        <v>37</v>
      </c>
      <c r="V102" s="3" t="s">
        <v>30</v>
      </c>
      <c r="W102" s="3" t="s">
        <v>38</v>
      </c>
      <c r="X102" s="3" t="s">
        <v>39</v>
      </c>
      <c r="Y102" s="3" t="s">
        <v>40</v>
      </c>
      <c r="Z102" s="3" t="s">
        <v>86</v>
      </c>
      <c r="AA102" s="3" t="s">
        <v>339</v>
      </c>
      <c r="AB102" s="3" t="s">
        <v>78</v>
      </c>
      <c r="AC102" s="3" t="s">
        <v>31</v>
      </c>
      <c r="AD102" s="3">
        <v>0</v>
      </c>
    </row>
    <row r="103" spans="1:30" x14ac:dyDescent="0.3">
      <c r="A103" s="3" t="s">
        <v>590</v>
      </c>
      <c r="B103" s="3" t="s">
        <v>371</v>
      </c>
      <c r="C103" s="3" t="s">
        <v>186</v>
      </c>
      <c r="D103" s="3" t="s">
        <v>31</v>
      </c>
      <c r="E103" s="3" t="s">
        <v>32</v>
      </c>
      <c r="F103" s="12">
        <v>43830</v>
      </c>
      <c r="G103" s="3">
        <f t="shared" si="16"/>
        <v>2019</v>
      </c>
      <c r="H103" s="3" t="str">
        <f t="shared" si="17"/>
        <v>Diciembre</v>
      </c>
      <c r="I103" s="3" t="str">
        <f t="shared" si="18"/>
        <v>2019-2</v>
      </c>
      <c r="J103" s="3"/>
      <c r="K103" s="3"/>
      <c r="L103" s="3">
        <v>3870</v>
      </c>
      <c r="M103" s="3"/>
      <c r="N103" s="3"/>
      <c r="O103" s="3" t="s">
        <v>35</v>
      </c>
      <c r="P103" s="3" t="s">
        <v>35</v>
      </c>
      <c r="Q103" s="3" t="str">
        <f t="shared" si="10"/>
        <v>14.4-2019-12-31</v>
      </c>
      <c r="R103" s="3">
        <v>0</v>
      </c>
      <c r="S103" s="3">
        <v>0</v>
      </c>
      <c r="T103" s="3" t="s">
        <v>443</v>
      </c>
      <c r="U103" s="3" t="s">
        <v>37</v>
      </c>
      <c r="V103" s="3" t="s">
        <v>30</v>
      </c>
      <c r="W103" s="3" t="s">
        <v>38</v>
      </c>
      <c r="X103" s="3" t="s">
        <v>39</v>
      </c>
      <c r="Y103" s="3" t="s">
        <v>40</v>
      </c>
      <c r="Z103" s="3" t="s">
        <v>86</v>
      </c>
      <c r="AA103" s="3" t="s">
        <v>339</v>
      </c>
      <c r="AB103" s="3" t="s">
        <v>78</v>
      </c>
      <c r="AC103" s="3" t="s">
        <v>31</v>
      </c>
      <c r="AD103" s="3">
        <v>0</v>
      </c>
    </row>
    <row r="104" spans="1:30" x14ac:dyDescent="0.3">
      <c r="A104" s="3" t="s">
        <v>590</v>
      </c>
      <c r="B104" s="3" t="s">
        <v>371</v>
      </c>
      <c r="C104" s="3" t="s">
        <v>186</v>
      </c>
      <c r="D104" s="3" t="s">
        <v>31</v>
      </c>
      <c r="E104" s="3" t="s">
        <v>32</v>
      </c>
      <c r="F104" s="12">
        <v>44012</v>
      </c>
      <c r="G104" s="3">
        <f t="shared" si="16"/>
        <v>2020</v>
      </c>
      <c r="H104" s="3" t="str">
        <f t="shared" si="17"/>
        <v>Junio</v>
      </c>
      <c r="I104" s="3" t="str">
        <f t="shared" si="18"/>
        <v>2020-1</v>
      </c>
      <c r="J104" s="3">
        <v>1</v>
      </c>
      <c r="K104" s="3"/>
      <c r="L104" s="11">
        <v>2091</v>
      </c>
      <c r="M104" s="3"/>
      <c r="N104" s="3"/>
      <c r="O104" s="3" t="s">
        <v>35</v>
      </c>
      <c r="P104" s="3" t="s">
        <v>35</v>
      </c>
      <c r="Q104" s="3" t="str">
        <f t="shared" si="10"/>
        <v>14.4-2020-06-30</v>
      </c>
      <c r="R104" s="3">
        <v>0</v>
      </c>
      <c r="S104" s="3">
        <v>0</v>
      </c>
      <c r="T104" s="3" t="s">
        <v>31</v>
      </c>
      <c r="U104" s="3" t="s">
        <v>37</v>
      </c>
      <c r="V104" s="3" t="s">
        <v>30</v>
      </c>
      <c r="W104" s="3" t="s">
        <v>38</v>
      </c>
      <c r="X104" s="3" t="s">
        <v>39</v>
      </c>
      <c r="Y104" s="3" t="s">
        <v>40</v>
      </c>
      <c r="Z104" s="3" t="s">
        <v>86</v>
      </c>
      <c r="AA104" s="3" t="s">
        <v>339</v>
      </c>
      <c r="AB104" s="3" t="s">
        <v>78</v>
      </c>
      <c r="AC104" s="3" t="s">
        <v>31</v>
      </c>
      <c r="AD104" s="3">
        <v>0</v>
      </c>
    </row>
    <row r="105" spans="1:30" x14ac:dyDescent="0.3">
      <c r="A105" s="3" t="s">
        <v>590</v>
      </c>
      <c r="B105" s="3" t="s">
        <v>371</v>
      </c>
      <c r="C105" s="3" t="s">
        <v>186</v>
      </c>
      <c r="D105" s="3" t="s">
        <v>31</v>
      </c>
      <c r="E105" s="3" t="s">
        <v>32</v>
      </c>
      <c r="F105" s="12">
        <v>44196</v>
      </c>
      <c r="G105" s="3">
        <f t="shared" si="16"/>
        <v>2020</v>
      </c>
      <c r="H105" s="3" t="str">
        <f t="shared" si="17"/>
        <v>Diciembre</v>
      </c>
      <c r="I105" s="3" t="str">
        <f t="shared" si="18"/>
        <v>2020-2</v>
      </c>
      <c r="J105" s="3">
        <v>2</v>
      </c>
      <c r="K105" s="3"/>
      <c r="L105" s="11">
        <v>2144</v>
      </c>
      <c r="M105" s="3"/>
      <c r="N105" s="3"/>
      <c r="O105" s="3" t="s">
        <v>35</v>
      </c>
      <c r="P105" s="3" t="s">
        <v>35</v>
      </c>
      <c r="Q105" s="3" t="str">
        <f t="shared" si="10"/>
        <v>14.4-2020-12-31</v>
      </c>
      <c r="R105" s="3">
        <v>0</v>
      </c>
      <c r="S105" s="3">
        <v>0</v>
      </c>
      <c r="T105" s="3" t="s">
        <v>31</v>
      </c>
      <c r="U105" s="3" t="s">
        <v>37</v>
      </c>
      <c r="V105" s="3" t="s">
        <v>30</v>
      </c>
      <c r="W105" s="3" t="s">
        <v>38</v>
      </c>
      <c r="X105" s="3" t="s">
        <v>39</v>
      </c>
      <c r="Y105" s="3" t="s">
        <v>40</v>
      </c>
      <c r="Z105" s="3" t="s">
        <v>86</v>
      </c>
      <c r="AA105" s="3" t="s">
        <v>339</v>
      </c>
      <c r="AB105" s="3" t="s">
        <v>78</v>
      </c>
      <c r="AC105" s="3" t="s">
        <v>31</v>
      </c>
      <c r="AD105" s="3">
        <v>0</v>
      </c>
    </row>
    <row r="106" spans="1:30" x14ac:dyDescent="0.3">
      <c r="A106" s="3" t="s">
        <v>590</v>
      </c>
      <c r="B106" s="3" t="s">
        <v>371</v>
      </c>
      <c r="C106" s="3" t="s">
        <v>186</v>
      </c>
      <c r="D106" s="3" t="s">
        <v>31</v>
      </c>
      <c r="E106" s="3" t="s">
        <v>32</v>
      </c>
      <c r="F106" s="12">
        <v>44196</v>
      </c>
      <c r="G106" s="3">
        <f t="shared" si="16"/>
        <v>2020</v>
      </c>
      <c r="H106" s="3" t="str">
        <f t="shared" si="17"/>
        <v>Diciembre</v>
      </c>
      <c r="I106" s="3" t="str">
        <f t="shared" si="18"/>
        <v>2020-2</v>
      </c>
      <c r="J106" s="3"/>
      <c r="K106" s="3"/>
      <c r="L106" s="3">
        <v>4235</v>
      </c>
      <c r="M106" s="3"/>
      <c r="N106" s="3"/>
      <c r="O106" s="3" t="s">
        <v>35</v>
      </c>
      <c r="P106" s="3" t="s">
        <v>35</v>
      </c>
      <c r="Q106" s="3" t="str">
        <f t="shared" si="10"/>
        <v>14.4-2020-12-31</v>
      </c>
      <c r="R106" s="3">
        <v>0</v>
      </c>
      <c r="S106" s="3">
        <v>0</v>
      </c>
      <c r="T106" s="3" t="s">
        <v>443</v>
      </c>
      <c r="U106" s="3" t="s">
        <v>37</v>
      </c>
      <c r="V106" s="3" t="s">
        <v>30</v>
      </c>
      <c r="W106" s="3" t="s">
        <v>38</v>
      </c>
      <c r="X106" s="3" t="s">
        <v>39</v>
      </c>
      <c r="Y106" s="3" t="s">
        <v>40</v>
      </c>
      <c r="Z106" s="3" t="s">
        <v>86</v>
      </c>
      <c r="AA106" s="3" t="s">
        <v>339</v>
      </c>
      <c r="AB106" s="3" t="s">
        <v>78</v>
      </c>
      <c r="AC106" s="3" t="s">
        <v>31</v>
      </c>
      <c r="AD106" s="3">
        <v>0</v>
      </c>
    </row>
    <row r="107" spans="1:30" x14ac:dyDescent="0.3">
      <c r="A107" s="3" t="s">
        <v>590</v>
      </c>
      <c r="B107" s="3" t="s">
        <v>371</v>
      </c>
      <c r="C107" s="3" t="s">
        <v>186</v>
      </c>
      <c r="D107" s="3" t="s">
        <v>31</v>
      </c>
      <c r="E107" s="3" t="s">
        <v>32</v>
      </c>
      <c r="F107" s="12">
        <v>44377</v>
      </c>
      <c r="G107" s="3">
        <f t="shared" si="16"/>
        <v>2021</v>
      </c>
      <c r="H107" s="3" t="str">
        <f t="shared" si="17"/>
        <v>Junio</v>
      </c>
      <c r="I107" s="3" t="str">
        <f t="shared" si="18"/>
        <v>2021-1</v>
      </c>
      <c r="J107" s="3">
        <v>1</v>
      </c>
      <c r="K107" s="3"/>
      <c r="L107" s="11">
        <v>2245</v>
      </c>
      <c r="M107" s="3"/>
      <c r="N107" s="3"/>
      <c r="O107" s="3" t="s">
        <v>35</v>
      </c>
      <c r="P107" s="3" t="s">
        <v>35</v>
      </c>
      <c r="Q107" s="3" t="str">
        <f t="shared" si="10"/>
        <v>14.4-2021-06-30</v>
      </c>
      <c r="R107" s="3">
        <v>0</v>
      </c>
      <c r="S107" s="3">
        <v>0</v>
      </c>
      <c r="T107" s="3" t="s">
        <v>31</v>
      </c>
      <c r="U107" s="3" t="s">
        <v>37</v>
      </c>
      <c r="V107" s="3" t="s">
        <v>30</v>
      </c>
      <c r="W107" s="3" t="s">
        <v>38</v>
      </c>
      <c r="X107" s="3" t="s">
        <v>39</v>
      </c>
      <c r="Y107" s="3" t="s">
        <v>40</v>
      </c>
      <c r="Z107" s="3" t="s">
        <v>86</v>
      </c>
      <c r="AA107" s="3" t="s">
        <v>339</v>
      </c>
      <c r="AB107" s="3" t="s">
        <v>78</v>
      </c>
      <c r="AC107" s="3" t="s">
        <v>31</v>
      </c>
      <c r="AD107" s="3">
        <v>0</v>
      </c>
    </row>
    <row r="108" spans="1:30" x14ac:dyDescent="0.3">
      <c r="A108" s="3" t="s">
        <v>590</v>
      </c>
      <c r="B108" s="3" t="s">
        <v>371</v>
      </c>
      <c r="C108" s="3" t="s">
        <v>186</v>
      </c>
      <c r="D108" s="3" t="s">
        <v>31</v>
      </c>
      <c r="E108" s="3" t="s">
        <v>32</v>
      </c>
      <c r="F108" s="12">
        <v>44561</v>
      </c>
      <c r="G108" s="3">
        <f t="shared" si="16"/>
        <v>2021</v>
      </c>
      <c r="H108" s="3" t="str">
        <f t="shared" si="17"/>
        <v>Diciembre</v>
      </c>
      <c r="I108" s="3" t="str">
        <f t="shared" si="18"/>
        <v>2021-2</v>
      </c>
      <c r="J108" s="3">
        <v>2</v>
      </c>
      <c r="K108" s="3"/>
      <c r="L108" s="11">
        <v>2087</v>
      </c>
      <c r="M108" s="3"/>
      <c r="N108" s="3"/>
      <c r="O108" s="3" t="s">
        <v>35</v>
      </c>
      <c r="P108" s="3" t="s">
        <v>35</v>
      </c>
      <c r="Q108" s="3" t="str">
        <f t="shared" si="10"/>
        <v>14.4-2021-12-31</v>
      </c>
      <c r="R108" s="3">
        <v>0</v>
      </c>
      <c r="S108" s="3">
        <v>0</v>
      </c>
      <c r="T108" s="3" t="s">
        <v>31</v>
      </c>
      <c r="U108" s="3" t="s">
        <v>37</v>
      </c>
      <c r="V108" s="3" t="s">
        <v>30</v>
      </c>
      <c r="W108" s="3" t="s">
        <v>38</v>
      </c>
      <c r="X108" s="3" t="s">
        <v>39</v>
      </c>
      <c r="Y108" s="3" t="s">
        <v>40</v>
      </c>
      <c r="Z108" s="3" t="s">
        <v>86</v>
      </c>
      <c r="AA108" s="3" t="s">
        <v>339</v>
      </c>
      <c r="AB108" s="3" t="s">
        <v>78</v>
      </c>
      <c r="AC108" s="3" t="s">
        <v>31</v>
      </c>
      <c r="AD108" s="3">
        <v>0</v>
      </c>
    </row>
    <row r="109" spans="1:30" x14ac:dyDescent="0.3">
      <c r="A109" s="3" t="s">
        <v>590</v>
      </c>
      <c r="B109" s="3" t="s">
        <v>371</v>
      </c>
      <c r="C109" s="3" t="s">
        <v>186</v>
      </c>
      <c r="D109" s="3" t="s">
        <v>31</v>
      </c>
      <c r="E109" s="3" t="s">
        <v>32</v>
      </c>
      <c r="F109" s="12">
        <v>44561</v>
      </c>
      <c r="G109" s="3">
        <f t="shared" si="16"/>
        <v>2021</v>
      </c>
      <c r="H109" s="3" t="str">
        <f t="shared" si="17"/>
        <v>Diciembre</v>
      </c>
      <c r="I109" s="3" t="str">
        <f t="shared" si="18"/>
        <v>2021-2</v>
      </c>
      <c r="J109" s="3"/>
      <c r="K109" s="3"/>
      <c r="L109" s="3">
        <v>4332</v>
      </c>
      <c r="M109" s="3"/>
      <c r="N109" s="3"/>
      <c r="O109" s="3" t="s">
        <v>35</v>
      </c>
      <c r="P109" s="3" t="s">
        <v>35</v>
      </c>
      <c r="Q109" s="3" t="str">
        <f t="shared" si="10"/>
        <v>14.4-2021-12-31</v>
      </c>
      <c r="R109" s="3">
        <v>0</v>
      </c>
      <c r="S109" s="3">
        <v>0</v>
      </c>
      <c r="T109" s="3" t="s">
        <v>443</v>
      </c>
      <c r="U109" s="3" t="s">
        <v>37</v>
      </c>
      <c r="V109" s="3" t="s">
        <v>30</v>
      </c>
      <c r="W109" s="3" t="s">
        <v>38</v>
      </c>
      <c r="X109" s="3" t="s">
        <v>39</v>
      </c>
      <c r="Y109" s="3" t="s">
        <v>40</v>
      </c>
      <c r="Z109" s="3" t="s">
        <v>86</v>
      </c>
      <c r="AA109" s="3" t="s">
        <v>339</v>
      </c>
      <c r="AB109" s="3" t="s">
        <v>78</v>
      </c>
      <c r="AC109" s="3" t="s">
        <v>31</v>
      </c>
      <c r="AD109" s="3">
        <v>0</v>
      </c>
    </row>
    <row r="110" spans="1:30" x14ac:dyDescent="0.3">
      <c r="A110" s="3" t="s">
        <v>590</v>
      </c>
      <c r="B110" s="3" t="s">
        <v>371</v>
      </c>
      <c r="C110" s="3" t="s">
        <v>186</v>
      </c>
      <c r="D110" s="3" t="s">
        <v>31</v>
      </c>
      <c r="E110" s="3" t="s">
        <v>32</v>
      </c>
      <c r="F110" s="12">
        <v>44742</v>
      </c>
      <c r="G110" s="3">
        <v>2022</v>
      </c>
      <c r="H110" s="3" t="s">
        <v>33</v>
      </c>
      <c r="I110" s="3" t="s">
        <v>34</v>
      </c>
      <c r="J110" s="3">
        <v>1</v>
      </c>
      <c r="K110" s="3">
        <v>2408</v>
      </c>
      <c r="L110" s="3">
        <v>2398</v>
      </c>
      <c r="M110" s="3">
        <v>0.99584717607973416</v>
      </c>
      <c r="N110" s="3">
        <v>0.99584717607973416</v>
      </c>
      <c r="O110" s="3" t="s">
        <v>35</v>
      </c>
      <c r="P110" s="3" t="s">
        <v>35</v>
      </c>
      <c r="Q110" s="3" t="str">
        <f t="shared" si="10"/>
        <v>14.4-2022-06-30</v>
      </c>
      <c r="R110" s="3">
        <v>0</v>
      </c>
      <c r="S110" s="3">
        <v>0</v>
      </c>
      <c r="T110" s="3" t="s">
        <v>31</v>
      </c>
      <c r="U110" s="3" t="s">
        <v>37</v>
      </c>
      <c r="V110" s="3" t="s">
        <v>30</v>
      </c>
      <c r="W110" s="3" t="s">
        <v>38</v>
      </c>
      <c r="X110" s="3" t="s">
        <v>39</v>
      </c>
      <c r="Y110" s="3" t="s">
        <v>40</v>
      </c>
      <c r="Z110" s="3" t="s">
        <v>86</v>
      </c>
      <c r="AA110" s="3" t="s">
        <v>339</v>
      </c>
      <c r="AB110" s="3" t="s">
        <v>78</v>
      </c>
      <c r="AC110" s="3" t="s">
        <v>31</v>
      </c>
      <c r="AD110" s="3">
        <v>0</v>
      </c>
    </row>
    <row r="111" spans="1:30" x14ac:dyDescent="0.3">
      <c r="A111" s="3" t="s">
        <v>590</v>
      </c>
      <c r="B111" s="3" t="s">
        <v>371</v>
      </c>
      <c r="C111" s="3" t="s">
        <v>186</v>
      </c>
      <c r="D111" s="3" t="s">
        <v>31</v>
      </c>
      <c r="E111" s="3" t="s">
        <v>32</v>
      </c>
      <c r="F111" s="12">
        <v>44925</v>
      </c>
      <c r="G111" s="3">
        <v>2022</v>
      </c>
      <c r="H111" s="3" t="s">
        <v>44</v>
      </c>
      <c r="I111" s="3" t="s">
        <v>45</v>
      </c>
      <c r="J111" s="3">
        <v>2</v>
      </c>
      <c r="K111" s="3">
        <v>2230</v>
      </c>
      <c r="L111" s="3">
        <v>2610</v>
      </c>
      <c r="M111" s="3">
        <v>1.170403587443946</v>
      </c>
      <c r="N111" s="3">
        <v>1.170403587443946</v>
      </c>
      <c r="O111" s="3" t="s">
        <v>35</v>
      </c>
      <c r="P111" s="3" t="s">
        <v>35</v>
      </c>
      <c r="Q111" s="3" t="str">
        <f t="shared" si="10"/>
        <v>14.4-2022-12-30</v>
      </c>
      <c r="R111" s="3">
        <v>0</v>
      </c>
      <c r="S111" s="3">
        <v>0</v>
      </c>
      <c r="T111" s="3" t="s">
        <v>31</v>
      </c>
      <c r="U111" s="3" t="s">
        <v>37</v>
      </c>
      <c r="V111" s="3" t="s">
        <v>30</v>
      </c>
      <c r="W111" s="3" t="s">
        <v>38</v>
      </c>
      <c r="X111" s="3" t="s">
        <v>39</v>
      </c>
      <c r="Y111" s="3" t="s">
        <v>40</v>
      </c>
      <c r="Z111" s="3" t="s">
        <v>86</v>
      </c>
      <c r="AA111" s="3" t="s">
        <v>339</v>
      </c>
      <c r="AB111" s="3" t="s">
        <v>78</v>
      </c>
      <c r="AC111" s="3" t="s">
        <v>31</v>
      </c>
      <c r="AD111" s="3">
        <v>0</v>
      </c>
    </row>
    <row r="112" spans="1:30" x14ac:dyDescent="0.3">
      <c r="A112" s="3" t="s">
        <v>590</v>
      </c>
      <c r="B112" s="3" t="s">
        <v>371</v>
      </c>
      <c r="C112" s="3" t="s">
        <v>186</v>
      </c>
      <c r="D112" s="3" t="s">
        <v>31</v>
      </c>
      <c r="E112" s="3" t="s">
        <v>32</v>
      </c>
      <c r="F112" s="12">
        <v>44925</v>
      </c>
      <c r="G112" s="3">
        <v>2022</v>
      </c>
      <c r="H112" s="3" t="s">
        <v>44</v>
      </c>
      <c r="I112" s="3" t="s">
        <v>45</v>
      </c>
      <c r="J112" s="3"/>
      <c r="K112" s="3">
        <v>4638</v>
      </c>
      <c r="L112" s="3">
        <v>5008</v>
      </c>
      <c r="M112" s="3">
        <v>1.079775765416128</v>
      </c>
      <c r="N112" s="3">
        <v>1.079775765416128</v>
      </c>
      <c r="O112" s="3" t="s">
        <v>35</v>
      </c>
      <c r="P112" s="3" t="s">
        <v>35</v>
      </c>
      <c r="Q112" s="3" t="str">
        <f t="shared" si="10"/>
        <v>14.4-2022-12-30</v>
      </c>
      <c r="R112" s="3">
        <v>0</v>
      </c>
      <c r="S112" s="3">
        <v>0</v>
      </c>
      <c r="T112" s="3" t="s">
        <v>443</v>
      </c>
      <c r="U112" s="3" t="s">
        <v>37</v>
      </c>
      <c r="V112" s="3" t="s">
        <v>30</v>
      </c>
      <c r="W112" s="3" t="s">
        <v>38</v>
      </c>
      <c r="X112" s="3" t="s">
        <v>39</v>
      </c>
      <c r="Y112" s="3" t="s">
        <v>40</v>
      </c>
      <c r="Z112" s="3" t="s">
        <v>86</v>
      </c>
      <c r="AA112" s="3" t="s">
        <v>339</v>
      </c>
      <c r="AB112" s="3" t="s">
        <v>78</v>
      </c>
      <c r="AC112" s="3" t="s">
        <v>31</v>
      </c>
      <c r="AD112" s="3">
        <v>0</v>
      </c>
    </row>
    <row r="113" spans="1:30" x14ac:dyDescent="0.3">
      <c r="A113" s="3" t="s">
        <v>590</v>
      </c>
      <c r="B113" s="3" t="s">
        <v>371</v>
      </c>
      <c r="C113" s="3" t="s">
        <v>186</v>
      </c>
      <c r="D113" s="3" t="s">
        <v>31</v>
      </c>
      <c r="E113" s="3" t="s">
        <v>32</v>
      </c>
      <c r="F113" s="12">
        <v>45107</v>
      </c>
      <c r="G113" s="3">
        <v>2023</v>
      </c>
      <c r="H113" s="3" t="s">
        <v>33</v>
      </c>
      <c r="I113" s="3" t="s">
        <v>47</v>
      </c>
      <c r="J113" s="3">
        <v>1</v>
      </c>
      <c r="K113" s="3">
        <v>2726</v>
      </c>
      <c r="L113" s="3">
        <v>2990</v>
      </c>
      <c r="M113" s="3">
        <v>1.096845194424064</v>
      </c>
      <c r="N113" s="3">
        <v>1.096845194424064</v>
      </c>
      <c r="O113" s="3" t="s">
        <v>35</v>
      </c>
      <c r="P113" s="3" t="s">
        <v>35</v>
      </c>
      <c r="Q113" s="3" t="str">
        <f t="shared" si="10"/>
        <v>14.4-2023-06-30</v>
      </c>
      <c r="R113" s="3">
        <v>0</v>
      </c>
      <c r="S113" s="3">
        <v>0</v>
      </c>
      <c r="T113" s="3" t="s">
        <v>31</v>
      </c>
      <c r="U113" s="3" t="s">
        <v>37</v>
      </c>
      <c r="V113" s="3" t="s">
        <v>30</v>
      </c>
      <c r="W113" s="3" t="s">
        <v>38</v>
      </c>
      <c r="X113" s="3" t="s">
        <v>39</v>
      </c>
      <c r="Y113" s="3" t="s">
        <v>40</v>
      </c>
      <c r="Z113" s="3" t="s">
        <v>86</v>
      </c>
      <c r="AA113" s="3" t="s">
        <v>339</v>
      </c>
      <c r="AB113" s="3" t="s">
        <v>78</v>
      </c>
      <c r="AC113" s="3" t="s">
        <v>31</v>
      </c>
      <c r="AD113" s="3">
        <v>0</v>
      </c>
    </row>
    <row r="114" spans="1:30" x14ac:dyDescent="0.3">
      <c r="A114" s="3" t="s">
        <v>590</v>
      </c>
      <c r="B114" s="3" t="s">
        <v>371</v>
      </c>
      <c r="C114" s="3" t="s">
        <v>186</v>
      </c>
      <c r="D114" s="3" t="s">
        <v>31</v>
      </c>
      <c r="E114" s="3" t="s">
        <v>32</v>
      </c>
      <c r="F114" s="12">
        <v>45291</v>
      </c>
      <c r="G114" s="3">
        <v>2023</v>
      </c>
      <c r="H114" s="3" t="s">
        <v>44</v>
      </c>
      <c r="I114" s="3" t="s">
        <v>49</v>
      </c>
      <c r="J114" s="3">
        <v>2</v>
      </c>
      <c r="K114" s="3">
        <v>2796</v>
      </c>
      <c r="L114" s="3">
        <v>3328</v>
      </c>
      <c r="M114" s="3">
        <v>1.1902718168812589</v>
      </c>
      <c r="N114" s="3">
        <v>1.1902718168812589</v>
      </c>
      <c r="O114" s="3" t="s">
        <v>35</v>
      </c>
      <c r="P114" s="3" t="s">
        <v>35</v>
      </c>
      <c r="Q114" s="3" t="str">
        <f t="shared" si="10"/>
        <v>14.4-2023-12-31</v>
      </c>
      <c r="R114" s="3">
        <v>0</v>
      </c>
      <c r="S114" s="3">
        <v>0</v>
      </c>
      <c r="T114" s="3" t="s">
        <v>31</v>
      </c>
      <c r="U114" s="3" t="s">
        <v>37</v>
      </c>
      <c r="V114" s="3" t="s">
        <v>30</v>
      </c>
      <c r="W114" s="3" t="s">
        <v>38</v>
      </c>
      <c r="X114" s="3" t="s">
        <v>39</v>
      </c>
      <c r="Y114" s="3" t="s">
        <v>40</v>
      </c>
      <c r="Z114" s="3" t="s">
        <v>86</v>
      </c>
      <c r="AA114" s="3" t="s">
        <v>339</v>
      </c>
      <c r="AB114" s="3" t="s">
        <v>78</v>
      </c>
      <c r="AC114" s="3" t="s">
        <v>31</v>
      </c>
      <c r="AD114" s="3">
        <v>0</v>
      </c>
    </row>
    <row r="115" spans="1:30" x14ac:dyDescent="0.3">
      <c r="A115" s="3" t="s">
        <v>590</v>
      </c>
      <c r="B115" s="3" t="s">
        <v>371</v>
      </c>
      <c r="C115" s="3" t="s">
        <v>186</v>
      </c>
      <c r="D115" s="3" t="s">
        <v>31</v>
      </c>
      <c r="E115" s="3" t="s">
        <v>32</v>
      </c>
      <c r="F115" s="12">
        <v>45291</v>
      </c>
      <c r="G115" s="3">
        <v>2023</v>
      </c>
      <c r="H115" s="3" t="s">
        <v>44</v>
      </c>
      <c r="I115" s="3" t="s">
        <v>49</v>
      </c>
      <c r="J115" s="3"/>
      <c r="K115" s="3">
        <v>5522</v>
      </c>
      <c r="L115" s="3">
        <v>6318</v>
      </c>
      <c r="M115" s="3">
        <v>1.144150670047084</v>
      </c>
      <c r="N115" s="3">
        <v>1.144150670047084</v>
      </c>
      <c r="O115" s="3" t="s">
        <v>35</v>
      </c>
      <c r="P115" s="3" t="s">
        <v>35</v>
      </c>
      <c r="Q115" s="3" t="str">
        <f t="shared" si="10"/>
        <v>14.4-2023-12-31</v>
      </c>
      <c r="R115" s="3">
        <v>0</v>
      </c>
      <c r="S115" s="3">
        <v>0</v>
      </c>
      <c r="T115" s="3" t="s">
        <v>443</v>
      </c>
      <c r="U115" s="3" t="s">
        <v>37</v>
      </c>
      <c r="V115" s="3" t="s">
        <v>30</v>
      </c>
      <c r="W115" s="3" t="s">
        <v>38</v>
      </c>
      <c r="X115" s="3" t="s">
        <v>39</v>
      </c>
      <c r="Y115" s="3" t="s">
        <v>40</v>
      </c>
      <c r="Z115" s="3" t="s">
        <v>86</v>
      </c>
      <c r="AA115" s="3" t="s">
        <v>339</v>
      </c>
      <c r="AB115" s="3" t="s">
        <v>78</v>
      </c>
      <c r="AC115" s="3" t="s">
        <v>31</v>
      </c>
      <c r="AD115" s="3">
        <v>0</v>
      </c>
    </row>
    <row r="116" spans="1:30" x14ac:dyDescent="0.3">
      <c r="A116" s="3" t="s">
        <v>590</v>
      </c>
      <c r="B116" s="3" t="s">
        <v>371</v>
      </c>
      <c r="C116" s="3" t="s">
        <v>186</v>
      </c>
      <c r="D116" s="3" t="s">
        <v>31</v>
      </c>
      <c r="E116" s="3" t="s">
        <v>32</v>
      </c>
      <c r="F116" s="12">
        <v>45473</v>
      </c>
      <c r="G116" s="3">
        <v>2024</v>
      </c>
      <c r="H116" s="3" t="s">
        <v>33</v>
      </c>
      <c r="I116" s="3" t="s">
        <v>51</v>
      </c>
      <c r="J116" s="3">
        <v>1</v>
      </c>
      <c r="K116" s="3">
        <v>3093</v>
      </c>
      <c r="L116" s="3">
        <v>3485</v>
      </c>
      <c r="M116" s="3">
        <f t="shared" ref="M116:M121" si="19">+L116/K116</f>
        <v>1.1267377950210151</v>
      </c>
      <c r="N116" s="3">
        <f>+L116/K116</f>
        <v>1.1267377950210151</v>
      </c>
      <c r="O116" s="3" t="s">
        <v>35</v>
      </c>
      <c r="P116" s="3" t="s">
        <v>35</v>
      </c>
      <c r="Q116" s="3" t="str">
        <f t="shared" si="10"/>
        <v>14.4-2024-06-30</v>
      </c>
      <c r="R116" s="3">
        <v>0</v>
      </c>
      <c r="S116" s="3">
        <v>0</v>
      </c>
      <c r="T116" s="3" t="s">
        <v>31</v>
      </c>
      <c r="U116" s="3" t="s">
        <v>37</v>
      </c>
      <c r="V116" s="3" t="s">
        <v>30</v>
      </c>
      <c r="W116" s="3" t="s">
        <v>38</v>
      </c>
      <c r="X116" s="3" t="s">
        <v>39</v>
      </c>
      <c r="Y116" s="3" t="s">
        <v>40</v>
      </c>
      <c r="Z116" s="3" t="s">
        <v>86</v>
      </c>
      <c r="AA116" s="3" t="s">
        <v>339</v>
      </c>
      <c r="AB116" s="3" t="s">
        <v>78</v>
      </c>
      <c r="AC116" s="3" t="s">
        <v>31</v>
      </c>
      <c r="AD116" s="3">
        <v>0</v>
      </c>
    </row>
    <row r="117" spans="1:30" x14ac:dyDescent="0.3">
      <c r="A117" s="3" t="s">
        <v>590</v>
      </c>
      <c r="B117" s="3" t="s">
        <v>371</v>
      </c>
      <c r="C117" s="3" t="s">
        <v>186</v>
      </c>
      <c r="D117" s="3" t="s">
        <v>31</v>
      </c>
      <c r="E117" s="3" t="s">
        <v>32</v>
      </c>
      <c r="F117" s="12">
        <v>45657</v>
      </c>
      <c r="G117" s="3">
        <v>2024</v>
      </c>
      <c r="H117" s="3" t="s">
        <v>44</v>
      </c>
      <c r="I117" s="3" t="s">
        <v>53</v>
      </c>
      <c r="J117" s="3">
        <v>2</v>
      </c>
      <c r="K117" s="3">
        <v>3055</v>
      </c>
      <c r="L117" s="3">
        <v>3666</v>
      </c>
      <c r="M117" s="3">
        <f t="shared" si="19"/>
        <v>1.2</v>
      </c>
      <c r="N117" s="3">
        <f t="shared" ref="N117:N121" si="20">+L117/K117</f>
        <v>1.2</v>
      </c>
      <c r="O117" s="3" t="s">
        <v>35</v>
      </c>
      <c r="P117" s="3" t="s">
        <v>35</v>
      </c>
      <c r="Q117" s="3" t="str">
        <f t="shared" si="10"/>
        <v>14.4-2024-12-31</v>
      </c>
      <c r="R117" s="3">
        <v>0</v>
      </c>
      <c r="S117" s="3">
        <v>0</v>
      </c>
      <c r="T117" s="3" t="s">
        <v>31</v>
      </c>
      <c r="U117" s="3" t="s">
        <v>37</v>
      </c>
      <c r="V117" s="3" t="s">
        <v>30</v>
      </c>
      <c r="W117" s="3" t="s">
        <v>38</v>
      </c>
      <c r="X117" s="3" t="s">
        <v>39</v>
      </c>
      <c r="Y117" s="3" t="s">
        <v>40</v>
      </c>
      <c r="Z117" s="3" t="s">
        <v>86</v>
      </c>
      <c r="AA117" s="3" t="s">
        <v>339</v>
      </c>
      <c r="AB117" s="3" t="s">
        <v>78</v>
      </c>
      <c r="AC117" s="3" t="s">
        <v>31</v>
      </c>
      <c r="AD117" s="3">
        <v>0</v>
      </c>
    </row>
    <row r="118" spans="1:30" x14ac:dyDescent="0.3">
      <c r="A118" s="3" t="s">
        <v>590</v>
      </c>
      <c r="B118" s="3" t="s">
        <v>371</v>
      </c>
      <c r="C118" s="3" t="s">
        <v>186</v>
      </c>
      <c r="D118" s="3" t="s">
        <v>31</v>
      </c>
      <c r="E118" s="3" t="s">
        <v>32</v>
      </c>
      <c r="F118" s="12">
        <v>45657</v>
      </c>
      <c r="G118" s="3">
        <v>2024</v>
      </c>
      <c r="H118" s="3" t="s">
        <v>44</v>
      </c>
      <c r="I118" s="3" t="s">
        <v>53</v>
      </c>
      <c r="J118" s="3"/>
      <c r="K118" s="3">
        <v>6148</v>
      </c>
      <c r="L118" s="3">
        <v>7151</v>
      </c>
      <c r="M118" s="3">
        <f t="shared" si="19"/>
        <v>1.163142485361093</v>
      </c>
      <c r="N118" s="3">
        <f t="shared" si="20"/>
        <v>1.163142485361093</v>
      </c>
      <c r="O118" s="3" t="s">
        <v>35</v>
      </c>
      <c r="P118" s="3" t="s">
        <v>35</v>
      </c>
      <c r="Q118" s="3" t="str">
        <f t="shared" si="10"/>
        <v>14.4-2024-12-31</v>
      </c>
      <c r="R118" s="3">
        <v>0</v>
      </c>
      <c r="S118" s="3">
        <v>0</v>
      </c>
      <c r="T118" s="3" t="s">
        <v>443</v>
      </c>
      <c r="U118" s="3" t="s">
        <v>37</v>
      </c>
      <c r="V118" s="3" t="s">
        <v>30</v>
      </c>
      <c r="W118" s="3" t="s">
        <v>38</v>
      </c>
      <c r="X118" s="3" t="s">
        <v>39</v>
      </c>
      <c r="Y118" s="3" t="s">
        <v>40</v>
      </c>
      <c r="Z118" s="3" t="s">
        <v>86</v>
      </c>
      <c r="AA118" s="3" t="s">
        <v>339</v>
      </c>
      <c r="AB118" s="3" t="s">
        <v>78</v>
      </c>
      <c r="AC118" s="3" t="s">
        <v>31</v>
      </c>
      <c r="AD118" s="3">
        <v>0</v>
      </c>
    </row>
    <row r="119" spans="1:30" x14ac:dyDescent="0.3">
      <c r="A119" s="3" t="s">
        <v>590</v>
      </c>
      <c r="B119" s="3" t="s">
        <v>371</v>
      </c>
      <c r="C119" s="3" t="s">
        <v>186</v>
      </c>
      <c r="D119" s="3" t="s">
        <v>31</v>
      </c>
      <c r="E119" s="3" t="s">
        <v>32</v>
      </c>
      <c r="F119" s="12">
        <v>45838</v>
      </c>
      <c r="G119" s="3">
        <v>2025</v>
      </c>
      <c r="H119" s="3" t="s">
        <v>33</v>
      </c>
      <c r="I119" s="3" t="s">
        <v>404</v>
      </c>
      <c r="J119" s="3">
        <v>1</v>
      </c>
      <c r="K119" s="3">
        <v>3994</v>
      </c>
      <c r="L119" s="3">
        <v>4409</v>
      </c>
      <c r="M119" s="3">
        <f t="shared" si="19"/>
        <v>1.1039058587881823</v>
      </c>
      <c r="N119" s="3">
        <f t="shared" si="20"/>
        <v>1.1039058587881823</v>
      </c>
      <c r="O119" s="3" t="s">
        <v>35</v>
      </c>
      <c r="P119" s="3" t="s">
        <v>35</v>
      </c>
      <c r="Q119" s="3" t="str">
        <f t="shared" si="10"/>
        <v>14.4-2025-06-30</v>
      </c>
      <c r="R119" s="3">
        <v>0</v>
      </c>
      <c r="S119" s="3">
        <v>0</v>
      </c>
      <c r="T119" s="3" t="s">
        <v>31</v>
      </c>
      <c r="U119" s="3" t="s">
        <v>37</v>
      </c>
      <c r="V119" s="3" t="s">
        <v>30</v>
      </c>
      <c r="W119" s="3" t="s">
        <v>38</v>
      </c>
      <c r="X119" s="3" t="s">
        <v>39</v>
      </c>
      <c r="Y119" s="3" t="s">
        <v>40</v>
      </c>
      <c r="Z119" s="3" t="s">
        <v>86</v>
      </c>
      <c r="AA119" s="3" t="s">
        <v>339</v>
      </c>
      <c r="AB119" s="3" t="s">
        <v>78</v>
      </c>
      <c r="AC119" s="3" t="s">
        <v>31</v>
      </c>
      <c r="AD119" s="3">
        <v>0</v>
      </c>
    </row>
    <row r="120" spans="1:30" x14ac:dyDescent="0.3">
      <c r="A120" s="3" t="s">
        <v>590</v>
      </c>
      <c r="B120" s="3" t="s">
        <v>371</v>
      </c>
      <c r="C120" s="3" t="s">
        <v>186</v>
      </c>
      <c r="D120" s="3" t="s">
        <v>31</v>
      </c>
      <c r="E120" s="3" t="s">
        <v>32</v>
      </c>
      <c r="F120" s="12">
        <v>46022</v>
      </c>
      <c r="G120" s="3">
        <v>2025</v>
      </c>
      <c r="H120" s="3" t="s">
        <v>44</v>
      </c>
      <c r="I120" s="3" t="s">
        <v>465</v>
      </c>
      <c r="J120" s="3">
        <v>2</v>
      </c>
      <c r="K120" s="3">
        <v>4017</v>
      </c>
      <c r="L120" s="11">
        <v>4660</v>
      </c>
      <c r="M120" s="3">
        <f t="shared" si="19"/>
        <v>1.1600697037590242</v>
      </c>
      <c r="N120" s="3">
        <f t="shared" si="20"/>
        <v>1.1600697037590242</v>
      </c>
      <c r="O120" s="3" t="s">
        <v>35</v>
      </c>
      <c r="P120" s="3" t="s">
        <v>35</v>
      </c>
      <c r="Q120" s="3" t="str">
        <f t="shared" si="10"/>
        <v>14.4-2025-12-31</v>
      </c>
      <c r="R120" s="3">
        <v>0</v>
      </c>
      <c r="S120" s="3">
        <v>0</v>
      </c>
      <c r="T120" s="3" t="s">
        <v>31</v>
      </c>
      <c r="U120" s="3" t="s">
        <v>37</v>
      </c>
      <c r="V120" s="3" t="s">
        <v>30</v>
      </c>
      <c r="W120" s="3" t="s">
        <v>38</v>
      </c>
      <c r="X120" s="3" t="s">
        <v>39</v>
      </c>
      <c r="Y120" s="3" t="s">
        <v>40</v>
      </c>
      <c r="Z120" s="3" t="s">
        <v>86</v>
      </c>
      <c r="AA120" s="3" t="s">
        <v>339</v>
      </c>
      <c r="AB120" s="3" t="s">
        <v>78</v>
      </c>
      <c r="AC120" s="3" t="s">
        <v>31</v>
      </c>
      <c r="AD120" s="3">
        <v>0</v>
      </c>
    </row>
    <row r="121" spans="1:30" x14ac:dyDescent="0.3">
      <c r="A121" s="3" t="s">
        <v>590</v>
      </c>
      <c r="B121" s="3" t="s">
        <v>371</v>
      </c>
      <c r="C121" s="3" t="s">
        <v>186</v>
      </c>
      <c r="D121" s="3" t="s">
        <v>31</v>
      </c>
      <c r="E121" s="3" t="s">
        <v>32</v>
      </c>
      <c r="F121" s="12">
        <v>46022</v>
      </c>
      <c r="G121" s="3">
        <v>2025</v>
      </c>
      <c r="H121" s="3" t="s">
        <v>44</v>
      </c>
      <c r="I121" s="3" t="s">
        <v>465</v>
      </c>
      <c r="J121" s="3"/>
      <c r="K121" s="3">
        <f>+K119+K120</f>
        <v>8011</v>
      </c>
      <c r="L121" s="3">
        <f>+L119+L120</f>
        <v>9069</v>
      </c>
      <c r="M121" s="3">
        <f t="shared" si="19"/>
        <v>1.13206840594183</v>
      </c>
      <c r="N121" s="3">
        <f t="shared" si="20"/>
        <v>1.13206840594183</v>
      </c>
      <c r="O121" s="3" t="s">
        <v>35</v>
      </c>
      <c r="P121" s="3" t="s">
        <v>35</v>
      </c>
      <c r="Q121" s="3" t="str">
        <f t="shared" si="10"/>
        <v>14.4-2025-12-31</v>
      </c>
      <c r="R121" s="3">
        <v>0</v>
      </c>
      <c r="S121" s="3">
        <v>0</v>
      </c>
      <c r="T121" s="3" t="s">
        <v>443</v>
      </c>
      <c r="U121" s="3" t="s">
        <v>37</v>
      </c>
      <c r="V121" s="3" t="s">
        <v>30</v>
      </c>
      <c r="W121" s="3" t="s">
        <v>38</v>
      </c>
      <c r="X121" s="3" t="s">
        <v>39</v>
      </c>
      <c r="Y121" s="3" t="s">
        <v>40</v>
      </c>
      <c r="Z121" s="3" t="s">
        <v>86</v>
      </c>
      <c r="AA121" s="3" t="s">
        <v>339</v>
      </c>
      <c r="AB121" s="3" t="s">
        <v>78</v>
      </c>
      <c r="AC121" s="3" t="s">
        <v>31</v>
      </c>
      <c r="AD121" s="3">
        <v>0</v>
      </c>
    </row>
    <row r="122" spans="1:30" x14ac:dyDescent="0.3">
      <c r="A122" s="3">
        <v>77</v>
      </c>
      <c r="B122" s="3" t="s">
        <v>55</v>
      </c>
      <c r="C122" s="3" t="s">
        <v>56</v>
      </c>
      <c r="D122" s="3" t="s">
        <v>57</v>
      </c>
      <c r="E122" s="3" t="s">
        <v>32</v>
      </c>
      <c r="F122" s="12">
        <v>44742</v>
      </c>
      <c r="G122" s="3">
        <v>2022</v>
      </c>
      <c r="H122" s="3" t="s">
        <v>33</v>
      </c>
      <c r="I122" s="3" t="s">
        <v>34</v>
      </c>
      <c r="J122" s="3">
        <v>1</v>
      </c>
      <c r="K122" s="3">
        <v>97</v>
      </c>
      <c r="L122" s="3">
        <v>97.683333333333323</v>
      </c>
      <c r="M122" s="3">
        <v>1.0070446735395191</v>
      </c>
      <c r="N122" s="3">
        <v>1.0070446735395191</v>
      </c>
      <c r="O122" s="3" t="s">
        <v>58</v>
      </c>
      <c r="P122" s="3" t="s">
        <v>58</v>
      </c>
      <c r="Q122" s="3" t="str">
        <f t="shared" si="10"/>
        <v>77-2022-06-30</v>
      </c>
      <c r="R122" s="3">
        <v>0</v>
      </c>
      <c r="S122" s="3">
        <v>1</v>
      </c>
      <c r="T122" s="3" t="s">
        <v>31</v>
      </c>
      <c r="U122" s="3" t="s">
        <v>37</v>
      </c>
      <c r="V122" s="3" t="s">
        <v>56</v>
      </c>
      <c r="W122" s="3" t="s">
        <v>60</v>
      </c>
      <c r="X122" s="3" t="s">
        <v>61</v>
      </c>
      <c r="Y122" s="3" t="s">
        <v>62</v>
      </c>
      <c r="Z122" s="3" t="s">
        <v>63</v>
      </c>
      <c r="AA122" s="3" t="s">
        <v>64</v>
      </c>
      <c r="AB122" s="3" t="s">
        <v>65</v>
      </c>
      <c r="AC122" s="3" t="s">
        <v>66</v>
      </c>
      <c r="AD122" s="3">
        <v>0</v>
      </c>
    </row>
    <row r="123" spans="1:30" x14ac:dyDescent="0.3">
      <c r="A123" s="3">
        <v>77</v>
      </c>
      <c r="B123" s="3" t="s">
        <v>55</v>
      </c>
      <c r="C123" s="3" t="s">
        <v>56</v>
      </c>
      <c r="D123" s="3" t="s">
        <v>57</v>
      </c>
      <c r="E123" s="3" t="s">
        <v>32</v>
      </c>
      <c r="F123" s="12">
        <v>44926</v>
      </c>
      <c r="G123" s="3">
        <v>2022</v>
      </c>
      <c r="H123" s="3" t="s">
        <v>44</v>
      </c>
      <c r="I123" s="3" t="s">
        <v>45</v>
      </c>
      <c r="J123" s="3">
        <v>2</v>
      </c>
      <c r="K123" s="3">
        <v>97</v>
      </c>
      <c r="L123" s="3">
        <v>98.116666666666674</v>
      </c>
      <c r="M123" s="3">
        <v>1.0115120274914089</v>
      </c>
      <c r="N123" s="3">
        <v>1.0115120274914089</v>
      </c>
      <c r="O123" s="3" t="s">
        <v>58</v>
      </c>
      <c r="P123" s="3" t="s">
        <v>58</v>
      </c>
      <c r="Q123" s="3" t="str">
        <f t="shared" si="10"/>
        <v>77-2022-12-31</v>
      </c>
      <c r="R123" s="3">
        <v>0</v>
      </c>
      <c r="S123" s="3">
        <v>1</v>
      </c>
      <c r="T123" s="3" t="s">
        <v>31</v>
      </c>
      <c r="U123" s="3" t="s">
        <v>37</v>
      </c>
      <c r="V123" s="3" t="s">
        <v>56</v>
      </c>
      <c r="W123" s="3" t="s">
        <v>60</v>
      </c>
      <c r="X123" s="3" t="s">
        <v>61</v>
      </c>
      <c r="Y123" s="3" t="s">
        <v>62</v>
      </c>
      <c r="Z123" s="3" t="s">
        <v>63</v>
      </c>
      <c r="AA123" s="3" t="s">
        <v>64</v>
      </c>
      <c r="AB123" s="3" t="s">
        <v>65</v>
      </c>
      <c r="AC123" s="3" t="s">
        <v>66</v>
      </c>
      <c r="AD123" s="3">
        <v>0</v>
      </c>
    </row>
    <row r="124" spans="1:30" x14ac:dyDescent="0.3">
      <c r="A124" s="3">
        <v>77</v>
      </c>
      <c r="B124" s="3" t="s">
        <v>55</v>
      </c>
      <c r="C124" s="3" t="s">
        <v>56</v>
      </c>
      <c r="D124" s="3" t="s">
        <v>57</v>
      </c>
      <c r="E124" s="3" t="s">
        <v>32</v>
      </c>
      <c r="F124" s="12">
        <v>44926</v>
      </c>
      <c r="G124" s="3">
        <v>2022</v>
      </c>
      <c r="H124" s="3" t="s">
        <v>44</v>
      </c>
      <c r="I124" s="3" t="s">
        <v>45</v>
      </c>
      <c r="J124" s="3"/>
      <c r="K124" s="3">
        <v>97</v>
      </c>
      <c r="L124" s="3">
        <v>97.899999999999991</v>
      </c>
      <c r="M124" s="3">
        <v>1.0092783505154641</v>
      </c>
      <c r="N124" s="3">
        <v>1.0092783505154641</v>
      </c>
      <c r="O124" s="3" t="s">
        <v>58</v>
      </c>
      <c r="P124" s="3" t="s">
        <v>58</v>
      </c>
      <c r="Q124" s="3" t="str">
        <f t="shared" si="10"/>
        <v>77-2022-12-31</v>
      </c>
      <c r="R124" s="3">
        <v>0</v>
      </c>
      <c r="S124" s="3">
        <v>1</v>
      </c>
      <c r="T124" s="3" t="s">
        <v>443</v>
      </c>
      <c r="U124" s="3" t="s">
        <v>37</v>
      </c>
      <c r="V124" s="3" t="s">
        <v>56</v>
      </c>
      <c r="W124" s="3" t="s">
        <v>60</v>
      </c>
      <c r="X124" s="3" t="s">
        <v>61</v>
      </c>
      <c r="Y124" s="3" t="s">
        <v>62</v>
      </c>
      <c r="Z124" s="3" t="s">
        <v>63</v>
      </c>
      <c r="AA124" s="3" t="s">
        <v>64</v>
      </c>
      <c r="AB124" s="3" t="s">
        <v>65</v>
      </c>
      <c r="AC124" s="3" t="s">
        <v>66</v>
      </c>
      <c r="AD124" s="3">
        <v>0</v>
      </c>
    </row>
    <row r="125" spans="1:30" x14ac:dyDescent="0.3">
      <c r="A125" s="3">
        <v>77</v>
      </c>
      <c r="B125" s="3" t="s">
        <v>55</v>
      </c>
      <c r="C125" s="3" t="s">
        <v>56</v>
      </c>
      <c r="D125" s="3" t="s">
        <v>57</v>
      </c>
      <c r="E125" s="3" t="s">
        <v>32</v>
      </c>
      <c r="F125" s="12">
        <v>45107</v>
      </c>
      <c r="G125" s="3">
        <v>2023</v>
      </c>
      <c r="H125" s="3" t="s">
        <v>33</v>
      </c>
      <c r="I125" s="3" t="s">
        <v>47</v>
      </c>
      <c r="J125" s="3">
        <v>1</v>
      </c>
      <c r="K125" s="3">
        <v>97</v>
      </c>
      <c r="L125" s="3">
        <v>97.683333333333337</v>
      </c>
      <c r="M125" s="3">
        <v>1.0070446735395191</v>
      </c>
      <c r="N125" s="3">
        <v>1.0070446735395191</v>
      </c>
      <c r="O125" s="3" t="s">
        <v>58</v>
      </c>
      <c r="P125" s="3" t="s">
        <v>58</v>
      </c>
      <c r="Q125" s="3" t="str">
        <f t="shared" si="10"/>
        <v>77-2023-06-30</v>
      </c>
      <c r="R125" s="3">
        <v>0</v>
      </c>
      <c r="S125" s="3">
        <v>1</v>
      </c>
      <c r="T125" s="3" t="s">
        <v>31</v>
      </c>
      <c r="U125" s="3" t="s">
        <v>37</v>
      </c>
      <c r="V125" s="3" t="s">
        <v>56</v>
      </c>
      <c r="W125" s="3" t="s">
        <v>60</v>
      </c>
      <c r="X125" s="3" t="s">
        <v>61</v>
      </c>
      <c r="Y125" s="3" t="s">
        <v>62</v>
      </c>
      <c r="Z125" s="3" t="s">
        <v>63</v>
      </c>
      <c r="AA125" s="3" t="s">
        <v>64</v>
      </c>
      <c r="AB125" s="3" t="s">
        <v>65</v>
      </c>
      <c r="AC125" s="3" t="s">
        <v>66</v>
      </c>
      <c r="AD125" s="3">
        <v>0</v>
      </c>
    </row>
    <row r="126" spans="1:30" x14ac:dyDescent="0.3">
      <c r="A126" s="3">
        <v>77</v>
      </c>
      <c r="B126" s="3" t="s">
        <v>55</v>
      </c>
      <c r="C126" s="3" t="s">
        <v>56</v>
      </c>
      <c r="D126" s="3" t="s">
        <v>57</v>
      </c>
      <c r="E126" s="3" t="s">
        <v>32</v>
      </c>
      <c r="F126" s="12">
        <v>45291</v>
      </c>
      <c r="G126" s="3">
        <v>2023</v>
      </c>
      <c r="H126" s="3" t="s">
        <v>44</v>
      </c>
      <c r="I126" s="3" t="s">
        <v>49</v>
      </c>
      <c r="J126" s="3">
        <v>2</v>
      </c>
      <c r="K126" s="3">
        <v>97</v>
      </c>
      <c r="L126" s="3">
        <v>97.583333333333329</v>
      </c>
      <c r="M126" s="3">
        <v>1.0060137457044671</v>
      </c>
      <c r="N126" s="3">
        <v>1.0060137457044671</v>
      </c>
      <c r="O126" s="3" t="s">
        <v>58</v>
      </c>
      <c r="P126" s="3" t="s">
        <v>58</v>
      </c>
      <c r="Q126" s="3" t="str">
        <f t="shared" si="10"/>
        <v>77-2023-12-31</v>
      </c>
      <c r="R126" s="3">
        <v>0</v>
      </c>
      <c r="S126" s="3">
        <v>1</v>
      </c>
      <c r="T126" s="3" t="s">
        <v>31</v>
      </c>
      <c r="U126" s="3" t="s">
        <v>37</v>
      </c>
      <c r="V126" s="3" t="s">
        <v>56</v>
      </c>
      <c r="W126" s="3" t="s">
        <v>60</v>
      </c>
      <c r="X126" s="3" t="s">
        <v>61</v>
      </c>
      <c r="Y126" s="3" t="s">
        <v>62</v>
      </c>
      <c r="Z126" s="3" t="s">
        <v>63</v>
      </c>
      <c r="AA126" s="3" t="s">
        <v>64</v>
      </c>
      <c r="AB126" s="3" t="s">
        <v>65</v>
      </c>
      <c r="AC126" s="3" t="s">
        <v>66</v>
      </c>
      <c r="AD126" s="3">
        <v>0</v>
      </c>
    </row>
    <row r="127" spans="1:30" x14ac:dyDescent="0.3">
      <c r="A127" s="3">
        <v>77</v>
      </c>
      <c r="B127" s="3" t="s">
        <v>55</v>
      </c>
      <c r="C127" s="3" t="s">
        <v>56</v>
      </c>
      <c r="D127" s="3" t="s">
        <v>57</v>
      </c>
      <c r="E127" s="3" t="s">
        <v>32</v>
      </c>
      <c r="F127" s="12">
        <v>45291</v>
      </c>
      <c r="G127" s="3">
        <v>2023</v>
      </c>
      <c r="H127" s="3" t="s">
        <v>44</v>
      </c>
      <c r="I127" s="3" t="s">
        <v>49</v>
      </c>
      <c r="J127" s="3"/>
      <c r="K127" s="3">
        <v>97</v>
      </c>
      <c r="L127" s="3">
        <v>97.633333333333326</v>
      </c>
      <c r="M127" s="3">
        <v>1.0065292096219931</v>
      </c>
      <c r="N127" s="3">
        <v>1.0065292096219931</v>
      </c>
      <c r="O127" s="3" t="s">
        <v>58</v>
      </c>
      <c r="P127" s="3" t="s">
        <v>58</v>
      </c>
      <c r="Q127" s="3" t="str">
        <f t="shared" si="10"/>
        <v>77-2023-12-31</v>
      </c>
      <c r="R127" s="3">
        <v>0</v>
      </c>
      <c r="S127" s="3">
        <v>1</v>
      </c>
      <c r="T127" s="3" t="s">
        <v>443</v>
      </c>
      <c r="U127" s="3" t="s">
        <v>37</v>
      </c>
      <c r="V127" s="3" t="s">
        <v>56</v>
      </c>
      <c r="W127" s="3" t="s">
        <v>60</v>
      </c>
      <c r="X127" s="3" t="s">
        <v>61</v>
      </c>
      <c r="Y127" s="3" t="s">
        <v>62</v>
      </c>
      <c r="Z127" s="3" t="s">
        <v>63</v>
      </c>
      <c r="AA127" s="3" t="s">
        <v>64</v>
      </c>
      <c r="AB127" s="3" t="s">
        <v>65</v>
      </c>
      <c r="AC127" s="3" t="s">
        <v>66</v>
      </c>
      <c r="AD127" s="3">
        <v>0</v>
      </c>
    </row>
    <row r="128" spans="1:30" x14ac:dyDescent="0.3">
      <c r="A128" s="3">
        <v>77</v>
      </c>
      <c r="B128" s="3" t="s">
        <v>55</v>
      </c>
      <c r="C128" s="3" t="s">
        <v>56</v>
      </c>
      <c r="D128" s="3" t="s">
        <v>57</v>
      </c>
      <c r="E128" s="3" t="s">
        <v>32</v>
      </c>
      <c r="F128" s="12">
        <v>45473</v>
      </c>
      <c r="G128" s="3">
        <v>2024</v>
      </c>
      <c r="H128" s="3" t="s">
        <v>33</v>
      </c>
      <c r="I128" s="3" t="s">
        <v>51</v>
      </c>
      <c r="J128" s="3">
        <v>1</v>
      </c>
      <c r="K128" s="3">
        <v>97</v>
      </c>
      <c r="L128" s="3">
        <v>98.331666666666663</v>
      </c>
      <c r="M128" s="3">
        <f>+L128/K128</f>
        <v>1.0137285223367698</v>
      </c>
      <c r="N128" s="3">
        <f>+L128/K128</f>
        <v>1.0137285223367698</v>
      </c>
      <c r="O128" s="3" t="s">
        <v>58</v>
      </c>
      <c r="P128" s="3" t="s">
        <v>58</v>
      </c>
      <c r="Q128" s="3" t="str">
        <f t="shared" si="10"/>
        <v>77-2024-06-30</v>
      </c>
      <c r="R128" s="3">
        <v>0</v>
      </c>
      <c r="S128" s="3">
        <v>1</v>
      </c>
      <c r="T128" s="3" t="s">
        <v>31</v>
      </c>
      <c r="U128" s="3" t="s">
        <v>37</v>
      </c>
      <c r="V128" s="3" t="s">
        <v>56</v>
      </c>
      <c r="W128" s="3" t="s">
        <v>60</v>
      </c>
      <c r="X128" s="3" t="s">
        <v>61</v>
      </c>
      <c r="Y128" s="3" t="s">
        <v>62</v>
      </c>
      <c r="Z128" s="3" t="s">
        <v>63</v>
      </c>
      <c r="AA128" s="3" t="s">
        <v>64</v>
      </c>
      <c r="AB128" s="3" t="s">
        <v>65</v>
      </c>
      <c r="AC128" s="3" t="s">
        <v>66</v>
      </c>
      <c r="AD128" s="3">
        <v>0</v>
      </c>
    </row>
    <row r="129" spans="1:30" x14ac:dyDescent="0.3">
      <c r="A129" s="3">
        <v>77</v>
      </c>
      <c r="B129" s="3" t="s">
        <v>55</v>
      </c>
      <c r="C129" s="3" t="s">
        <v>56</v>
      </c>
      <c r="D129" s="3" t="s">
        <v>57</v>
      </c>
      <c r="E129" s="3" t="s">
        <v>32</v>
      </c>
      <c r="F129" s="12">
        <v>45657</v>
      </c>
      <c r="G129" s="3">
        <v>2024</v>
      </c>
      <c r="H129" s="3" t="s">
        <v>44</v>
      </c>
      <c r="I129" s="3" t="s">
        <v>53</v>
      </c>
      <c r="J129" s="3">
        <v>2</v>
      </c>
      <c r="K129" s="3">
        <v>97</v>
      </c>
      <c r="L129" s="3">
        <v>96.533333333333346</v>
      </c>
      <c r="M129" s="3">
        <f>+L129/K129</f>
        <v>0.99518900343642624</v>
      </c>
      <c r="N129" s="3">
        <f>+L129/K129</f>
        <v>0.99518900343642624</v>
      </c>
      <c r="O129" s="3" t="s">
        <v>58</v>
      </c>
      <c r="P129" s="3" t="s">
        <v>58</v>
      </c>
      <c r="Q129" s="3" t="str">
        <f t="shared" si="10"/>
        <v>77-2024-12-31</v>
      </c>
      <c r="R129" s="3">
        <v>0</v>
      </c>
      <c r="S129" s="3">
        <v>1</v>
      </c>
      <c r="T129" s="3" t="s">
        <v>31</v>
      </c>
      <c r="U129" s="3" t="s">
        <v>37</v>
      </c>
      <c r="V129" s="3" t="s">
        <v>56</v>
      </c>
      <c r="W129" s="3" t="s">
        <v>60</v>
      </c>
      <c r="X129" s="3" t="s">
        <v>61</v>
      </c>
      <c r="Y129" s="3" t="s">
        <v>62</v>
      </c>
      <c r="Z129" s="3" t="s">
        <v>63</v>
      </c>
      <c r="AA129" s="3" t="s">
        <v>64</v>
      </c>
      <c r="AB129" s="3" t="s">
        <v>65</v>
      </c>
      <c r="AC129" s="3" t="s">
        <v>66</v>
      </c>
      <c r="AD129" s="3">
        <v>0</v>
      </c>
    </row>
    <row r="130" spans="1:30" x14ac:dyDescent="0.3">
      <c r="A130" s="3">
        <v>77</v>
      </c>
      <c r="B130" s="3" t="s">
        <v>55</v>
      </c>
      <c r="C130" s="3" t="s">
        <v>56</v>
      </c>
      <c r="D130" s="3" t="s">
        <v>57</v>
      </c>
      <c r="E130" s="3" t="s">
        <v>32</v>
      </c>
      <c r="F130" s="12">
        <v>45657</v>
      </c>
      <c r="G130" s="3">
        <v>2024</v>
      </c>
      <c r="H130" s="3" t="s">
        <v>44</v>
      </c>
      <c r="I130" s="3" t="s">
        <v>53</v>
      </c>
      <c r="J130" s="3"/>
      <c r="K130" s="3">
        <v>97</v>
      </c>
      <c r="L130" s="3">
        <v>97.432500000000005</v>
      </c>
      <c r="M130" s="3">
        <f>+L130/K130</f>
        <v>1.004458762886598</v>
      </c>
      <c r="N130" s="3">
        <f>+L130/K130</f>
        <v>1.004458762886598</v>
      </c>
      <c r="O130" s="3" t="s">
        <v>58</v>
      </c>
      <c r="P130" s="3" t="s">
        <v>58</v>
      </c>
      <c r="Q130" s="3" t="str">
        <f t="shared" si="10"/>
        <v>77-2024-12-31</v>
      </c>
      <c r="R130" s="3">
        <v>0</v>
      </c>
      <c r="S130" s="3">
        <v>1</v>
      </c>
      <c r="T130" s="3" t="s">
        <v>443</v>
      </c>
      <c r="U130" s="3" t="s">
        <v>37</v>
      </c>
      <c r="V130" s="3" t="s">
        <v>56</v>
      </c>
      <c r="W130" s="3" t="s">
        <v>60</v>
      </c>
      <c r="X130" s="3" t="s">
        <v>61</v>
      </c>
      <c r="Y130" s="3" t="s">
        <v>62</v>
      </c>
      <c r="Z130" s="3" t="s">
        <v>63</v>
      </c>
      <c r="AA130" s="3" t="s">
        <v>64</v>
      </c>
      <c r="AB130" s="3" t="s">
        <v>65</v>
      </c>
      <c r="AC130" s="3" t="s">
        <v>66</v>
      </c>
      <c r="AD130" s="3">
        <v>0</v>
      </c>
    </row>
    <row r="131" spans="1:30" x14ac:dyDescent="0.3">
      <c r="A131" s="3">
        <v>77</v>
      </c>
      <c r="B131" s="3" t="s">
        <v>55</v>
      </c>
      <c r="C131" s="3" t="s">
        <v>56</v>
      </c>
      <c r="D131" s="3" t="s">
        <v>57</v>
      </c>
      <c r="E131" s="3" t="s">
        <v>32</v>
      </c>
      <c r="F131" s="12">
        <v>45838</v>
      </c>
      <c r="G131" s="3">
        <v>2025</v>
      </c>
      <c r="H131" s="3" t="s">
        <v>33</v>
      </c>
      <c r="I131" s="3" t="s">
        <v>404</v>
      </c>
      <c r="J131" s="3">
        <v>1</v>
      </c>
      <c r="K131" s="3">
        <v>97</v>
      </c>
      <c r="L131" s="3">
        <v>94.65</v>
      </c>
      <c r="M131" s="3">
        <f>+L131/K131</f>
        <v>0.97577319587628875</v>
      </c>
      <c r="N131" s="3">
        <f>+L131/K131</f>
        <v>0.97577319587628875</v>
      </c>
      <c r="O131" s="3" t="s">
        <v>58</v>
      </c>
      <c r="P131" s="3" t="s">
        <v>58</v>
      </c>
      <c r="Q131" s="3" t="str">
        <f t="shared" ref="Q131:Q194" si="21">A131&amp;"-"&amp;YEAR(F131)&amp;"-"&amp;IF(LEN(MONTH(F131))=1,"0"&amp;MONTH(F131),MONTH(F131))&amp;"-"&amp;IF(LEN(DAY(F131))=1,"0"&amp;DAY(F131),DAY(F131))</f>
        <v>77-2025-06-30</v>
      </c>
      <c r="R131" s="3">
        <v>0</v>
      </c>
      <c r="S131" s="3">
        <v>1</v>
      </c>
      <c r="T131" s="3" t="s">
        <v>31</v>
      </c>
      <c r="U131" s="3" t="s">
        <v>37</v>
      </c>
      <c r="V131" s="3" t="s">
        <v>56</v>
      </c>
      <c r="W131" s="3" t="s">
        <v>60</v>
      </c>
      <c r="X131" s="3" t="s">
        <v>61</v>
      </c>
      <c r="Y131" s="3" t="s">
        <v>62</v>
      </c>
      <c r="Z131" s="3" t="s">
        <v>63</v>
      </c>
      <c r="AA131" s="3" t="s">
        <v>64</v>
      </c>
      <c r="AB131" s="3" t="s">
        <v>65</v>
      </c>
      <c r="AC131" s="3" t="s">
        <v>66</v>
      </c>
      <c r="AD131" s="3">
        <v>0</v>
      </c>
    </row>
    <row r="132" spans="1:30" x14ac:dyDescent="0.3">
      <c r="A132" s="3">
        <v>77</v>
      </c>
      <c r="B132" s="3" t="s">
        <v>55</v>
      </c>
      <c r="C132" s="3" t="s">
        <v>56</v>
      </c>
      <c r="D132" s="3" t="s">
        <v>57</v>
      </c>
      <c r="E132" s="3" t="s">
        <v>32</v>
      </c>
      <c r="F132" s="12">
        <v>45991</v>
      </c>
      <c r="G132" s="3">
        <v>2025</v>
      </c>
      <c r="H132" s="3" t="s">
        <v>483</v>
      </c>
      <c r="I132" s="3" t="s">
        <v>465</v>
      </c>
      <c r="J132" s="3">
        <v>2</v>
      </c>
      <c r="K132" s="3">
        <v>97</v>
      </c>
      <c r="L132" s="3">
        <v>95.74545454545455</v>
      </c>
      <c r="M132" s="3">
        <f>+L132/K132</f>
        <v>0.98706654170571706</v>
      </c>
      <c r="N132" s="3">
        <f>+L132/K132</f>
        <v>0.98706654170571706</v>
      </c>
      <c r="O132" s="3" t="s">
        <v>58</v>
      </c>
      <c r="P132" s="3" t="s">
        <v>58</v>
      </c>
      <c r="Q132" s="3" t="str">
        <f t="shared" si="21"/>
        <v>77-2025-11-30</v>
      </c>
      <c r="R132" s="3">
        <v>0</v>
      </c>
      <c r="S132" s="3">
        <v>1</v>
      </c>
      <c r="T132" s="3" t="s">
        <v>31</v>
      </c>
      <c r="U132" s="3" t="s">
        <v>37</v>
      </c>
      <c r="V132" s="3" t="s">
        <v>56</v>
      </c>
      <c r="W132" s="3" t="s">
        <v>60</v>
      </c>
      <c r="X132" s="3" t="s">
        <v>61</v>
      </c>
      <c r="Y132" s="3" t="s">
        <v>62</v>
      </c>
      <c r="Z132" s="3" t="s">
        <v>63</v>
      </c>
      <c r="AA132" s="3" t="s">
        <v>64</v>
      </c>
      <c r="AB132" s="3" t="s">
        <v>65</v>
      </c>
      <c r="AC132" s="3" t="s">
        <v>66</v>
      </c>
      <c r="AD132" s="3">
        <v>0</v>
      </c>
    </row>
    <row r="133" spans="1:30" x14ac:dyDescent="0.3">
      <c r="A133" s="3">
        <v>96</v>
      </c>
      <c r="B133" s="3" t="s">
        <v>70</v>
      </c>
      <c r="C133" s="3" t="s">
        <v>71</v>
      </c>
      <c r="D133" s="3" t="s">
        <v>66</v>
      </c>
      <c r="E133" s="3" t="s">
        <v>32</v>
      </c>
      <c r="F133" s="12">
        <v>44926</v>
      </c>
      <c r="G133" s="3">
        <v>2022</v>
      </c>
      <c r="H133" s="3" t="s">
        <v>44</v>
      </c>
      <c r="I133" s="3" t="s">
        <v>45</v>
      </c>
      <c r="J133" s="3">
        <v>2</v>
      </c>
      <c r="K133" s="3">
        <v>509</v>
      </c>
      <c r="L133" s="3">
        <v>565</v>
      </c>
      <c r="M133" s="3">
        <v>1.1100196463654219</v>
      </c>
      <c r="N133" s="3">
        <v>1.1100196463654219</v>
      </c>
      <c r="O133" s="3" t="s">
        <v>35</v>
      </c>
      <c r="P133" s="3" t="s">
        <v>35</v>
      </c>
      <c r="Q133" s="3" t="str">
        <f t="shared" si="21"/>
        <v>96-2022-12-31</v>
      </c>
      <c r="R133" s="3">
        <v>0</v>
      </c>
      <c r="S133" s="3">
        <v>0</v>
      </c>
      <c r="T133" s="3" t="s">
        <v>31</v>
      </c>
      <c r="U133" s="3" t="s">
        <v>37</v>
      </c>
      <c r="V133" s="3" t="s">
        <v>71</v>
      </c>
      <c r="W133" s="3" t="s">
        <v>73</v>
      </c>
      <c r="X133" s="3" t="s">
        <v>74</v>
      </c>
      <c r="Y133" s="3" t="s">
        <v>585</v>
      </c>
      <c r="Z133" s="3" t="s">
        <v>76</v>
      </c>
      <c r="AA133" s="3" t="s">
        <v>77</v>
      </c>
      <c r="AB133" s="3" t="s">
        <v>78</v>
      </c>
      <c r="AC133" s="3" t="s">
        <v>66</v>
      </c>
      <c r="AD133" s="3">
        <v>0</v>
      </c>
    </row>
    <row r="134" spans="1:30" x14ac:dyDescent="0.3">
      <c r="A134" s="3">
        <v>96</v>
      </c>
      <c r="B134" s="3" t="s">
        <v>70</v>
      </c>
      <c r="C134" s="3" t="s">
        <v>71</v>
      </c>
      <c r="D134" s="3" t="s">
        <v>66</v>
      </c>
      <c r="E134" s="3" t="s">
        <v>32</v>
      </c>
      <c r="F134" s="12">
        <v>44926</v>
      </c>
      <c r="G134" s="3">
        <v>2022</v>
      </c>
      <c r="H134" s="3" t="s">
        <v>44</v>
      </c>
      <c r="I134" s="3" t="s">
        <v>45</v>
      </c>
      <c r="J134" s="3"/>
      <c r="K134" s="3">
        <v>509</v>
      </c>
      <c r="L134" s="3">
        <v>565</v>
      </c>
      <c r="M134" s="3">
        <v>1.1100196463654219</v>
      </c>
      <c r="N134" s="3">
        <v>1.1100196463654219</v>
      </c>
      <c r="O134" s="3" t="s">
        <v>35</v>
      </c>
      <c r="P134" s="3" t="s">
        <v>35</v>
      </c>
      <c r="Q134" s="3" t="str">
        <f t="shared" si="21"/>
        <v>96-2022-12-31</v>
      </c>
      <c r="R134" s="3">
        <v>0</v>
      </c>
      <c r="S134" s="3">
        <v>0</v>
      </c>
      <c r="T134" s="3" t="s">
        <v>443</v>
      </c>
      <c r="U134" s="3" t="s">
        <v>37</v>
      </c>
      <c r="V134" s="3" t="s">
        <v>71</v>
      </c>
      <c r="W134" s="3" t="s">
        <v>73</v>
      </c>
      <c r="X134" s="3" t="s">
        <v>74</v>
      </c>
      <c r="Y134" s="3" t="s">
        <v>585</v>
      </c>
      <c r="Z134" s="3" t="s">
        <v>76</v>
      </c>
      <c r="AA134" s="3" t="s">
        <v>77</v>
      </c>
      <c r="AB134" s="3" t="s">
        <v>78</v>
      </c>
      <c r="AC134" s="3" t="s">
        <v>66</v>
      </c>
      <c r="AD134" s="3">
        <v>0</v>
      </c>
    </row>
    <row r="135" spans="1:30" x14ac:dyDescent="0.3">
      <c r="A135" s="3">
        <v>96</v>
      </c>
      <c r="B135" s="3" t="s">
        <v>70</v>
      </c>
      <c r="C135" s="3" t="s">
        <v>71</v>
      </c>
      <c r="D135" s="3" t="s">
        <v>66</v>
      </c>
      <c r="E135" s="3" t="s">
        <v>32</v>
      </c>
      <c r="F135" s="12">
        <v>45291</v>
      </c>
      <c r="G135" s="3">
        <v>2023</v>
      </c>
      <c r="H135" s="3" t="s">
        <v>44</v>
      </c>
      <c r="I135" s="3" t="s">
        <v>49</v>
      </c>
      <c r="J135" s="3">
        <v>2</v>
      </c>
      <c r="K135" s="3">
        <v>611</v>
      </c>
      <c r="L135" s="3">
        <v>705</v>
      </c>
      <c r="M135" s="3">
        <f>+L135/K135</f>
        <v>1.1538461538461537</v>
      </c>
      <c r="N135" s="3">
        <f>+L135/K135</f>
        <v>1.1538461538461537</v>
      </c>
      <c r="O135" s="3" t="s">
        <v>35</v>
      </c>
      <c r="P135" s="3" t="s">
        <v>35</v>
      </c>
      <c r="Q135" s="3" t="str">
        <f t="shared" si="21"/>
        <v>96-2023-12-31</v>
      </c>
      <c r="R135" s="3">
        <v>0</v>
      </c>
      <c r="S135" s="3">
        <v>0</v>
      </c>
      <c r="T135" s="3" t="s">
        <v>31</v>
      </c>
      <c r="U135" s="3" t="s">
        <v>37</v>
      </c>
      <c r="V135" s="3" t="s">
        <v>71</v>
      </c>
      <c r="W135" s="3" t="s">
        <v>73</v>
      </c>
      <c r="X135" s="3" t="s">
        <v>74</v>
      </c>
      <c r="Y135" s="3" t="s">
        <v>585</v>
      </c>
      <c r="Z135" s="3" t="s">
        <v>76</v>
      </c>
      <c r="AA135" s="3" t="s">
        <v>77</v>
      </c>
      <c r="AB135" s="3" t="s">
        <v>78</v>
      </c>
      <c r="AC135" s="3" t="s">
        <v>66</v>
      </c>
      <c r="AD135" s="3">
        <v>0</v>
      </c>
    </row>
    <row r="136" spans="1:30" x14ac:dyDescent="0.3">
      <c r="A136" s="3">
        <v>96</v>
      </c>
      <c r="B136" s="3" t="s">
        <v>70</v>
      </c>
      <c r="C136" s="3" t="s">
        <v>71</v>
      </c>
      <c r="D136" s="3" t="s">
        <v>66</v>
      </c>
      <c r="E136" s="3" t="s">
        <v>32</v>
      </c>
      <c r="F136" s="12">
        <v>45291</v>
      </c>
      <c r="G136" s="3">
        <v>2023</v>
      </c>
      <c r="H136" s="3" t="s">
        <v>44</v>
      </c>
      <c r="I136" s="3" t="s">
        <v>49</v>
      </c>
      <c r="J136" s="3"/>
      <c r="K136" s="3">
        <v>611</v>
      </c>
      <c r="L136" s="3">
        <v>705</v>
      </c>
      <c r="M136" s="3">
        <f>+L136/K136</f>
        <v>1.1538461538461537</v>
      </c>
      <c r="N136" s="3">
        <f>+L136/K136</f>
        <v>1.1538461538461537</v>
      </c>
      <c r="O136" s="3" t="s">
        <v>35</v>
      </c>
      <c r="P136" s="3" t="s">
        <v>35</v>
      </c>
      <c r="Q136" s="3" t="str">
        <f t="shared" si="21"/>
        <v>96-2023-12-31</v>
      </c>
      <c r="R136" s="3">
        <v>0</v>
      </c>
      <c r="S136" s="3">
        <v>0</v>
      </c>
      <c r="T136" s="3" t="s">
        <v>443</v>
      </c>
      <c r="U136" s="3" t="s">
        <v>37</v>
      </c>
      <c r="V136" s="3" t="s">
        <v>71</v>
      </c>
      <c r="W136" s="3" t="s">
        <v>73</v>
      </c>
      <c r="X136" s="3" t="s">
        <v>74</v>
      </c>
      <c r="Y136" s="3" t="s">
        <v>585</v>
      </c>
      <c r="Z136" s="3" t="s">
        <v>76</v>
      </c>
      <c r="AA136" s="3" t="s">
        <v>77</v>
      </c>
      <c r="AB136" s="3" t="s">
        <v>78</v>
      </c>
      <c r="AC136" s="3" t="s">
        <v>66</v>
      </c>
      <c r="AD136" s="3">
        <v>0</v>
      </c>
    </row>
    <row r="137" spans="1:30" x14ac:dyDescent="0.3">
      <c r="A137" s="3">
        <v>96</v>
      </c>
      <c r="B137" s="3" t="s">
        <v>70</v>
      </c>
      <c r="C137" s="3" t="s">
        <v>71</v>
      </c>
      <c r="D137" s="3" t="s">
        <v>66</v>
      </c>
      <c r="E137" s="3" t="s">
        <v>32</v>
      </c>
      <c r="F137" s="12">
        <v>45657</v>
      </c>
      <c r="G137" s="3">
        <v>2024</v>
      </c>
      <c r="H137" s="3" t="s">
        <v>44</v>
      </c>
      <c r="I137" s="3" t="s">
        <v>53</v>
      </c>
      <c r="J137" s="3">
        <v>2</v>
      </c>
      <c r="K137" s="3">
        <v>672</v>
      </c>
      <c r="L137" s="3">
        <v>740</v>
      </c>
      <c r="M137" s="3">
        <f>+L137/K137</f>
        <v>1.1011904761904763</v>
      </c>
      <c r="N137" s="3">
        <f>+L137/K137</f>
        <v>1.1011904761904763</v>
      </c>
      <c r="O137" s="3" t="s">
        <v>35</v>
      </c>
      <c r="P137" s="3" t="s">
        <v>35</v>
      </c>
      <c r="Q137" s="3" t="str">
        <f t="shared" si="21"/>
        <v>96-2024-12-31</v>
      </c>
      <c r="R137" s="3">
        <v>0</v>
      </c>
      <c r="S137" s="3">
        <v>0</v>
      </c>
      <c r="T137" s="3" t="s">
        <v>31</v>
      </c>
      <c r="U137" s="3" t="s">
        <v>37</v>
      </c>
      <c r="V137" s="3" t="s">
        <v>71</v>
      </c>
      <c r="W137" s="3" t="s">
        <v>73</v>
      </c>
      <c r="X137" s="3" t="s">
        <v>74</v>
      </c>
      <c r="Y137" s="3" t="s">
        <v>585</v>
      </c>
      <c r="Z137" s="3" t="s">
        <v>76</v>
      </c>
      <c r="AA137" s="3" t="s">
        <v>77</v>
      </c>
      <c r="AB137" s="3" t="s">
        <v>78</v>
      </c>
      <c r="AC137" s="3" t="s">
        <v>66</v>
      </c>
      <c r="AD137" s="3">
        <v>0</v>
      </c>
    </row>
    <row r="138" spans="1:30" x14ac:dyDescent="0.3">
      <c r="A138" s="3">
        <v>96</v>
      </c>
      <c r="B138" s="3" t="s">
        <v>70</v>
      </c>
      <c r="C138" s="3" t="s">
        <v>71</v>
      </c>
      <c r="D138" s="3" t="s">
        <v>66</v>
      </c>
      <c r="E138" s="3" t="s">
        <v>32</v>
      </c>
      <c r="F138" s="12">
        <v>45657</v>
      </c>
      <c r="G138" s="3">
        <v>2024</v>
      </c>
      <c r="H138" s="3" t="s">
        <v>44</v>
      </c>
      <c r="I138" s="3" t="s">
        <v>53</v>
      </c>
      <c r="J138" s="3"/>
      <c r="K138" s="3">
        <v>672</v>
      </c>
      <c r="L138" s="3">
        <v>740</v>
      </c>
      <c r="M138" s="3">
        <f>+L138/K138</f>
        <v>1.1011904761904763</v>
      </c>
      <c r="N138" s="3">
        <f>+L138/K138</f>
        <v>1.1011904761904763</v>
      </c>
      <c r="O138" s="3" t="s">
        <v>35</v>
      </c>
      <c r="P138" s="3" t="s">
        <v>35</v>
      </c>
      <c r="Q138" s="3" t="str">
        <f t="shared" si="21"/>
        <v>96-2024-12-31</v>
      </c>
      <c r="R138" s="3">
        <v>0</v>
      </c>
      <c r="S138" s="3">
        <v>0</v>
      </c>
      <c r="T138" s="3" t="s">
        <v>443</v>
      </c>
      <c r="U138" s="3" t="s">
        <v>37</v>
      </c>
      <c r="V138" s="3" t="s">
        <v>71</v>
      </c>
      <c r="W138" s="3" t="s">
        <v>73</v>
      </c>
      <c r="X138" s="3" t="s">
        <v>74</v>
      </c>
      <c r="Y138" s="3" t="s">
        <v>585</v>
      </c>
      <c r="Z138" s="3" t="s">
        <v>76</v>
      </c>
      <c r="AA138" s="3" t="s">
        <v>77</v>
      </c>
      <c r="AB138" s="3" t="s">
        <v>78</v>
      </c>
      <c r="AC138" s="3" t="s">
        <v>66</v>
      </c>
      <c r="AD138" s="3">
        <v>0</v>
      </c>
    </row>
    <row r="139" spans="1:30" x14ac:dyDescent="0.3">
      <c r="A139" s="3">
        <v>98</v>
      </c>
      <c r="B139" s="3" t="s">
        <v>91</v>
      </c>
      <c r="C139" s="3" t="s">
        <v>83</v>
      </c>
      <c r="D139" s="3" t="s">
        <v>31</v>
      </c>
      <c r="E139" s="3" t="s">
        <v>32</v>
      </c>
      <c r="F139" s="12">
        <v>44742</v>
      </c>
      <c r="G139" s="3">
        <v>2022</v>
      </c>
      <c r="H139" s="3" t="s">
        <v>33</v>
      </c>
      <c r="I139" s="3" t="s">
        <v>34</v>
      </c>
      <c r="J139" s="3">
        <v>1</v>
      </c>
      <c r="K139" s="3">
        <v>0</v>
      </c>
      <c r="L139" s="3">
        <v>0</v>
      </c>
      <c r="M139" s="3"/>
      <c r="N139" s="3"/>
      <c r="O139" s="3" t="s">
        <v>35</v>
      </c>
      <c r="P139" s="3" t="s">
        <v>35</v>
      </c>
      <c r="Q139" s="3" t="str">
        <f t="shared" si="21"/>
        <v>98-2022-06-30</v>
      </c>
      <c r="R139" s="3">
        <v>0</v>
      </c>
      <c r="S139" s="3">
        <v>0</v>
      </c>
      <c r="T139" s="3" t="s">
        <v>31</v>
      </c>
      <c r="U139" s="3" t="s">
        <v>37</v>
      </c>
      <c r="V139" s="3" t="s">
        <v>83</v>
      </c>
      <c r="W139" s="3" t="s">
        <v>38</v>
      </c>
      <c r="X139" s="3" t="s">
        <v>39</v>
      </c>
      <c r="Y139" s="3" t="s">
        <v>85</v>
      </c>
      <c r="Z139" s="3" t="s">
        <v>86</v>
      </c>
      <c r="AA139" s="3" t="s">
        <v>87</v>
      </c>
      <c r="AB139" s="3" t="s">
        <v>78</v>
      </c>
      <c r="AC139" s="3" t="s">
        <v>66</v>
      </c>
      <c r="AD139" s="3">
        <v>0</v>
      </c>
    </row>
    <row r="140" spans="1:30" x14ac:dyDescent="0.3">
      <c r="A140" s="3">
        <v>98</v>
      </c>
      <c r="B140" s="3" t="s">
        <v>91</v>
      </c>
      <c r="C140" s="3" t="s">
        <v>83</v>
      </c>
      <c r="D140" s="3" t="s">
        <v>31</v>
      </c>
      <c r="E140" s="3" t="s">
        <v>32</v>
      </c>
      <c r="F140" s="12">
        <v>44926</v>
      </c>
      <c r="G140" s="3">
        <v>2022</v>
      </c>
      <c r="H140" s="3" t="s">
        <v>44</v>
      </c>
      <c r="I140" s="3" t="s">
        <v>45</v>
      </c>
      <c r="J140" s="3">
        <v>2</v>
      </c>
      <c r="K140" s="3">
        <v>4</v>
      </c>
      <c r="L140" s="3">
        <v>4</v>
      </c>
      <c r="M140" s="3">
        <v>1</v>
      </c>
      <c r="N140" s="3">
        <v>1</v>
      </c>
      <c r="O140" s="3" t="s">
        <v>35</v>
      </c>
      <c r="P140" s="3" t="s">
        <v>35</v>
      </c>
      <c r="Q140" s="3" t="str">
        <f t="shared" si="21"/>
        <v>98-2022-12-31</v>
      </c>
      <c r="R140" s="3">
        <v>0</v>
      </c>
      <c r="S140" s="3">
        <v>0</v>
      </c>
      <c r="T140" s="3" t="s">
        <v>31</v>
      </c>
      <c r="U140" s="3" t="s">
        <v>37</v>
      </c>
      <c r="V140" s="3" t="s">
        <v>83</v>
      </c>
      <c r="W140" s="3" t="s">
        <v>38</v>
      </c>
      <c r="X140" s="3" t="s">
        <v>39</v>
      </c>
      <c r="Y140" s="3" t="s">
        <v>85</v>
      </c>
      <c r="Z140" s="3" t="s">
        <v>86</v>
      </c>
      <c r="AA140" s="3" t="s">
        <v>87</v>
      </c>
      <c r="AB140" s="3" t="s">
        <v>78</v>
      </c>
      <c r="AC140" s="3" t="s">
        <v>66</v>
      </c>
      <c r="AD140" s="3">
        <v>0</v>
      </c>
    </row>
    <row r="141" spans="1:30" x14ac:dyDescent="0.3">
      <c r="A141" s="3">
        <v>98</v>
      </c>
      <c r="B141" s="3" t="s">
        <v>91</v>
      </c>
      <c r="C141" s="3" t="s">
        <v>83</v>
      </c>
      <c r="D141" s="3" t="s">
        <v>31</v>
      </c>
      <c r="E141" s="3" t="s">
        <v>32</v>
      </c>
      <c r="F141" s="12">
        <v>44926</v>
      </c>
      <c r="G141" s="3">
        <v>2022</v>
      </c>
      <c r="H141" s="3" t="s">
        <v>44</v>
      </c>
      <c r="I141" s="3" t="s">
        <v>45</v>
      </c>
      <c r="J141" s="3"/>
      <c r="K141" s="3">
        <v>4</v>
      </c>
      <c r="L141" s="3">
        <v>4</v>
      </c>
      <c r="M141" s="3">
        <v>1</v>
      </c>
      <c r="N141" s="3">
        <v>1</v>
      </c>
      <c r="O141" s="3" t="s">
        <v>35</v>
      </c>
      <c r="P141" s="3" t="s">
        <v>35</v>
      </c>
      <c r="Q141" s="3" t="str">
        <f t="shared" si="21"/>
        <v>98-2022-12-31</v>
      </c>
      <c r="R141" s="3">
        <v>0</v>
      </c>
      <c r="S141" s="3">
        <v>0</v>
      </c>
      <c r="T141" s="3" t="s">
        <v>443</v>
      </c>
      <c r="U141" s="3" t="s">
        <v>37</v>
      </c>
      <c r="V141" s="3" t="s">
        <v>83</v>
      </c>
      <c r="W141" s="3" t="s">
        <v>38</v>
      </c>
      <c r="X141" s="3" t="s">
        <v>39</v>
      </c>
      <c r="Y141" s="3" t="s">
        <v>85</v>
      </c>
      <c r="Z141" s="3" t="s">
        <v>86</v>
      </c>
      <c r="AA141" s="3" t="s">
        <v>87</v>
      </c>
      <c r="AB141" s="3" t="s">
        <v>78</v>
      </c>
      <c r="AC141" s="3" t="s">
        <v>66</v>
      </c>
      <c r="AD141" s="3">
        <v>0</v>
      </c>
    </row>
    <row r="142" spans="1:30" x14ac:dyDescent="0.3">
      <c r="A142" s="3">
        <v>98</v>
      </c>
      <c r="B142" s="3" t="s">
        <v>91</v>
      </c>
      <c r="C142" s="3" t="s">
        <v>83</v>
      </c>
      <c r="D142" s="3" t="s">
        <v>31</v>
      </c>
      <c r="E142" s="3" t="s">
        <v>32</v>
      </c>
      <c r="F142" s="12">
        <v>45107</v>
      </c>
      <c r="G142" s="3">
        <v>2023</v>
      </c>
      <c r="H142" s="3" t="s">
        <v>33</v>
      </c>
      <c r="I142" s="3" t="s">
        <v>47</v>
      </c>
      <c r="J142" s="3">
        <v>1</v>
      </c>
      <c r="K142" s="3">
        <v>0</v>
      </c>
      <c r="L142" s="3">
        <v>0</v>
      </c>
      <c r="M142" s="3"/>
      <c r="N142" s="3"/>
      <c r="O142" s="3" t="s">
        <v>35</v>
      </c>
      <c r="P142" s="3" t="s">
        <v>35</v>
      </c>
      <c r="Q142" s="3" t="str">
        <f t="shared" si="21"/>
        <v>98-2023-06-30</v>
      </c>
      <c r="R142" s="3">
        <v>0</v>
      </c>
      <c r="S142" s="3">
        <v>0</v>
      </c>
      <c r="T142" s="3" t="s">
        <v>31</v>
      </c>
      <c r="U142" s="3" t="s">
        <v>37</v>
      </c>
      <c r="V142" s="3" t="s">
        <v>83</v>
      </c>
      <c r="W142" s="3" t="s">
        <v>38</v>
      </c>
      <c r="X142" s="3" t="s">
        <v>39</v>
      </c>
      <c r="Y142" s="3" t="s">
        <v>85</v>
      </c>
      <c r="Z142" s="3" t="s">
        <v>86</v>
      </c>
      <c r="AA142" s="3" t="s">
        <v>87</v>
      </c>
      <c r="AB142" s="3" t="s">
        <v>78</v>
      </c>
      <c r="AC142" s="3" t="s">
        <v>66</v>
      </c>
      <c r="AD142" s="3">
        <v>0</v>
      </c>
    </row>
    <row r="143" spans="1:30" x14ac:dyDescent="0.3">
      <c r="A143" s="3">
        <v>98</v>
      </c>
      <c r="B143" s="3" t="s">
        <v>91</v>
      </c>
      <c r="C143" s="3" t="s">
        <v>83</v>
      </c>
      <c r="D143" s="3" t="s">
        <v>31</v>
      </c>
      <c r="E143" s="3" t="s">
        <v>32</v>
      </c>
      <c r="F143" s="12">
        <v>45291</v>
      </c>
      <c r="G143" s="3">
        <v>2023</v>
      </c>
      <c r="H143" s="3" t="s">
        <v>44</v>
      </c>
      <c r="I143" s="3" t="s">
        <v>49</v>
      </c>
      <c r="J143" s="3">
        <v>2</v>
      </c>
      <c r="K143" s="3">
        <v>1</v>
      </c>
      <c r="L143" s="3">
        <v>1</v>
      </c>
      <c r="M143" s="3">
        <v>1</v>
      </c>
      <c r="N143" s="3">
        <v>1</v>
      </c>
      <c r="O143" s="3" t="s">
        <v>35</v>
      </c>
      <c r="P143" s="3" t="s">
        <v>35</v>
      </c>
      <c r="Q143" s="3" t="str">
        <f t="shared" si="21"/>
        <v>98-2023-12-31</v>
      </c>
      <c r="R143" s="3">
        <v>0</v>
      </c>
      <c r="S143" s="3">
        <v>0</v>
      </c>
      <c r="T143" s="3" t="s">
        <v>31</v>
      </c>
      <c r="U143" s="3" t="s">
        <v>37</v>
      </c>
      <c r="V143" s="3" t="s">
        <v>83</v>
      </c>
      <c r="W143" s="3" t="s">
        <v>38</v>
      </c>
      <c r="X143" s="3" t="s">
        <v>39</v>
      </c>
      <c r="Y143" s="3" t="s">
        <v>85</v>
      </c>
      <c r="Z143" s="3" t="s">
        <v>86</v>
      </c>
      <c r="AA143" s="3" t="s">
        <v>87</v>
      </c>
      <c r="AB143" s="3" t="s">
        <v>78</v>
      </c>
      <c r="AC143" s="3" t="s">
        <v>66</v>
      </c>
      <c r="AD143" s="3">
        <v>0</v>
      </c>
    </row>
    <row r="144" spans="1:30" x14ac:dyDescent="0.3">
      <c r="A144" s="3">
        <v>98</v>
      </c>
      <c r="B144" s="3" t="s">
        <v>91</v>
      </c>
      <c r="C144" s="3" t="s">
        <v>83</v>
      </c>
      <c r="D144" s="3" t="s">
        <v>31</v>
      </c>
      <c r="E144" s="3" t="s">
        <v>32</v>
      </c>
      <c r="F144" s="12">
        <v>45291</v>
      </c>
      <c r="G144" s="3">
        <v>2023</v>
      </c>
      <c r="H144" s="3" t="s">
        <v>44</v>
      </c>
      <c r="I144" s="3" t="s">
        <v>49</v>
      </c>
      <c r="J144" s="3"/>
      <c r="K144" s="3">
        <v>1</v>
      </c>
      <c r="L144" s="3">
        <v>1</v>
      </c>
      <c r="M144" s="3">
        <v>1</v>
      </c>
      <c r="N144" s="3">
        <v>1</v>
      </c>
      <c r="O144" s="3" t="s">
        <v>35</v>
      </c>
      <c r="P144" s="3" t="s">
        <v>35</v>
      </c>
      <c r="Q144" s="3" t="str">
        <f t="shared" si="21"/>
        <v>98-2023-12-31</v>
      </c>
      <c r="R144" s="3">
        <v>0</v>
      </c>
      <c r="S144" s="3">
        <v>0</v>
      </c>
      <c r="T144" s="3" t="s">
        <v>443</v>
      </c>
      <c r="U144" s="3" t="s">
        <v>37</v>
      </c>
      <c r="V144" s="3" t="s">
        <v>83</v>
      </c>
      <c r="W144" s="3" t="s">
        <v>38</v>
      </c>
      <c r="X144" s="3" t="s">
        <v>39</v>
      </c>
      <c r="Y144" s="3" t="s">
        <v>85</v>
      </c>
      <c r="Z144" s="3" t="s">
        <v>86</v>
      </c>
      <c r="AA144" s="3" t="s">
        <v>87</v>
      </c>
      <c r="AB144" s="3" t="s">
        <v>78</v>
      </c>
      <c r="AC144" s="3" t="s">
        <v>66</v>
      </c>
      <c r="AD144" s="3">
        <v>0</v>
      </c>
    </row>
    <row r="145" spans="1:30" x14ac:dyDescent="0.3">
      <c r="A145" s="3">
        <v>98</v>
      </c>
      <c r="B145" s="3" t="s">
        <v>91</v>
      </c>
      <c r="C145" s="3" t="s">
        <v>83</v>
      </c>
      <c r="D145" s="3" t="s">
        <v>31</v>
      </c>
      <c r="E145" s="3" t="s">
        <v>32</v>
      </c>
      <c r="F145" s="12">
        <v>45473</v>
      </c>
      <c r="G145" s="3">
        <v>2024</v>
      </c>
      <c r="H145" s="3" t="s">
        <v>33</v>
      </c>
      <c r="I145" s="3" t="s">
        <v>47</v>
      </c>
      <c r="J145" s="3">
        <v>1</v>
      </c>
      <c r="K145" s="3">
        <v>0</v>
      </c>
      <c r="L145" s="3">
        <v>0</v>
      </c>
      <c r="M145" s="3"/>
      <c r="N145" s="3"/>
      <c r="O145" s="3"/>
      <c r="P145" s="3"/>
      <c r="Q145" s="3" t="str">
        <f t="shared" si="21"/>
        <v>98-2024-06-30</v>
      </c>
      <c r="R145" s="3">
        <v>0</v>
      </c>
      <c r="S145" s="3">
        <v>0</v>
      </c>
      <c r="T145" s="3" t="s">
        <v>31</v>
      </c>
      <c r="U145" s="3" t="s">
        <v>37</v>
      </c>
      <c r="V145" s="3" t="s">
        <v>83</v>
      </c>
      <c r="W145" s="3" t="s">
        <v>38</v>
      </c>
      <c r="X145" s="3" t="s">
        <v>39</v>
      </c>
      <c r="Y145" s="3" t="s">
        <v>85</v>
      </c>
      <c r="Z145" s="3" t="s">
        <v>86</v>
      </c>
      <c r="AA145" s="3" t="s">
        <v>87</v>
      </c>
      <c r="AB145" s="3" t="s">
        <v>78</v>
      </c>
      <c r="AC145" s="3" t="s">
        <v>66</v>
      </c>
      <c r="AD145" s="3">
        <v>0</v>
      </c>
    </row>
    <row r="146" spans="1:30" x14ac:dyDescent="0.3">
      <c r="A146" s="3">
        <v>98</v>
      </c>
      <c r="B146" s="3" t="s">
        <v>91</v>
      </c>
      <c r="C146" s="3" t="s">
        <v>83</v>
      </c>
      <c r="D146" s="3" t="s">
        <v>31</v>
      </c>
      <c r="E146" s="3" t="s">
        <v>32</v>
      </c>
      <c r="F146" s="12">
        <v>45657</v>
      </c>
      <c r="G146" s="3">
        <v>2024</v>
      </c>
      <c r="H146" s="3" t="s">
        <v>44</v>
      </c>
      <c r="I146" s="3" t="s">
        <v>53</v>
      </c>
      <c r="J146" s="3">
        <v>2</v>
      </c>
      <c r="K146" s="3">
        <v>5</v>
      </c>
      <c r="L146" s="3">
        <v>5</v>
      </c>
      <c r="M146" s="3">
        <v>1</v>
      </c>
      <c r="N146" s="3">
        <v>1</v>
      </c>
      <c r="O146" s="3" t="s">
        <v>35</v>
      </c>
      <c r="P146" s="3" t="s">
        <v>35</v>
      </c>
      <c r="Q146" s="3" t="str">
        <f t="shared" si="21"/>
        <v>98-2024-12-31</v>
      </c>
      <c r="R146" s="3">
        <v>0</v>
      </c>
      <c r="S146" s="3">
        <v>0</v>
      </c>
      <c r="T146" s="3" t="s">
        <v>31</v>
      </c>
      <c r="U146" s="3" t="s">
        <v>37</v>
      </c>
      <c r="V146" s="3" t="s">
        <v>83</v>
      </c>
      <c r="W146" s="3" t="s">
        <v>38</v>
      </c>
      <c r="X146" s="3" t="s">
        <v>39</v>
      </c>
      <c r="Y146" s="3" t="s">
        <v>85</v>
      </c>
      <c r="Z146" s="3" t="s">
        <v>86</v>
      </c>
      <c r="AA146" s="3" t="s">
        <v>87</v>
      </c>
      <c r="AB146" s="3" t="s">
        <v>78</v>
      </c>
      <c r="AC146" s="3" t="s">
        <v>66</v>
      </c>
      <c r="AD146" s="3">
        <v>0</v>
      </c>
    </row>
    <row r="147" spans="1:30" x14ac:dyDescent="0.3">
      <c r="A147" s="3">
        <v>98</v>
      </c>
      <c r="B147" s="3" t="s">
        <v>91</v>
      </c>
      <c r="C147" s="3" t="s">
        <v>83</v>
      </c>
      <c r="D147" s="3" t="s">
        <v>31</v>
      </c>
      <c r="E147" s="3" t="s">
        <v>32</v>
      </c>
      <c r="F147" s="12">
        <v>45657</v>
      </c>
      <c r="G147" s="3">
        <v>2024</v>
      </c>
      <c r="H147" s="3" t="s">
        <v>44</v>
      </c>
      <c r="I147" s="3" t="s">
        <v>53</v>
      </c>
      <c r="J147" s="3"/>
      <c r="K147" s="3">
        <v>5</v>
      </c>
      <c r="L147" s="3">
        <v>5</v>
      </c>
      <c r="M147" s="3">
        <v>1</v>
      </c>
      <c r="N147" s="3">
        <v>1</v>
      </c>
      <c r="O147" s="3" t="s">
        <v>35</v>
      </c>
      <c r="P147" s="3" t="s">
        <v>35</v>
      </c>
      <c r="Q147" s="3" t="str">
        <f t="shared" si="21"/>
        <v>98-2024-12-31</v>
      </c>
      <c r="R147" s="3">
        <v>0</v>
      </c>
      <c r="S147" s="3">
        <v>0</v>
      </c>
      <c r="T147" s="3" t="s">
        <v>443</v>
      </c>
      <c r="U147" s="3" t="s">
        <v>37</v>
      </c>
      <c r="V147" s="3" t="s">
        <v>83</v>
      </c>
      <c r="W147" s="3" t="s">
        <v>38</v>
      </c>
      <c r="X147" s="3" t="s">
        <v>39</v>
      </c>
      <c r="Y147" s="3" t="s">
        <v>85</v>
      </c>
      <c r="Z147" s="3" t="s">
        <v>86</v>
      </c>
      <c r="AA147" s="3" t="s">
        <v>87</v>
      </c>
      <c r="AB147" s="3" t="s">
        <v>78</v>
      </c>
      <c r="AC147" s="3" t="s">
        <v>66</v>
      </c>
      <c r="AD147" s="3">
        <v>0</v>
      </c>
    </row>
    <row r="148" spans="1:30" x14ac:dyDescent="0.3">
      <c r="A148" s="3">
        <v>98</v>
      </c>
      <c r="B148" s="3" t="s">
        <v>91</v>
      </c>
      <c r="C148" s="3" t="s">
        <v>83</v>
      </c>
      <c r="D148" s="3" t="s">
        <v>31</v>
      </c>
      <c r="E148" s="3" t="s">
        <v>32</v>
      </c>
      <c r="F148" s="12">
        <v>45838</v>
      </c>
      <c r="G148" s="3">
        <v>2025</v>
      </c>
      <c r="H148" s="3" t="s">
        <v>33</v>
      </c>
      <c r="I148" s="3" t="s">
        <v>404</v>
      </c>
      <c r="J148" s="3">
        <v>1</v>
      </c>
      <c r="K148" s="3">
        <v>10</v>
      </c>
      <c r="L148" s="3">
        <v>10</v>
      </c>
      <c r="M148" s="3">
        <v>1</v>
      </c>
      <c r="N148" s="3">
        <v>1</v>
      </c>
      <c r="O148" s="3" t="s">
        <v>35</v>
      </c>
      <c r="P148" s="3" t="s">
        <v>35</v>
      </c>
      <c r="Q148" s="3" t="str">
        <f t="shared" si="21"/>
        <v>98-2025-06-30</v>
      </c>
      <c r="R148" s="3">
        <v>0</v>
      </c>
      <c r="S148" s="3">
        <v>0</v>
      </c>
      <c r="T148" s="3" t="s">
        <v>31</v>
      </c>
      <c r="U148" s="3" t="s">
        <v>37</v>
      </c>
      <c r="V148" s="3" t="s">
        <v>83</v>
      </c>
      <c r="W148" s="3" t="s">
        <v>38</v>
      </c>
      <c r="X148" s="3" t="s">
        <v>39</v>
      </c>
      <c r="Y148" s="3" t="s">
        <v>85</v>
      </c>
      <c r="Z148" s="3" t="s">
        <v>86</v>
      </c>
      <c r="AA148" s="3" t="s">
        <v>87</v>
      </c>
      <c r="AB148" s="3" t="s">
        <v>78</v>
      </c>
      <c r="AC148" s="3" t="s">
        <v>66</v>
      </c>
      <c r="AD148" s="3">
        <v>0</v>
      </c>
    </row>
    <row r="149" spans="1:30" x14ac:dyDescent="0.3">
      <c r="A149" s="3">
        <v>98</v>
      </c>
      <c r="B149" s="3" t="s">
        <v>91</v>
      </c>
      <c r="C149" s="3" t="s">
        <v>83</v>
      </c>
      <c r="D149" s="3" t="s">
        <v>31</v>
      </c>
      <c r="E149" s="3" t="s">
        <v>32</v>
      </c>
      <c r="F149" s="12">
        <v>46022</v>
      </c>
      <c r="G149" s="3">
        <v>2025</v>
      </c>
      <c r="H149" s="3" t="s">
        <v>44</v>
      </c>
      <c r="I149" s="3" t="s">
        <v>465</v>
      </c>
      <c r="J149" s="3">
        <v>2</v>
      </c>
      <c r="K149" s="3">
        <v>0</v>
      </c>
      <c r="L149" s="3">
        <v>0</v>
      </c>
      <c r="M149" s="3"/>
      <c r="N149" s="3"/>
      <c r="O149" s="3" t="s">
        <v>35</v>
      </c>
      <c r="P149" s="3" t="s">
        <v>35</v>
      </c>
      <c r="Q149" s="3" t="str">
        <f t="shared" si="21"/>
        <v>98-2025-12-31</v>
      </c>
      <c r="R149" s="3">
        <v>0</v>
      </c>
      <c r="S149" s="3">
        <v>0</v>
      </c>
      <c r="T149" s="3" t="s">
        <v>31</v>
      </c>
      <c r="U149" s="3" t="s">
        <v>37</v>
      </c>
      <c r="V149" s="3" t="s">
        <v>83</v>
      </c>
      <c r="W149" s="3" t="s">
        <v>38</v>
      </c>
      <c r="X149" s="3" t="s">
        <v>39</v>
      </c>
      <c r="Y149" s="3" t="s">
        <v>85</v>
      </c>
      <c r="Z149" s="3" t="s">
        <v>86</v>
      </c>
      <c r="AA149" s="3" t="s">
        <v>87</v>
      </c>
      <c r="AB149" s="3" t="s">
        <v>78</v>
      </c>
      <c r="AC149" s="3" t="s">
        <v>66</v>
      </c>
      <c r="AD149" s="3">
        <v>0</v>
      </c>
    </row>
    <row r="150" spans="1:30" x14ac:dyDescent="0.3">
      <c r="A150" s="3">
        <v>109</v>
      </c>
      <c r="B150" s="3" t="s">
        <v>96</v>
      </c>
      <c r="C150" s="3" t="s">
        <v>97</v>
      </c>
      <c r="D150" s="3" t="s">
        <v>66</v>
      </c>
      <c r="E150" s="3" t="s">
        <v>32</v>
      </c>
      <c r="F150" s="12">
        <v>45291</v>
      </c>
      <c r="G150" s="3">
        <v>2023</v>
      </c>
      <c r="H150" s="3" t="s">
        <v>44</v>
      </c>
      <c r="I150" s="3" t="s">
        <v>49</v>
      </c>
      <c r="J150" s="3">
        <v>2</v>
      </c>
      <c r="K150" s="3">
        <v>80</v>
      </c>
      <c r="L150" s="3">
        <v>87.392767703668298</v>
      </c>
      <c r="M150" s="3">
        <v>1.092409596295854</v>
      </c>
      <c r="N150" s="3">
        <v>1.092409596295854</v>
      </c>
      <c r="O150" s="3" t="s">
        <v>58</v>
      </c>
      <c r="P150" s="3" t="s">
        <v>58</v>
      </c>
      <c r="Q150" s="3" t="str">
        <f t="shared" si="21"/>
        <v>109-2023-12-31</v>
      </c>
      <c r="R150" s="3">
        <v>0</v>
      </c>
      <c r="S150" s="3">
        <v>0</v>
      </c>
      <c r="T150" s="3" t="s">
        <v>31</v>
      </c>
      <c r="U150" s="3" t="s">
        <v>37</v>
      </c>
      <c r="V150" s="3" t="s">
        <v>99</v>
      </c>
      <c r="W150" s="3" t="s">
        <v>60</v>
      </c>
      <c r="X150" s="3" t="s">
        <v>100</v>
      </c>
      <c r="Y150" s="3" t="s">
        <v>584</v>
      </c>
      <c r="Z150" s="3" t="s">
        <v>101</v>
      </c>
      <c r="AA150" s="3" t="s">
        <v>102</v>
      </c>
      <c r="AB150" s="3" t="s">
        <v>65</v>
      </c>
      <c r="AC150" s="3" t="s">
        <v>66</v>
      </c>
      <c r="AD150" s="3">
        <v>0</v>
      </c>
    </row>
    <row r="151" spans="1:30" x14ac:dyDescent="0.3">
      <c r="A151" s="3">
        <v>109</v>
      </c>
      <c r="B151" s="3" t="s">
        <v>96</v>
      </c>
      <c r="C151" s="3" t="s">
        <v>99</v>
      </c>
      <c r="D151" s="3" t="s">
        <v>66</v>
      </c>
      <c r="E151" s="3" t="s">
        <v>32</v>
      </c>
      <c r="F151" s="12">
        <v>45291</v>
      </c>
      <c r="G151" s="3">
        <v>2023</v>
      </c>
      <c r="H151" s="3" t="s">
        <v>44</v>
      </c>
      <c r="I151" s="3" t="s">
        <v>49</v>
      </c>
      <c r="J151" s="3"/>
      <c r="K151" s="3">
        <v>80</v>
      </c>
      <c r="L151" s="3">
        <v>87.392767703668298</v>
      </c>
      <c r="M151" s="3">
        <v>1.092409596295854</v>
      </c>
      <c r="N151" s="3">
        <v>1.092409596295854</v>
      </c>
      <c r="O151" s="3" t="s">
        <v>58</v>
      </c>
      <c r="P151" s="3" t="s">
        <v>58</v>
      </c>
      <c r="Q151" s="3" t="str">
        <f t="shared" si="21"/>
        <v>109-2023-12-31</v>
      </c>
      <c r="R151" s="3">
        <v>0</v>
      </c>
      <c r="S151" s="3">
        <v>0</v>
      </c>
      <c r="T151" s="3" t="s">
        <v>443</v>
      </c>
      <c r="U151" s="3" t="s">
        <v>37</v>
      </c>
      <c r="V151" s="3" t="s">
        <v>99</v>
      </c>
      <c r="W151" s="3" t="s">
        <v>60</v>
      </c>
      <c r="X151" s="3" t="s">
        <v>100</v>
      </c>
      <c r="Y151" s="3" t="s">
        <v>584</v>
      </c>
      <c r="Z151" s="3" t="s">
        <v>101</v>
      </c>
      <c r="AA151" s="3" t="s">
        <v>102</v>
      </c>
      <c r="AB151" s="3" t="s">
        <v>65</v>
      </c>
      <c r="AC151" s="3" t="s">
        <v>66</v>
      </c>
      <c r="AD151" s="3">
        <v>0</v>
      </c>
    </row>
    <row r="152" spans="1:30" x14ac:dyDescent="0.3">
      <c r="A152" s="3">
        <v>109</v>
      </c>
      <c r="B152" s="3" t="s">
        <v>96</v>
      </c>
      <c r="C152" s="3" t="s">
        <v>99</v>
      </c>
      <c r="D152" s="3" t="s">
        <v>66</v>
      </c>
      <c r="E152" s="3" t="s">
        <v>32</v>
      </c>
      <c r="F152" s="12">
        <v>45657</v>
      </c>
      <c r="G152" s="3">
        <v>2024</v>
      </c>
      <c r="H152" s="3" t="s">
        <v>44</v>
      </c>
      <c r="I152" s="3" t="s">
        <v>53</v>
      </c>
      <c r="J152" s="3">
        <v>2</v>
      </c>
      <c r="K152" s="3">
        <v>80</v>
      </c>
      <c r="L152" s="3">
        <v>85</v>
      </c>
      <c r="M152" s="3">
        <v>1.0625</v>
      </c>
      <c r="N152" s="3">
        <v>1.0625</v>
      </c>
      <c r="O152" s="3" t="s">
        <v>58</v>
      </c>
      <c r="P152" s="3" t="s">
        <v>58</v>
      </c>
      <c r="Q152" s="3" t="str">
        <f t="shared" si="21"/>
        <v>109-2024-12-31</v>
      </c>
      <c r="R152" s="3">
        <v>0</v>
      </c>
      <c r="S152" s="3">
        <v>0</v>
      </c>
      <c r="T152" s="3" t="s">
        <v>31</v>
      </c>
      <c r="U152" s="3" t="s">
        <v>37</v>
      </c>
      <c r="V152" s="3" t="s">
        <v>99</v>
      </c>
      <c r="W152" s="3" t="s">
        <v>60</v>
      </c>
      <c r="X152" s="3" t="s">
        <v>100</v>
      </c>
      <c r="Y152" s="3" t="s">
        <v>584</v>
      </c>
      <c r="Z152" s="3" t="s">
        <v>101</v>
      </c>
      <c r="AA152" s="3" t="s">
        <v>102</v>
      </c>
      <c r="AB152" s="3" t="s">
        <v>65</v>
      </c>
      <c r="AC152" s="3" t="s">
        <v>66</v>
      </c>
      <c r="AD152" s="3">
        <v>0</v>
      </c>
    </row>
    <row r="153" spans="1:30" x14ac:dyDescent="0.3">
      <c r="A153" s="3">
        <v>109</v>
      </c>
      <c r="B153" s="3" t="s">
        <v>96</v>
      </c>
      <c r="C153" s="3" t="s">
        <v>99</v>
      </c>
      <c r="D153" s="3" t="s">
        <v>66</v>
      </c>
      <c r="E153" s="3" t="s">
        <v>32</v>
      </c>
      <c r="F153" s="12">
        <v>45657</v>
      </c>
      <c r="G153" s="3">
        <v>2024</v>
      </c>
      <c r="H153" s="3" t="s">
        <v>44</v>
      </c>
      <c r="I153" s="3" t="s">
        <v>53</v>
      </c>
      <c r="J153" s="3"/>
      <c r="K153" s="3">
        <v>80</v>
      </c>
      <c r="L153" s="3">
        <v>85</v>
      </c>
      <c r="M153" s="3">
        <v>1.0625</v>
      </c>
      <c r="N153" s="3">
        <v>1.0625</v>
      </c>
      <c r="O153" s="3" t="s">
        <v>58</v>
      </c>
      <c r="P153" s="3" t="s">
        <v>58</v>
      </c>
      <c r="Q153" s="3" t="str">
        <f t="shared" si="21"/>
        <v>109-2024-12-31</v>
      </c>
      <c r="R153" s="3">
        <v>0</v>
      </c>
      <c r="S153" s="3">
        <v>0</v>
      </c>
      <c r="T153" s="3" t="s">
        <v>443</v>
      </c>
      <c r="U153" s="3" t="s">
        <v>37</v>
      </c>
      <c r="V153" s="3" t="s">
        <v>99</v>
      </c>
      <c r="W153" s="3" t="s">
        <v>60</v>
      </c>
      <c r="X153" s="3" t="s">
        <v>100</v>
      </c>
      <c r="Y153" s="3" t="s">
        <v>584</v>
      </c>
      <c r="Z153" s="3" t="s">
        <v>101</v>
      </c>
      <c r="AA153" s="3" t="s">
        <v>102</v>
      </c>
      <c r="AB153" s="3" t="s">
        <v>65</v>
      </c>
      <c r="AC153" s="3" t="s">
        <v>66</v>
      </c>
      <c r="AD153" s="3">
        <v>0</v>
      </c>
    </row>
    <row r="154" spans="1:30" x14ac:dyDescent="0.3">
      <c r="A154" s="3">
        <v>109</v>
      </c>
      <c r="B154" s="3" t="s">
        <v>96</v>
      </c>
      <c r="C154" s="3" t="s">
        <v>99</v>
      </c>
      <c r="D154" s="3" t="s">
        <v>66</v>
      </c>
      <c r="E154" s="3" t="s">
        <v>32</v>
      </c>
      <c r="F154" s="12">
        <v>46022</v>
      </c>
      <c r="G154" s="3">
        <v>2025</v>
      </c>
      <c r="H154" s="3" t="s">
        <v>44</v>
      </c>
      <c r="I154" s="3" t="s">
        <v>465</v>
      </c>
      <c r="J154" s="3"/>
      <c r="K154" s="3">
        <v>80</v>
      </c>
      <c r="L154" s="3">
        <v>94</v>
      </c>
      <c r="M154" s="3">
        <f>+L154/K154</f>
        <v>1.175</v>
      </c>
      <c r="N154" s="3">
        <v>1.0625</v>
      </c>
      <c r="O154" s="3" t="s">
        <v>58</v>
      </c>
      <c r="P154" s="3" t="s">
        <v>58</v>
      </c>
      <c r="Q154" s="3" t="str">
        <f t="shared" si="21"/>
        <v>109-2025-12-31</v>
      </c>
      <c r="R154" s="3">
        <v>0</v>
      </c>
      <c r="S154" s="3">
        <v>0</v>
      </c>
      <c r="T154" s="3" t="s">
        <v>443</v>
      </c>
      <c r="U154" s="3" t="s">
        <v>37</v>
      </c>
      <c r="V154" s="3" t="s">
        <v>99</v>
      </c>
      <c r="W154" s="3" t="s">
        <v>60</v>
      </c>
      <c r="X154" s="3" t="s">
        <v>100</v>
      </c>
      <c r="Y154" s="3" t="s">
        <v>584</v>
      </c>
      <c r="Z154" s="3" t="s">
        <v>101</v>
      </c>
      <c r="AA154" s="3" t="s">
        <v>102</v>
      </c>
      <c r="AB154" s="3" t="s">
        <v>65</v>
      </c>
      <c r="AC154" s="3" t="s">
        <v>66</v>
      </c>
      <c r="AD154" s="3">
        <v>0</v>
      </c>
    </row>
    <row r="155" spans="1:30" x14ac:dyDescent="0.3">
      <c r="A155" s="3">
        <v>148</v>
      </c>
      <c r="B155" s="3" t="s">
        <v>104</v>
      </c>
      <c r="C155" s="3" t="s">
        <v>105</v>
      </c>
      <c r="D155" s="3" t="s">
        <v>31</v>
      </c>
      <c r="E155" s="3" t="s">
        <v>32</v>
      </c>
      <c r="F155" s="12">
        <v>44926</v>
      </c>
      <c r="G155" s="3">
        <v>2022</v>
      </c>
      <c r="H155" s="3" t="s">
        <v>44</v>
      </c>
      <c r="I155" s="3" t="s">
        <v>45</v>
      </c>
      <c r="J155" s="3"/>
      <c r="K155" s="3">
        <v>5</v>
      </c>
      <c r="L155" s="3">
        <v>4.66</v>
      </c>
      <c r="M155" s="3">
        <f>IF(+L155/K155&gt;1.3,1.3,L155/K155)</f>
        <v>0.93200000000000005</v>
      </c>
      <c r="N155" s="3">
        <f>+L155/K155</f>
        <v>0.93200000000000005</v>
      </c>
      <c r="O155" s="3" t="s">
        <v>58</v>
      </c>
      <c r="P155" s="3" t="s">
        <v>58</v>
      </c>
      <c r="Q155" s="3" t="str">
        <f t="shared" si="21"/>
        <v>148-2022-12-31</v>
      </c>
      <c r="R155" s="3">
        <v>0</v>
      </c>
      <c r="S155" s="3">
        <v>1</v>
      </c>
      <c r="T155" s="3" t="s">
        <v>443</v>
      </c>
      <c r="U155" s="3" t="s">
        <v>37</v>
      </c>
      <c r="V155" s="3" t="s">
        <v>105</v>
      </c>
      <c r="W155" s="3" t="s">
        <v>73</v>
      </c>
      <c r="X155" s="3" t="s">
        <v>74</v>
      </c>
      <c r="Y155" s="3" t="s">
        <v>585</v>
      </c>
      <c r="Z155" s="3" t="s">
        <v>76</v>
      </c>
      <c r="AA155" s="3" t="s">
        <v>77</v>
      </c>
      <c r="AB155" s="3" t="s">
        <v>43</v>
      </c>
      <c r="AC155" s="3" t="s">
        <v>31</v>
      </c>
      <c r="AD155" s="3">
        <v>0</v>
      </c>
    </row>
    <row r="156" spans="1:30" x14ac:dyDescent="0.3">
      <c r="A156" s="3">
        <v>148</v>
      </c>
      <c r="B156" s="3" t="s">
        <v>104</v>
      </c>
      <c r="C156" s="3" t="s">
        <v>105</v>
      </c>
      <c r="D156" s="3" t="s">
        <v>31</v>
      </c>
      <c r="E156" s="3" t="s">
        <v>32</v>
      </c>
      <c r="F156" s="12">
        <v>45107</v>
      </c>
      <c r="G156" s="3">
        <v>2023</v>
      </c>
      <c r="H156" s="3" t="s">
        <v>33</v>
      </c>
      <c r="I156" s="3" t="s">
        <v>47</v>
      </c>
      <c r="J156" s="3">
        <v>1</v>
      </c>
      <c r="K156" s="3">
        <v>2.5</v>
      </c>
      <c r="L156" s="3">
        <v>3.57</v>
      </c>
      <c r="M156" s="3">
        <f t="shared" ref="M156:M163" si="22">IF(+L156/K156&gt;1.3,1.3,L156/K156)</f>
        <v>1.3</v>
      </c>
      <c r="N156" s="3">
        <f t="shared" ref="N156:N162" si="23">+L156/K156</f>
        <v>1.4279999999999999</v>
      </c>
      <c r="O156" s="3" t="s">
        <v>58</v>
      </c>
      <c r="P156" s="3" t="s">
        <v>58</v>
      </c>
      <c r="Q156" s="3" t="str">
        <f t="shared" si="21"/>
        <v>148-2023-06-30</v>
      </c>
      <c r="R156" s="3">
        <v>1</v>
      </c>
      <c r="S156" s="3">
        <v>1</v>
      </c>
      <c r="T156" s="3" t="s">
        <v>31</v>
      </c>
      <c r="U156" s="3" t="s">
        <v>37</v>
      </c>
      <c r="V156" s="3" t="s">
        <v>105</v>
      </c>
      <c r="W156" s="3" t="s">
        <v>73</v>
      </c>
      <c r="X156" s="3" t="s">
        <v>74</v>
      </c>
      <c r="Y156" s="3" t="s">
        <v>585</v>
      </c>
      <c r="Z156" s="3" t="s">
        <v>76</v>
      </c>
      <c r="AA156" s="3" t="s">
        <v>77</v>
      </c>
      <c r="AB156" s="3" t="s">
        <v>43</v>
      </c>
      <c r="AC156" s="3" t="s">
        <v>31</v>
      </c>
      <c r="AD156" s="3">
        <v>0</v>
      </c>
    </row>
    <row r="157" spans="1:30" x14ac:dyDescent="0.3">
      <c r="A157" s="3">
        <v>148</v>
      </c>
      <c r="B157" s="3" t="s">
        <v>104</v>
      </c>
      <c r="C157" s="3" t="s">
        <v>105</v>
      </c>
      <c r="D157" s="3" t="s">
        <v>31</v>
      </c>
      <c r="E157" s="3" t="s">
        <v>32</v>
      </c>
      <c r="F157" s="12">
        <v>45291</v>
      </c>
      <c r="G157" s="3">
        <v>2023</v>
      </c>
      <c r="H157" s="3" t="s">
        <v>44</v>
      </c>
      <c r="I157" s="3" t="s">
        <v>49</v>
      </c>
      <c r="J157" s="3">
        <v>2</v>
      </c>
      <c r="K157" s="3">
        <v>5</v>
      </c>
      <c r="L157" s="3">
        <v>5.71</v>
      </c>
      <c r="M157" s="3">
        <f t="shared" si="22"/>
        <v>1.1419999999999999</v>
      </c>
      <c r="N157" s="3">
        <f t="shared" si="23"/>
        <v>1.1419999999999999</v>
      </c>
      <c r="O157" s="3" t="s">
        <v>58</v>
      </c>
      <c r="P157" s="3" t="s">
        <v>58</v>
      </c>
      <c r="Q157" s="3" t="str">
        <f t="shared" si="21"/>
        <v>148-2023-12-31</v>
      </c>
      <c r="R157" s="3">
        <v>1</v>
      </c>
      <c r="S157" s="3">
        <v>1</v>
      </c>
      <c r="T157" s="3" t="s">
        <v>31</v>
      </c>
      <c r="U157" s="3" t="s">
        <v>37</v>
      </c>
      <c r="V157" s="3" t="s">
        <v>105</v>
      </c>
      <c r="W157" s="3" t="s">
        <v>73</v>
      </c>
      <c r="X157" s="3" t="s">
        <v>74</v>
      </c>
      <c r="Y157" s="3" t="s">
        <v>585</v>
      </c>
      <c r="Z157" s="3" t="s">
        <v>76</v>
      </c>
      <c r="AA157" s="3" t="s">
        <v>77</v>
      </c>
      <c r="AB157" s="3" t="s">
        <v>43</v>
      </c>
      <c r="AC157" s="3" t="s">
        <v>31</v>
      </c>
      <c r="AD157" s="3">
        <v>0</v>
      </c>
    </row>
    <row r="158" spans="1:30" x14ac:dyDescent="0.3">
      <c r="A158" s="3">
        <v>148</v>
      </c>
      <c r="B158" s="3" t="s">
        <v>104</v>
      </c>
      <c r="C158" s="3" t="s">
        <v>105</v>
      </c>
      <c r="D158" s="3" t="s">
        <v>31</v>
      </c>
      <c r="E158" s="3" t="s">
        <v>32</v>
      </c>
      <c r="F158" s="12">
        <v>45291</v>
      </c>
      <c r="G158" s="3">
        <v>2023</v>
      </c>
      <c r="H158" s="3" t="s">
        <v>44</v>
      </c>
      <c r="I158" s="3" t="s">
        <v>49</v>
      </c>
      <c r="J158" s="3"/>
      <c r="K158" s="3">
        <v>5</v>
      </c>
      <c r="L158" s="3">
        <v>5.71</v>
      </c>
      <c r="M158" s="3">
        <f t="shared" si="22"/>
        <v>1.1419999999999999</v>
      </c>
      <c r="N158" s="3">
        <f t="shared" si="23"/>
        <v>1.1419999999999999</v>
      </c>
      <c r="O158" s="3" t="s">
        <v>58</v>
      </c>
      <c r="P158" s="3" t="s">
        <v>58</v>
      </c>
      <c r="Q158" s="3" t="str">
        <f t="shared" si="21"/>
        <v>148-2023-12-31</v>
      </c>
      <c r="R158" s="3">
        <v>0</v>
      </c>
      <c r="S158" s="3">
        <v>1</v>
      </c>
      <c r="T158" s="3" t="s">
        <v>443</v>
      </c>
      <c r="U158" s="3" t="s">
        <v>37</v>
      </c>
      <c r="V158" s="3" t="s">
        <v>105</v>
      </c>
      <c r="W158" s="3" t="s">
        <v>73</v>
      </c>
      <c r="X158" s="3" t="s">
        <v>74</v>
      </c>
      <c r="Y158" s="3" t="s">
        <v>585</v>
      </c>
      <c r="Z158" s="3" t="s">
        <v>76</v>
      </c>
      <c r="AA158" s="3" t="s">
        <v>77</v>
      </c>
      <c r="AB158" s="3" t="s">
        <v>43</v>
      </c>
      <c r="AC158" s="3" t="s">
        <v>31</v>
      </c>
      <c r="AD158" s="3">
        <v>0</v>
      </c>
    </row>
    <row r="159" spans="1:30" x14ac:dyDescent="0.3">
      <c r="A159" s="3">
        <v>148</v>
      </c>
      <c r="B159" s="3" t="s">
        <v>104</v>
      </c>
      <c r="C159" s="3" t="s">
        <v>105</v>
      </c>
      <c r="D159" s="3" t="s">
        <v>31</v>
      </c>
      <c r="E159" s="3" t="s">
        <v>32</v>
      </c>
      <c r="F159" s="12">
        <v>45473</v>
      </c>
      <c r="G159" s="3">
        <v>2024</v>
      </c>
      <c r="H159" s="3" t="s">
        <v>33</v>
      </c>
      <c r="I159" s="3" t="s">
        <v>51</v>
      </c>
      <c r="J159" s="3">
        <v>1</v>
      </c>
      <c r="K159" s="3">
        <v>5</v>
      </c>
      <c r="L159" s="3">
        <v>4.3</v>
      </c>
      <c r="M159" s="3">
        <f t="shared" si="22"/>
        <v>0.86</v>
      </c>
      <c r="N159" s="3">
        <f t="shared" si="23"/>
        <v>0.86</v>
      </c>
      <c r="O159" s="3" t="s">
        <v>58</v>
      </c>
      <c r="P159" s="3" t="s">
        <v>58</v>
      </c>
      <c r="Q159" s="3" t="str">
        <f t="shared" si="21"/>
        <v>148-2024-06-30</v>
      </c>
      <c r="R159" s="3">
        <v>1</v>
      </c>
      <c r="S159" s="3">
        <v>1</v>
      </c>
      <c r="T159" s="3" t="s">
        <v>31</v>
      </c>
      <c r="U159" s="3" t="s">
        <v>37</v>
      </c>
      <c r="V159" s="3" t="s">
        <v>105</v>
      </c>
      <c r="W159" s="3" t="s">
        <v>73</v>
      </c>
      <c r="X159" s="3" t="s">
        <v>74</v>
      </c>
      <c r="Y159" s="3" t="s">
        <v>585</v>
      </c>
      <c r="Z159" s="3" t="s">
        <v>76</v>
      </c>
      <c r="AA159" s="3" t="s">
        <v>77</v>
      </c>
      <c r="AB159" s="3" t="s">
        <v>43</v>
      </c>
      <c r="AC159" s="3" t="s">
        <v>31</v>
      </c>
      <c r="AD159" s="3">
        <v>0</v>
      </c>
    </row>
    <row r="160" spans="1:30" x14ac:dyDescent="0.3">
      <c r="A160" s="3">
        <v>148</v>
      </c>
      <c r="B160" s="3" t="s">
        <v>104</v>
      </c>
      <c r="C160" s="3" t="s">
        <v>105</v>
      </c>
      <c r="D160" s="3" t="s">
        <v>31</v>
      </c>
      <c r="E160" s="3" t="s">
        <v>32</v>
      </c>
      <c r="F160" s="12">
        <v>45657</v>
      </c>
      <c r="G160" s="3">
        <v>2024</v>
      </c>
      <c r="H160" s="3" t="s">
        <v>44</v>
      </c>
      <c r="I160" s="3" t="s">
        <v>53</v>
      </c>
      <c r="J160" s="3">
        <v>2</v>
      </c>
      <c r="K160" s="3">
        <v>5</v>
      </c>
      <c r="L160" s="3">
        <v>6.3</v>
      </c>
      <c r="M160" s="3">
        <f t="shared" si="22"/>
        <v>1.26</v>
      </c>
      <c r="N160" s="3">
        <f t="shared" si="23"/>
        <v>1.26</v>
      </c>
      <c r="O160" s="3" t="s">
        <v>58</v>
      </c>
      <c r="P160" s="3" t="s">
        <v>58</v>
      </c>
      <c r="Q160" s="3" t="str">
        <f t="shared" si="21"/>
        <v>148-2024-12-31</v>
      </c>
      <c r="R160" s="3">
        <v>0</v>
      </c>
      <c r="S160" s="3">
        <v>0</v>
      </c>
      <c r="T160" s="3" t="s">
        <v>31</v>
      </c>
      <c r="U160" s="3" t="s">
        <v>37</v>
      </c>
      <c r="V160" s="3" t="s">
        <v>105</v>
      </c>
      <c r="W160" s="3" t="s">
        <v>73</v>
      </c>
      <c r="X160" s="3" t="s">
        <v>74</v>
      </c>
      <c r="Y160" s="3" t="s">
        <v>585</v>
      </c>
      <c r="Z160" s="3" t="s">
        <v>76</v>
      </c>
      <c r="AA160" s="3" t="s">
        <v>77</v>
      </c>
      <c r="AB160" s="3" t="s">
        <v>43</v>
      </c>
      <c r="AC160" s="3" t="s">
        <v>31</v>
      </c>
      <c r="AD160" s="3">
        <v>0</v>
      </c>
    </row>
    <row r="161" spans="1:30" x14ac:dyDescent="0.3">
      <c r="A161" s="3">
        <v>148</v>
      </c>
      <c r="B161" s="3" t="s">
        <v>104</v>
      </c>
      <c r="C161" s="3" t="s">
        <v>105</v>
      </c>
      <c r="D161" s="3" t="s">
        <v>31</v>
      </c>
      <c r="E161" s="3" t="s">
        <v>32</v>
      </c>
      <c r="F161" s="12">
        <v>45657</v>
      </c>
      <c r="G161" s="3">
        <v>2024</v>
      </c>
      <c r="H161" s="3" t="s">
        <v>44</v>
      </c>
      <c r="I161" s="3" t="s">
        <v>53</v>
      </c>
      <c r="J161" s="3"/>
      <c r="K161" s="3">
        <v>5</v>
      </c>
      <c r="L161" s="3">
        <v>6.3</v>
      </c>
      <c r="M161" s="3">
        <f t="shared" si="22"/>
        <v>1.26</v>
      </c>
      <c r="N161" s="3">
        <f t="shared" si="23"/>
        <v>1.26</v>
      </c>
      <c r="O161" s="3" t="s">
        <v>58</v>
      </c>
      <c r="P161" s="3" t="s">
        <v>58</v>
      </c>
      <c r="Q161" s="3" t="str">
        <f t="shared" si="21"/>
        <v>148-2024-12-31</v>
      </c>
      <c r="R161" s="3">
        <v>0</v>
      </c>
      <c r="S161" s="3">
        <v>1</v>
      </c>
      <c r="T161" s="3" t="s">
        <v>443</v>
      </c>
      <c r="U161" s="3" t="s">
        <v>37</v>
      </c>
      <c r="V161" s="3" t="s">
        <v>105</v>
      </c>
      <c r="W161" s="3" t="s">
        <v>73</v>
      </c>
      <c r="X161" s="3" t="s">
        <v>74</v>
      </c>
      <c r="Y161" s="3" t="s">
        <v>585</v>
      </c>
      <c r="Z161" s="3" t="s">
        <v>76</v>
      </c>
      <c r="AA161" s="3" t="s">
        <v>77</v>
      </c>
      <c r="AB161" s="3" t="s">
        <v>43</v>
      </c>
      <c r="AC161" s="3" t="s">
        <v>31</v>
      </c>
      <c r="AD161" s="3">
        <v>0</v>
      </c>
    </row>
    <row r="162" spans="1:30" x14ac:dyDescent="0.3">
      <c r="A162" s="3">
        <v>148</v>
      </c>
      <c r="B162" s="3" t="s">
        <v>104</v>
      </c>
      <c r="C162" s="3" t="s">
        <v>105</v>
      </c>
      <c r="D162" s="3" t="s">
        <v>31</v>
      </c>
      <c r="E162" s="3" t="s">
        <v>32</v>
      </c>
      <c r="F162" s="12">
        <v>45838</v>
      </c>
      <c r="G162" s="3">
        <v>2025</v>
      </c>
      <c r="H162" s="3" t="s">
        <v>33</v>
      </c>
      <c r="I162" s="3" t="s">
        <v>404</v>
      </c>
      <c r="J162" s="3">
        <v>1</v>
      </c>
      <c r="K162" s="3">
        <v>4</v>
      </c>
      <c r="L162" s="3">
        <v>4.08</v>
      </c>
      <c r="M162" s="3">
        <f t="shared" si="22"/>
        <v>1.02</v>
      </c>
      <c r="N162" s="3">
        <f t="shared" si="23"/>
        <v>1.02</v>
      </c>
      <c r="O162" s="3" t="s">
        <v>58</v>
      </c>
      <c r="P162" s="3" t="s">
        <v>58</v>
      </c>
      <c r="Q162" s="3" t="str">
        <f t="shared" si="21"/>
        <v>148-2025-06-30</v>
      </c>
      <c r="R162" s="3">
        <v>0</v>
      </c>
      <c r="S162" s="3">
        <v>1</v>
      </c>
      <c r="T162" s="3" t="s">
        <v>31</v>
      </c>
      <c r="U162" s="3" t="s">
        <v>37</v>
      </c>
      <c r="V162" s="3" t="s">
        <v>105</v>
      </c>
      <c r="W162" s="3" t="s">
        <v>73</v>
      </c>
      <c r="X162" s="3" t="s">
        <v>74</v>
      </c>
      <c r="Y162" s="3" t="s">
        <v>585</v>
      </c>
      <c r="Z162" s="3" t="s">
        <v>76</v>
      </c>
      <c r="AA162" s="3" t="s">
        <v>77</v>
      </c>
      <c r="AB162" s="3" t="s">
        <v>43</v>
      </c>
      <c r="AC162" s="3" t="s">
        <v>31</v>
      </c>
      <c r="AD162" s="3">
        <v>0</v>
      </c>
    </row>
    <row r="163" spans="1:30" x14ac:dyDescent="0.3">
      <c r="A163" s="3">
        <v>148</v>
      </c>
      <c r="B163" s="3" t="s">
        <v>104</v>
      </c>
      <c r="C163" s="3" t="s">
        <v>105</v>
      </c>
      <c r="D163" s="3" t="s">
        <v>31</v>
      </c>
      <c r="E163" s="3" t="s">
        <v>32</v>
      </c>
      <c r="F163" s="12">
        <v>46022</v>
      </c>
      <c r="G163" s="3">
        <v>2025</v>
      </c>
      <c r="H163" s="3" t="s">
        <v>44</v>
      </c>
      <c r="I163" s="3" t="s">
        <v>465</v>
      </c>
      <c r="J163" s="3">
        <v>2</v>
      </c>
      <c r="K163" s="3">
        <v>5</v>
      </c>
      <c r="L163" s="3">
        <v>6.78</v>
      </c>
      <c r="M163" s="3">
        <f t="shared" si="22"/>
        <v>1.3</v>
      </c>
      <c r="N163" s="3">
        <f>+L163/K163</f>
        <v>1.3560000000000001</v>
      </c>
      <c r="O163" s="3" t="s">
        <v>58</v>
      </c>
      <c r="P163" s="3" t="s">
        <v>58</v>
      </c>
      <c r="Q163" s="3" t="str">
        <f t="shared" si="21"/>
        <v>148-2025-12-31</v>
      </c>
      <c r="R163" s="3">
        <v>0</v>
      </c>
      <c r="S163" s="3">
        <v>1</v>
      </c>
      <c r="T163" s="3" t="s">
        <v>31</v>
      </c>
      <c r="U163" s="3" t="s">
        <v>37</v>
      </c>
      <c r="V163" s="3" t="s">
        <v>105</v>
      </c>
      <c r="W163" s="3" t="s">
        <v>73</v>
      </c>
      <c r="X163" s="3" t="s">
        <v>74</v>
      </c>
      <c r="Y163" s="3" t="s">
        <v>585</v>
      </c>
      <c r="Z163" s="3" t="s">
        <v>76</v>
      </c>
      <c r="AA163" s="3" t="s">
        <v>77</v>
      </c>
      <c r="AB163" s="3" t="s">
        <v>43</v>
      </c>
      <c r="AC163" s="3" t="s">
        <v>31</v>
      </c>
      <c r="AD163" s="3">
        <v>0</v>
      </c>
    </row>
    <row r="164" spans="1:30" x14ac:dyDescent="0.3">
      <c r="A164" s="3">
        <v>193</v>
      </c>
      <c r="B164" s="13" t="s">
        <v>478</v>
      </c>
      <c r="C164" s="3" t="s">
        <v>30</v>
      </c>
      <c r="D164" s="3" t="s">
        <v>31</v>
      </c>
      <c r="E164" s="3" t="s">
        <v>32</v>
      </c>
      <c r="F164" s="12">
        <v>44742</v>
      </c>
      <c r="G164" s="3">
        <v>2022</v>
      </c>
      <c r="H164" s="3" t="s">
        <v>33</v>
      </c>
      <c r="I164" s="3" t="s">
        <v>34</v>
      </c>
      <c r="J164" s="3">
        <v>1</v>
      </c>
      <c r="K164" s="3">
        <v>76</v>
      </c>
      <c r="L164" s="3">
        <v>91.8</v>
      </c>
      <c r="M164" s="3">
        <f>+L164/K164</f>
        <v>1.2078947368421051</v>
      </c>
      <c r="N164" s="3">
        <f>+L164/K164</f>
        <v>1.2078947368421051</v>
      </c>
      <c r="O164" s="3" t="s">
        <v>58</v>
      </c>
      <c r="P164" s="3" t="s">
        <v>58</v>
      </c>
      <c r="Q164" s="3" t="str">
        <f t="shared" si="21"/>
        <v>193-2022-06-30</v>
      </c>
      <c r="R164" s="3">
        <v>1</v>
      </c>
      <c r="S164" s="3">
        <v>1</v>
      </c>
      <c r="T164" s="3" t="s">
        <v>31</v>
      </c>
      <c r="U164" s="3" t="s">
        <v>37</v>
      </c>
      <c r="V164" s="3" t="s">
        <v>30</v>
      </c>
      <c r="W164" s="3" t="s">
        <v>112</v>
      </c>
      <c r="X164" s="3" t="s">
        <v>113</v>
      </c>
      <c r="Y164" s="3" t="s">
        <v>114</v>
      </c>
      <c r="Z164" s="3" t="s">
        <v>63</v>
      </c>
      <c r="AA164" s="3" t="s">
        <v>115</v>
      </c>
      <c r="AB164" s="3" t="s">
        <v>65</v>
      </c>
      <c r="AC164" s="3" t="s">
        <v>31</v>
      </c>
      <c r="AD164" s="3">
        <v>0</v>
      </c>
    </row>
    <row r="165" spans="1:30" x14ac:dyDescent="0.3">
      <c r="A165" s="3">
        <v>193</v>
      </c>
      <c r="B165" s="13" t="s">
        <v>478</v>
      </c>
      <c r="C165" s="3" t="s">
        <v>30</v>
      </c>
      <c r="D165" s="3" t="s">
        <v>31</v>
      </c>
      <c r="E165" s="3" t="s">
        <v>32</v>
      </c>
      <c r="F165" s="12">
        <v>44926</v>
      </c>
      <c r="G165" s="3">
        <v>2022</v>
      </c>
      <c r="H165" s="3" t="s">
        <v>44</v>
      </c>
      <c r="I165" s="3" t="s">
        <v>45</v>
      </c>
      <c r="J165" s="3">
        <v>2</v>
      </c>
      <c r="K165" s="3">
        <v>76</v>
      </c>
      <c r="L165" s="3">
        <v>92.4</v>
      </c>
      <c r="M165" s="3">
        <f t="shared" ref="M165:M174" si="24">+L165/K165</f>
        <v>1.2157894736842105</v>
      </c>
      <c r="N165" s="3">
        <f t="shared" ref="N165:N174" si="25">+L165/K165</f>
        <v>1.2157894736842105</v>
      </c>
      <c r="O165" s="3" t="s">
        <v>58</v>
      </c>
      <c r="P165" s="3" t="s">
        <v>58</v>
      </c>
      <c r="Q165" s="3" t="str">
        <f t="shared" si="21"/>
        <v>193-2022-12-31</v>
      </c>
      <c r="R165" s="3">
        <v>1</v>
      </c>
      <c r="S165" s="3">
        <v>1</v>
      </c>
      <c r="T165" s="3" t="s">
        <v>31</v>
      </c>
      <c r="U165" s="3" t="s">
        <v>37</v>
      </c>
      <c r="V165" s="3" t="s">
        <v>30</v>
      </c>
      <c r="W165" s="3" t="s">
        <v>112</v>
      </c>
      <c r="X165" s="3" t="s">
        <v>113</v>
      </c>
      <c r="Y165" s="3" t="s">
        <v>114</v>
      </c>
      <c r="Z165" s="3" t="s">
        <v>63</v>
      </c>
      <c r="AA165" s="3" t="s">
        <v>115</v>
      </c>
      <c r="AB165" s="3" t="s">
        <v>65</v>
      </c>
      <c r="AC165" s="3" t="s">
        <v>31</v>
      </c>
      <c r="AD165" s="3">
        <v>0</v>
      </c>
    </row>
    <row r="166" spans="1:30" x14ac:dyDescent="0.3">
      <c r="A166" s="3">
        <v>193</v>
      </c>
      <c r="B166" s="13" t="s">
        <v>478</v>
      </c>
      <c r="C166" s="3" t="s">
        <v>30</v>
      </c>
      <c r="D166" s="3" t="s">
        <v>31</v>
      </c>
      <c r="E166" s="3" t="s">
        <v>32</v>
      </c>
      <c r="F166" s="12">
        <v>44926</v>
      </c>
      <c r="G166" s="3">
        <v>2022</v>
      </c>
      <c r="H166" s="3" t="s">
        <v>44</v>
      </c>
      <c r="I166" s="3" t="s">
        <v>45</v>
      </c>
      <c r="J166" s="3"/>
      <c r="K166" s="3">
        <v>76</v>
      </c>
      <c r="L166" s="3">
        <v>92.4</v>
      </c>
      <c r="M166" s="3">
        <f t="shared" si="24"/>
        <v>1.2157894736842105</v>
      </c>
      <c r="N166" s="3">
        <f t="shared" si="25"/>
        <v>1.2157894736842105</v>
      </c>
      <c r="O166" s="3" t="s">
        <v>58</v>
      </c>
      <c r="P166" s="3" t="s">
        <v>58</v>
      </c>
      <c r="Q166" s="3" t="str">
        <f t="shared" si="21"/>
        <v>193-2022-12-31</v>
      </c>
      <c r="R166" s="3">
        <v>1</v>
      </c>
      <c r="S166" s="3">
        <v>1</v>
      </c>
      <c r="T166" s="3" t="s">
        <v>443</v>
      </c>
      <c r="U166" s="3" t="s">
        <v>37</v>
      </c>
      <c r="V166" s="3" t="s">
        <v>30</v>
      </c>
      <c r="W166" s="3" t="s">
        <v>112</v>
      </c>
      <c r="X166" s="3" t="s">
        <v>113</v>
      </c>
      <c r="Y166" s="3" t="s">
        <v>114</v>
      </c>
      <c r="Z166" s="3" t="s">
        <v>63</v>
      </c>
      <c r="AA166" s="3" t="s">
        <v>115</v>
      </c>
      <c r="AB166" s="3" t="s">
        <v>65</v>
      </c>
      <c r="AC166" s="3" t="s">
        <v>31</v>
      </c>
      <c r="AD166" s="3">
        <v>0</v>
      </c>
    </row>
    <row r="167" spans="1:30" x14ac:dyDescent="0.3">
      <c r="A167" s="3">
        <v>193</v>
      </c>
      <c r="B167" s="13" t="s">
        <v>478</v>
      </c>
      <c r="C167" s="3" t="s">
        <v>30</v>
      </c>
      <c r="D167" s="3" t="s">
        <v>31</v>
      </c>
      <c r="E167" s="3" t="s">
        <v>32</v>
      </c>
      <c r="F167" s="12">
        <v>45107</v>
      </c>
      <c r="G167" s="3">
        <v>2023</v>
      </c>
      <c r="H167" s="3" t="s">
        <v>33</v>
      </c>
      <c r="I167" s="3" t="s">
        <v>47</v>
      </c>
      <c r="J167" s="3">
        <v>1</v>
      </c>
      <c r="K167" s="3">
        <v>92</v>
      </c>
      <c r="L167" s="3">
        <v>91.9</v>
      </c>
      <c r="M167" s="3">
        <f t="shared" si="24"/>
        <v>0.99891304347826093</v>
      </c>
      <c r="N167" s="3">
        <f t="shared" si="25"/>
        <v>0.99891304347826093</v>
      </c>
      <c r="O167" s="3" t="s">
        <v>58</v>
      </c>
      <c r="P167" s="3" t="s">
        <v>58</v>
      </c>
      <c r="Q167" s="3" t="str">
        <f t="shared" si="21"/>
        <v>193-2023-06-30</v>
      </c>
      <c r="R167" s="3">
        <v>1</v>
      </c>
      <c r="S167" s="3">
        <v>1</v>
      </c>
      <c r="T167" s="3" t="s">
        <v>31</v>
      </c>
      <c r="U167" s="3" t="s">
        <v>37</v>
      </c>
      <c r="V167" s="3" t="s">
        <v>30</v>
      </c>
      <c r="W167" s="3" t="s">
        <v>112</v>
      </c>
      <c r="X167" s="3" t="s">
        <v>113</v>
      </c>
      <c r="Y167" s="3" t="s">
        <v>114</v>
      </c>
      <c r="Z167" s="3" t="s">
        <v>63</v>
      </c>
      <c r="AA167" s="3" t="s">
        <v>115</v>
      </c>
      <c r="AB167" s="3" t="s">
        <v>65</v>
      </c>
      <c r="AC167" s="3" t="s">
        <v>31</v>
      </c>
      <c r="AD167" s="3">
        <v>0</v>
      </c>
    </row>
    <row r="168" spans="1:30" x14ac:dyDescent="0.3">
      <c r="A168" s="3">
        <v>193</v>
      </c>
      <c r="B168" s="13" t="s">
        <v>478</v>
      </c>
      <c r="C168" s="3" t="s">
        <v>30</v>
      </c>
      <c r="D168" s="3" t="s">
        <v>31</v>
      </c>
      <c r="E168" s="3" t="s">
        <v>32</v>
      </c>
      <c r="F168" s="12">
        <v>45291</v>
      </c>
      <c r="G168" s="3">
        <v>2023</v>
      </c>
      <c r="H168" s="3" t="s">
        <v>44</v>
      </c>
      <c r="I168" s="3" t="s">
        <v>49</v>
      </c>
      <c r="J168" s="3">
        <v>2</v>
      </c>
      <c r="K168" s="3">
        <v>92</v>
      </c>
      <c r="L168" s="3">
        <v>91.3</v>
      </c>
      <c r="M168" s="3">
        <f t="shared" si="24"/>
        <v>0.99239130434782608</v>
      </c>
      <c r="N168" s="3">
        <f t="shared" si="25"/>
        <v>0.99239130434782608</v>
      </c>
      <c r="O168" s="3" t="s">
        <v>58</v>
      </c>
      <c r="P168" s="3" t="s">
        <v>58</v>
      </c>
      <c r="Q168" s="3" t="str">
        <f t="shared" si="21"/>
        <v>193-2023-12-31</v>
      </c>
      <c r="R168" s="3">
        <v>1</v>
      </c>
      <c r="S168" s="3">
        <v>1</v>
      </c>
      <c r="T168" s="3" t="s">
        <v>31</v>
      </c>
      <c r="U168" s="3" t="s">
        <v>37</v>
      </c>
      <c r="V168" s="3" t="s">
        <v>30</v>
      </c>
      <c r="W168" s="3" t="s">
        <v>112</v>
      </c>
      <c r="X168" s="3" t="s">
        <v>113</v>
      </c>
      <c r="Y168" s="3" t="s">
        <v>114</v>
      </c>
      <c r="Z168" s="3" t="s">
        <v>63</v>
      </c>
      <c r="AA168" s="3" t="s">
        <v>115</v>
      </c>
      <c r="AB168" s="3" t="s">
        <v>65</v>
      </c>
      <c r="AC168" s="3" t="s">
        <v>31</v>
      </c>
      <c r="AD168" s="3">
        <v>0</v>
      </c>
    </row>
    <row r="169" spans="1:30" x14ac:dyDescent="0.3">
      <c r="A169" s="3">
        <v>193</v>
      </c>
      <c r="B169" s="13" t="s">
        <v>478</v>
      </c>
      <c r="C169" s="3" t="s">
        <v>30</v>
      </c>
      <c r="D169" s="3" t="s">
        <v>31</v>
      </c>
      <c r="E169" s="3" t="s">
        <v>32</v>
      </c>
      <c r="F169" s="12">
        <v>45291</v>
      </c>
      <c r="G169" s="3">
        <v>2023</v>
      </c>
      <c r="H169" s="3" t="s">
        <v>44</v>
      </c>
      <c r="I169" s="3" t="s">
        <v>49</v>
      </c>
      <c r="J169" s="3"/>
      <c r="K169" s="3">
        <v>92</v>
      </c>
      <c r="L169" s="3">
        <v>91.3</v>
      </c>
      <c r="M169" s="3">
        <f t="shared" si="24"/>
        <v>0.99239130434782608</v>
      </c>
      <c r="N169" s="3">
        <f t="shared" si="25"/>
        <v>0.99239130434782608</v>
      </c>
      <c r="O169" s="3" t="s">
        <v>58</v>
      </c>
      <c r="P169" s="3" t="s">
        <v>58</v>
      </c>
      <c r="Q169" s="3" t="str">
        <f t="shared" si="21"/>
        <v>193-2023-12-31</v>
      </c>
      <c r="R169" s="3">
        <v>1</v>
      </c>
      <c r="S169" s="3">
        <v>1</v>
      </c>
      <c r="T169" s="3" t="s">
        <v>443</v>
      </c>
      <c r="U169" s="3" t="s">
        <v>37</v>
      </c>
      <c r="V169" s="3" t="s">
        <v>30</v>
      </c>
      <c r="W169" s="3" t="s">
        <v>112</v>
      </c>
      <c r="X169" s="3" t="s">
        <v>113</v>
      </c>
      <c r="Y169" s="3" t="s">
        <v>114</v>
      </c>
      <c r="Z169" s="3" t="s">
        <v>63</v>
      </c>
      <c r="AA169" s="3" t="s">
        <v>115</v>
      </c>
      <c r="AB169" s="3" t="s">
        <v>65</v>
      </c>
      <c r="AC169" s="3" t="s">
        <v>31</v>
      </c>
      <c r="AD169" s="3">
        <v>0</v>
      </c>
    </row>
    <row r="170" spans="1:30" x14ac:dyDescent="0.3">
      <c r="A170" s="3">
        <v>193</v>
      </c>
      <c r="B170" s="13" t="s">
        <v>478</v>
      </c>
      <c r="C170" s="3" t="s">
        <v>30</v>
      </c>
      <c r="D170" s="3" t="s">
        <v>31</v>
      </c>
      <c r="E170" s="3" t="s">
        <v>32</v>
      </c>
      <c r="F170" s="12">
        <v>45473</v>
      </c>
      <c r="G170" s="3">
        <v>2024</v>
      </c>
      <c r="H170" s="3" t="s">
        <v>33</v>
      </c>
      <c r="I170" s="3" t="s">
        <v>51</v>
      </c>
      <c r="J170" s="3">
        <v>1</v>
      </c>
      <c r="K170" s="3">
        <v>90</v>
      </c>
      <c r="L170" s="3">
        <v>91.7</v>
      </c>
      <c r="M170" s="3">
        <f t="shared" si="24"/>
        <v>1.018888888888889</v>
      </c>
      <c r="N170" s="3">
        <f t="shared" si="25"/>
        <v>1.018888888888889</v>
      </c>
      <c r="O170" s="3" t="s">
        <v>58</v>
      </c>
      <c r="P170" s="3" t="s">
        <v>58</v>
      </c>
      <c r="Q170" s="3" t="str">
        <f t="shared" si="21"/>
        <v>193-2024-06-30</v>
      </c>
      <c r="R170" s="3">
        <v>1</v>
      </c>
      <c r="S170" s="3">
        <v>1</v>
      </c>
      <c r="T170" s="3" t="s">
        <v>31</v>
      </c>
      <c r="U170" s="3" t="s">
        <v>37</v>
      </c>
      <c r="V170" s="3" t="s">
        <v>30</v>
      </c>
      <c r="W170" s="3" t="s">
        <v>112</v>
      </c>
      <c r="X170" s="3" t="s">
        <v>113</v>
      </c>
      <c r="Y170" s="3" t="s">
        <v>114</v>
      </c>
      <c r="Z170" s="3" t="s">
        <v>63</v>
      </c>
      <c r="AA170" s="3" t="s">
        <v>115</v>
      </c>
      <c r="AB170" s="3" t="s">
        <v>65</v>
      </c>
      <c r="AC170" s="3" t="s">
        <v>31</v>
      </c>
      <c r="AD170" s="3">
        <v>0</v>
      </c>
    </row>
    <row r="171" spans="1:30" x14ac:dyDescent="0.3">
      <c r="A171" s="3">
        <v>193</v>
      </c>
      <c r="B171" s="13" t="s">
        <v>478</v>
      </c>
      <c r="C171" s="3" t="s">
        <v>30</v>
      </c>
      <c r="D171" s="3" t="s">
        <v>31</v>
      </c>
      <c r="E171" s="3" t="s">
        <v>32</v>
      </c>
      <c r="F171" s="12">
        <v>45657</v>
      </c>
      <c r="G171" s="3">
        <v>2024</v>
      </c>
      <c r="H171" s="3" t="s">
        <v>44</v>
      </c>
      <c r="I171" s="3" t="s">
        <v>53</v>
      </c>
      <c r="J171" s="3">
        <v>2</v>
      </c>
      <c r="K171" s="3">
        <v>90</v>
      </c>
      <c r="L171" s="3">
        <v>93.5</v>
      </c>
      <c r="M171" s="3">
        <f t="shared" si="24"/>
        <v>1.038888888888889</v>
      </c>
      <c r="N171" s="3">
        <f t="shared" si="25"/>
        <v>1.038888888888889</v>
      </c>
      <c r="O171" s="3" t="s">
        <v>58</v>
      </c>
      <c r="P171" s="3" t="s">
        <v>58</v>
      </c>
      <c r="Q171" s="3" t="str">
        <f t="shared" si="21"/>
        <v>193-2024-12-31</v>
      </c>
      <c r="R171" s="3">
        <v>0</v>
      </c>
      <c r="S171" s="3">
        <v>0</v>
      </c>
      <c r="T171" s="3" t="s">
        <v>31</v>
      </c>
      <c r="U171" s="3" t="s">
        <v>37</v>
      </c>
      <c r="V171" s="3" t="s">
        <v>30</v>
      </c>
      <c r="W171" s="3" t="s">
        <v>112</v>
      </c>
      <c r="X171" s="3" t="s">
        <v>113</v>
      </c>
      <c r="Y171" s="3" t="s">
        <v>114</v>
      </c>
      <c r="Z171" s="3" t="s">
        <v>63</v>
      </c>
      <c r="AA171" s="3" t="s">
        <v>115</v>
      </c>
      <c r="AB171" s="3" t="s">
        <v>65</v>
      </c>
      <c r="AC171" s="3" t="s">
        <v>31</v>
      </c>
      <c r="AD171" s="3">
        <v>0</v>
      </c>
    </row>
    <row r="172" spans="1:30" x14ac:dyDescent="0.3">
      <c r="A172" s="3">
        <v>193</v>
      </c>
      <c r="B172" s="13" t="s">
        <v>478</v>
      </c>
      <c r="C172" s="3" t="s">
        <v>30</v>
      </c>
      <c r="D172" s="3" t="s">
        <v>31</v>
      </c>
      <c r="E172" s="3" t="s">
        <v>32</v>
      </c>
      <c r="F172" s="12">
        <v>45657</v>
      </c>
      <c r="G172" s="3">
        <v>2024</v>
      </c>
      <c r="H172" s="3" t="s">
        <v>44</v>
      </c>
      <c r="I172" s="3" t="s">
        <v>53</v>
      </c>
      <c r="J172" s="3"/>
      <c r="K172" s="3">
        <v>90</v>
      </c>
      <c r="L172" s="3">
        <v>93.5</v>
      </c>
      <c r="M172" s="3">
        <f t="shared" si="24"/>
        <v>1.038888888888889</v>
      </c>
      <c r="N172" s="3">
        <f t="shared" si="25"/>
        <v>1.038888888888889</v>
      </c>
      <c r="O172" s="3" t="s">
        <v>58</v>
      </c>
      <c r="P172" s="3" t="s">
        <v>58</v>
      </c>
      <c r="Q172" s="3" t="str">
        <f t="shared" si="21"/>
        <v>193-2024-12-31</v>
      </c>
      <c r="R172" s="3">
        <v>1</v>
      </c>
      <c r="S172" s="3">
        <v>1</v>
      </c>
      <c r="T172" s="3" t="s">
        <v>443</v>
      </c>
      <c r="U172" s="3" t="s">
        <v>37</v>
      </c>
      <c r="V172" s="3" t="s">
        <v>30</v>
      </c>
      <c r="W172" s="3" t="s">
        <v>112</v>
      </c>
      <c r="X172" s="3" t="s">
        <v>113</v>
      </c>
      <c r="Y172" s="3" t="s">
        <v>114</v>
      </c>
      <c r="Z172" s="3" t="s">
        <v>63</v>
      </c>
      <c r="AA172" s="3" t="s">
        <v>115</v>
      </c>
      <c r="AB172" s="3" t="s">
        <v>65</v>
      </c>
      <c r="AC172" s="3" t="s">
        <v>31</v>
      </c>
      <c r="AD172" s="3">
        <v>0</v>
      </c>
    </row>
    <row r="173" spans="1:30" x14ac:dyDescent="0.3">
      <c r="A173" s="3">
        <v>193</v>
      </c>
      <c r="B173" s="13" t="s">
        <v>478</v>
      </c>
      <c r="C173" s="3" t="s">
        <v>30</v>
      </c>
      <c r="D173" s="3" t="s">
        <v>31</v>
      </c>
      <c r="E173" s="3" t="s">
        <v>32</v>
      </c>
      <c r="F173" s="12">
        <v>45838</v>
      </c>
      <c r="G173" s="3">
        <v>2025</v>
      </c>
      <c r="H173" s="3" t="s">
        <v>33</v>
      </c>
      <c r="I173" s="3" t="s">
        <v>404</v>
      </c>
      <c r="J173" s="3">
        <v>1</v>
      </c>
      <c r="K173" s="3">
        <v>93</v>
      </c>
      <c r="L173" s="3">
        <v>96.21</v>
      </c>
      <c r="M173" s="3">
        <f t="shared" si="24"/>
        <v>1.034516129032258</v>
      </c>
      <c r="N173" s="3">
        <f t="shared" si="25"/>
        <v>1.034516129032258</v>
      </c>
      <c r="O173" s="3" t="s">
        <v>58</v>
      </c>
      <c r="P173" s="3" t="s">
        <v>58</v>
      </c>
      <c r="Q173" s="3" t="str">
        <f t="shared" si="21"/>
        <v>193-2025-06-30</v>
      </c>
      <c r="R173" s="3">
        <v>1</v>
      </c>
      <c r="S173" s="3">
        <v>1</v>
      </c>
      <c r="T173" s="3" t="s">
        <v>31</v>
      </c>
      <c r="U173" s="3" t="s">
        <v>37</v>
      </c>
      <c r="V173" s="3" t="s">
        <v>30</v>
      </c>
      <c r="W173" s="3" t="s">
        <v>112</v>
      </c>
      <c r="X173" s="3" t="s">
        <v>113</v>
      </c>
      <c r="Y173" s="3" t="s">
        <v>114</v>
      </c>
      <c r="Z173" s="3" t="s">
        <v>63</v>
      </c>
      <c r="AA173" s="3" t="s">
        <v>115</v>
      </c>
      <c r="AB173" s="3" t="s">
        <v>65</v>
      </c>
      <c r="AC173" s="3" t="s">
        <v>31</v>
      </c>
      <c r="AD173" s="3">
        <v>0</v>
      </c>
    </row>
    <row r="174" spans="1:30" x14ac:dyDescent="0.3">
      <c r="A174" s="3">
        <v>193</v>
      </c>
      <c r="B174" s="13" t="s">
        <v>478</v>
      </c>
      <c r="C174" s="3" t="s">
        <v>30</v>
      </c>
      <c r="D174" s="3" t="s">
        <v>31</v>
      </c>
      <c r="E174" s="3" t="s">
        <v>32</v>
      </c>
      <c r="F174" s="12">
        <v>46022</v>
      </c>
      <c r="G174" s="3">
        <v>2025</v>
      </c>
      <c r="H174" s="3" t="s">
        <v>44</v>
      </c>
      <c r="I174" s="3" t="s">
        <v>465</v>
      </c>
      <c r="J174" s="3">
        <v>2</v>
      </c>
      <c r="K174" s="3">
        <v>94</v>
      </c>
      <c r="L174" s="3">
        <v>95</v>
      </c>
      <c r="M174" s="3">
        <f t="shared" si="24"/>
        <v>1.0106382978723405</v>
      </c>
      <c r="N174" s="3">
        <f t="shared" si="25"/>
        <v>1.0106382978723405</v>
      </c>
      <c r="O174" s="3" t="s">
        <v>58</v>
      </c>
      <c r="P174" s="3" t="s">
        <v>58</v>
      </c>
      <c r="Q174" s="3" t="str">
        <f t="shared" si="21"/>
        <v>193-2025-12-31</v>
      </c>
      <c r="R174" s="3">
        <v>1</v>
      </c>
      <c r="S174" s="3">
        <v>1</v>
      </c>
      <c r="T174" s="3" t="s">
        <v>31</v>
      </c>
      <c r="U174" s="3" t="s">
        <v>37</v>
      </c>
      <c r="V174" s="3" t="s">
        <v>30</v>
      </c>
      <c r="W174" s="3" t="s">
        <v>112</v>
      </c>
      <c r="X174" s="3" t="s">
        <v>113</v>
      </c>
      <c r="Y174" s="3" t="s">
        <v>114</v>
      </c>
      <c r="Z174" s="3" t="s">
        <v>63</v>
      </c>
      <c r="AA174" s="3" t="s">
        <v>115</v>
      </c>
      <c r="AB174" s="3" t="s">
        <v>65</v>
      </c>
      <c r="AC174" s="3" t="s">
        <v>31</v>
      </c>
      <c r="AD174" s="3">
        <v>0</v>
      </c>
    </row>
    <row r="175" spans="1:30" x14ac:dyDescent="0.3">
      <c r="A175" s="3">
        <v>194</v>
      </c>
      <c r="B175" s="3" t="s">
        <v>121</v>
      </c>
      <c r="C175" s="3" t="s">
        <v>30</v>
      </c>
      <c r="D175" s="3" t="s">
        <v>31</v>
      </c>
      <c r="E175" s="3" t="s">
        <v>32</v>
      </c>
      <c r="F175" s="12">
        <v>44742</v>
      </c>
      <c r="G175" s="3">
        <v>2022</v>
      </c>
      <c r="H175" s="3" t="s">
        <v>33</v>
      </c>
      <c r="I175" s="3" t="s">
        <v>34</v>
      </c>
      <c r="J175" s="3">
        <v>1</v>
      </c>
      <c r="K175" s="3">
        <v>73</v>
      </c>
      <c r="L175" s="3">
        <v>83.26</v>
      </c>
      <c r="M175" s="3">
        <f>+L175/K175</f>
        <v>1.1405479452054794</v>
      </c>
      <c r="N175" s="3">
        <f>+L175/K175</f>
        <v>1.1405479452054794</v>
      </c>
      <c r="O175" s="3" t="s">
        <v>58</v>
      </c>
      <c r="P175" s="3" t="s">
        <v>58</v>
      </c>
      <c r="Q175" s="3" t="str">
        <f t="shared" si="21"/>
        <v>194-2022-06-30</v>
      </c>
      <c r="R175" s="3">
        <v>0</v>
      </c>
      <c r="S175" s="3">
        <v>0</v>
      </c>
      <c r="T175" s="3" t="s">
        <v>31</v>
      </c>
      <c r="U175" s="3" t="s">
        <v>37</v>
      </c>
      <c r="V175" s="3" t="s">
        <v>30</v>
      </c>
      <c r="W175" s="3" t="s">
        <v>112</v>
      </c>
      <c r="X175" s="3" t="s">
        <v>113</v>
      </c>
      <c r="Y175" s="3" t="s">
        <v>123</v>
      </c>
      <c r="Z175" s="3" t="s">
        <v>41</v>
      </c>
      <c r="AA175" s="3" t="s">
        <v>124</v>
      </c>
      <c r="AB175" s="3" t="s">
        <v>43</v>
      </c>
      <c r="AC175" s="3" t="s">
        <v>66</v>
      </c>
      <c r="AD175" s="3">
        <v>0</v>
      </c>
    </row>
    <row r="176" spans="1:30" x14ac:dyDescent="0.3">
      <c r="A176" s="3">
        <v>194</v>
      </c>
      <c r="B176" s="3" t="s">
        <v>121</v>
      </c>
      <c r="C176" s="3" t="s">
        <v>30</v>
      </c>
      <c r="D176" s="3" t="s">
        <v>31</v>
      </c>
      <c r="E176" s="3" t="s">
        <v>32</v>
      </c>
      <c r="F176" s="12">
        <v>44926</v>
      </c>
      <c r="G176" s="3">
        <v>2022</v>
      </c>
      <c r="H176" s="3" t="s">
        <v>44</v>
      </c>
      <c r="I176" s="3" t="s">
        <v>45</v>
      </c>
      <c r="J176" s="3">
        <v>2</v>
      </c>
      <c r="K176" s="3">
        <v>73</v>
      </c>
      <c r="L176" s="3">
        <v>83.11</v>
      </c>
      <c r="M176" s="3">
        <f t="shared" ref="M176:M185" si="26">+L176/K176</f>
        <v>1.1384931506849314</v>
      </c>
      <c r="N176" s="3">
        <f t="shared" ref="N176:N185" si="27">+L176/K176</f>
        <v>1.1384931506849314</v>
      </c>
      <c r="O176" s="3" t="s">
        <v>58</v>
      </c>
      <c r="P176" s="3" t="s">
        <v>58</v>
      </c>
      <c r="Q176" s="3" t="str">
        <f t="shared" si="21"/>
        <v>194-2022-12-31</v>
      </c>
      <c r="R176" s="3">
        <v>0</v>
      </c>
      <c r="S176" s="3">
        <v>0</v>
      </c>
      <c r="T176" s="3" t="s">
        <v>31</v>
      </c>
      <c r="U176" s="3" t="s">
        <v>37</v>
      </c>
      <c r="V176" s="3" t="s">
        <v>30</v>
      </c>
      <c r="W176" s="3" t="s">
        <v>112</v>
      </c>
      <c r="X176" s="3" t="s">
        <v>113</v>
      </c>
      <c r="Y176" s="3" t="s">
        <v>123</v>
      </c>
      <c r="Z176" s="3" t="s">
        <v>41</v>
      </c>
      <c r="AA176" s="3" t="s">
        <v>124</v>
      </c>
      <c r="AB176" s="3" t="s">
        <v>43</v>
      </c>
      <c r="AC176" s="3" t="s">
        <v>66</v>
      </c>
      <c r="AD176" s="3">
        <v>0</v>
      </c>
    </row>
    <row r="177" spans="1:30" x14ac:dyDescent="0.3">
      <c r="A177" s="3">
        <v>194</v>
      </c>
      <c r="B177" s="3" t="s">
        <v>121</v>
      </c>
      <c r="C177" s="3" t="s">
        <v>30</v>
      </c>
      <c r="D177" s="3" t="s">
        <v>31</v>
      </c>
      <c r="E177" s="3" t="s">
        <v>32</v>
      </c>
      <c r="F177" s="12">
        <v>44926</v>
      </c>
      <c r="G177" s="3">
        <v>2022</v>
      </c>
      <c r="H177" s="3" t="s">
        <v>44</v>
      </c>
      <c r="I177" s="3" t="s">
        <v>45</v>
      </c>
      <c r="J177" s="3"/>
      <c r="K177" s="3">
        <v>73</v>
      </c>
      <c r="L177" s="3">
        <v>83.11</v>
      </c>
      <c r="M177" s="3">
        <f t="shared" si="26"/>
        <v>1.1384931506849314</v>
      </c>
      <c r="N177" s="3">
        <f t="shared" si="27"/>
        <v>1.1384931506849314</v>
      </c>
      <c r="O177" s="3" t="s">
        <v>58</v>
      </c>
      <c r="P177" s="3" t="s">
        <v>58</v>
      </c>
      <c r="Q177" s="3" t="str">
        <f t="shared" si="21"/>
        <v>194-2022-12-31</v>
      </c>
      <c r="R177" s="3">
        <v>0</v>
      </c>
      <c r="S177" s="3">
        <v>0</v>
      </c>
      <c r="T177" s="3" t="s">
        <v>443</v>
      </c>
      <c r="U177" s="3" t="s">
        <v>37</v>
      </c>
      <c r="V177" s="3" t="s">
        <v>30</v>
      </c>
      <c r="W177" s="3" t="s">
        <v>112</v>
      </c>
      <c r="X177" s="3" t="s">
        <v>113</v>
      </c>
      <c r="Y177" s="3" t="s">
        <v>123</v>
      </c>
      <c r="Z177" s="3" t="s">
        <v>41</v>
      </c>
      <c r="AA177" s="3" t="s">
        <v>124</v>
      </c>
      <c r="AB177" s="3" t="s">
        <v>43</v>
      </c>
      <c r="AC177" s="3" t="s">
        <v>66</v>
      </c>
      <c r="AD177" s="3">
        <v>0</v>
      </c>
    </row>
    <row r="178" spans="1:30" x14ac:dyDescent="0.3">
      <c r="A178" s="3">
        <v>194</v>
      </c>
      <c r="B178" s="3" t="s">
        <v>121</v>
      </c>
      <c r="C178" s="3" t="s">
        <v>30</v>
      </c>
      <c r="D178" s="3" t="s">
        <v>31</v>
      </c>
      <c r="E178" s="3" t="s">
        <v>32</v>
      </c>
      <c r="F178" s="12">
        <v>45107</v>
      </c>
      <c r="G178" s="3">
        <v>2023</v>
      </c>
      <c r="H178" s="3" t="s">
        <v>33</v>
      </c>
      <c r="I178" s="3" t="s">
        <v>47</v>
      </c>
      <c r="J178" s="3">
        <v>1</v>
      </c>
      <c r="K178" s="3">
        <v>80</v>
      </c>
      <c r="L178" s="3">
        <v>79.180000000000007</v>
      </c>
      <c r="M178" s="3">
        <f t="shared" si="26"/>
        <v>0.98975000000000013</v>
      </c>
      <c r="N178" s="3">
        <f t="shared" si="27"/>
        <v>0.98975000000000013</v>
      </c>
      <c r="O178" s="3" t="s">
        <v>58</v>
      </c>
      <c r="P178" s="3" t="s">
        <v>58</v>
      </c>
      <c r="Q178" s="3" t="str">
        <f t="shared" si="21"/>
        <v>194-2023-06-30</v>
      </c>
      <c r="R178" s="3">
        <v>0</v>
      </c>
      <c r="S178" s="3">
        <v>0</v>
      </c>
      <c r="T178" s="3" t="s">
        <v>31</v>
      </c>
      <c r="U178" s="3" t="s">
        <v>37</v>
      </c>
      <c r="V178" s="3" t="s">
        <v>30</v>
      </c>
      <c r="W178" s="3" t="s">
        <v>112</v>
      </c>
      <c r="X178" s="3" t="s">
        <v>113</v>
      </c>
      <c r="Y178" s="3" t="s">
        <v>123</v>
      </c>
      <c r="Z178" s="3" t="s">
        <v>41</v>
      </c>
      <c r="AA178" s="3" t="s">
        <v>124</v>
      </c>
      <c r="AB178" s="3" t="s">
        <v>43</v>
      </c>
      <c r="AC178" s="3" t="s">
        <v>66</v>
      </c>
      <c r="AD178" s="3">
        <v>0</v>
      </c>
    </row>
    <row r="179" spans="1:30" x14ac:dyDescent="0.3">
      <c r="A179" s="3">
        <v>194</v>
      </c>
      <c r="B179" s="3" t="s">
        <v>121</v>
      </c>
      <c r="C179" s="3" t="s">
        <v>30</v>
      </c>
      <c r="D179" s="3" t="s">
        <v>31</v>
      </c>
      <c r="E179" s="3" t="s">
        <v>32</v>
      </c>
      <c r="F179" s="12">
        <v>45291</v>
      </c>
      <c r="G179" s="3">
        <v>2023</v>
      </c>
      <c r="H179" s="3" t="s">
        <v>44</v>
      </c>
      <c r="I179" s="3" t="s">
        <v>49</v>
      </c>
      <c r="J179" s="3">
        <v>2</v>
      </c>
      <c r="K179" s="3">
        <v>80</v>
      </c>
      <c r="L179" s="3">
        <v>81.91</v>
      </c>
      <c r="M179" s="3">
        <f t="shared" si="26"/>
        <v>1.0238749999999999</v>
      </c>
      <c r="N179" s="3">
        <f t="shared" si="27"/>
        <v>1.0238749999999999</v>
      </c>
      <c r="O179" s="3" t="s">
        <v>58</v>
      </c>
      <c r="P179" s="3" t="s">
        <v>58</v>
      </c>
      <c r="Q179" s="3" t="str">
        <f t="shared" si="21"/>
        <v>194-2023-12-31</v>
      </c>
      <c r="R179" s="3">
        <v>0</v>
      </c>
      <c r="S179" s="3">
        <v>0</v>
      </c>
      <c r="T179" s="3" t="s">
        <v>31</v>
      </c>
      <c r="U179" s="3" t="s">
        <v>37</v>
      </c>
      <c r="V179" s="3" t="s">
        <v>30</v>
      </c>
      <c r="W179" s="3" t="s">
        <v>112</v>
      </c>
      <c r="X179" s="3" t="s">
        <v>113</v>
      </c>
      <c r="Y179" s="3" t="s">
        <v>123</v>
      </c>
      <c r="Z179" s="3" t="s">
        <v>41</v>
      </c>
      <c r="AA179" s="3" t="s">
        <v>124</v>
      </c>
      <c r="AB179" s="3" t="s">
        <v>43</v>
      </c>
      <c r="AC179" s="3" t="s">
        <v>66</v>
      </c>
      <c r="AD179" s="3">
        <v>0</v>
      </c>
    </row>
    <row r="180" spans="1:30" x14ac:dyDescent="0.3">
      <c r="A180" s="3">
        <v>194</v>
      </c>
      <c r="B180" s="3" t="s">
        <v>121</v>
      </c>
      <c r="C180" s="3" t="s">
        <v>30</v>
      </c>
      <c r="D180" s="3" t="s">
        <v>31</v>
      </c>
      <c r="E180" s="3" t="s">
        <v>32</v>
      </c>
      <c r="F180" s="12">
        <v>45291</v>
      </c>
      <c r="G180" s="3">
        <v>2023</v>
      </c>
      <c r="H180" s="3" t="s">
        <v>44</v>
      </c>
      <c r="I180" s="3" t="s">
        <v>49</v>
      </c>
      <c r="J180" s="3"/>
      <c r="K180" s="3">
        <v>80</v>
      </c>
      <c r="L180" s="3">
        <v>81.91</v>
      </c>
      <c r="M180" s="3">
        <f t="shared" si="26"/>
        <v>1.0238749999999999</v>
      </c>
      <c r="N180" s="3">
        <f t="shared" si="27"/>
        <v>1.0238749999999999</v>
      </c>
      <c r="O180" s="3" t="s">
        <v>58</v>
      </c>
      <c r="P180" s="3" t="s">
        <v>58</v>
      </c>
      <c r="Q180" s="3" t="str">
        <f t="shared" si="21"/>
        <v>194-2023-12-31</v>
      </c>
      <c r="R180" s="3">
        <v>0</v>
      </c>
      <c r="S180" s="3">
        <v>0</v>
      </c>
      <c r="T180" s="3" t="s">
        <v>443</v>
      </c>
      <c r="U180" s="3" t="s">
        <v>37</v>
      </c>
      <c r="V180" s="3" t="s">
        <v>30</v>
      </c>
      <c r="W180" s="3" t="s">
        <v>112</v>
      </c>
      <c r="X180" s="3" t="s">
        <v>113</v>
      </c>
      <c r="Y180" s="3" t="s">
        <v>123</v>
      </c>
      <c r="Z180" s="3" t="s">
        <v>41</v>
      </c>
      <c r="AA180" s="3" t="s">
        <v>124</v>
      </c>
      <c r="AB180" s="3" t="s">
        <v>43</v>
      </c>
      <c r="AC180" s="3" t="s">
        <v>66</v>
      </c>
      <c r="AD180" s="3">
        <v>0</v>
      </c>
    </row>
    <row r="181" spans="1:30" x14ac:dyDescent="0.3">
      <c r="A181" s="3">
        <v>194</v>
      </c>
      <c r="B181" s="3" t="s">
        <v>121</v>
      </c>
      <c r="C181" s="3" t="s">
        <v>30</v>
      </c>
      <c r="D181" s="3" t="s">
        <v>31</v>
      </c>
      <c r="E181" s="3" t="s">
        <v>32</v>
      </c>
      <c r="F181" s="12">
        <v>45473</v>
      </c>
      <c r="G181" s="3">
        <v>2024</v>
      </c>
      <c r="H181" s="3" t="s">
        <v>33</v>
      </c>
      <c r="I181" s="3" t="s">
        <v>51</v>
      </c>
      <c r="J181" s="3">
        <v>1</v>
      </c>
      <c r="K181" s="3">
        <v>81</v>
      </c>
      <c r="L181" s="3">
        <v>83.01</v>
      </c>
      <c r="M181" s="3">
        <f t="shared" si="26"/>
        <v>1.0248148148148148</v>
      </c>
      <c r="N181" s="3">
        <f t="shared" si="27"/>
        <v>1.0248148148148148</v>
      </c>
      <c r="O181" s="3" t="s">
        <v>58</v>
      </c>
      <c r="P181" s="3" t="s">
        <v>58</v>
      </c>
      <c r="Q181" s="3" t="str">
        <f t="shared" si="21"/>
        <v>194-2024-06-30</v>
      </c>
      <c r="R181" s="3">
        <v>0</v>
      </c>
      <c r="S181" s="3">
        <v>0</v>
      </c>
      <c r="T181" s="3" t="s">
        <v>31</v>
      </c>
      <c r="U181" s="3" t="s">
        <v>37</v>
      </c>
      <c r="V181" s="3" t="s">
        <v>30</v>
      </c>
      <c r="W181" s="3" t="s">
        <v>112</v>
      </c>
      <c r="X181" s="3" t="s">
        <v>113</v>
      </c>
      <c r="Y181" s="3" t="s">
        <v>123</v>
      </c>
      <c r="Z181" s="3" t="s">
        <v>41</v>
      </c>
      <c r="AA181" s="3" t="s">
        <v>124</v>
      </c>
      <c r="AB181" s="3" t="s">
        <v>43</v>
      </c>
      <c r="AC181" s="3" t="s">
        <v>66</v>
      </c>
      <c r="AD181" s="3">
        <v>0</v>
      </c>
    </row>
    <row r="182" spans="1:30" x14ac:dyDescent="0.3">
      <c r="A182" s="3">
        <v>194</v>
      </c>
      <c r="B182" s="3" t="s">
        <v>121</v>
      </c>
      <c r="C182" s="3" t="s">
        <v>30</v>
      </c>
      <c r="D182" s="3" t="s">
        <v>31</v>
      </c>
      <c r="E182" s="3" t="s">
        <v>32</v>
      </c>
      <c r="F182" s="12">
        <v>45657</v>
      </c>
      <c r="G182" s="3">
        <v>2024</v>
      </c>
      <c r="H182" s="3" t="s">
        <v>44</v>
      </c>
      <c r="I182" s="3" t="s">
        <v>53</v>
      </c>
      <c r="J182" s="3">
        <v>2</v>
      </c>
      <c r="K182" s="3">
        <v>81</v>
      </c>
      <c r="L182" s="3">
        <v>89</v>
      </c>
      <c r="M182" s="3">
        <f t="shared" si="26"/>
        <v>1.0987654320987654</v>
      </c>
      <c r="N182" s="3">
        <f t="shared" si="27"/>
        <v>1.0987654320987654</v>
      </c>
      <c r="O182" s="3" t="s">
        <v>58</v>
      </c>
      <c r="P182" s="3" t="s">
        <v>58</v>
      </c>
      <c r="Q182" s="3" t="str">
        <f t="shared" si="21"/>
        <v>194-2024-12-31</v>
      </c>
      <c r="R182" s="3">
        <v>0</v>
      </c>
      <c r="S182" s="3">
        <v>0</v>
      </c>
      <c r="T182" s="3" t="s">
        <v>31</v>
      </c>
      <c r="U182" s="3" t="s">
        <v>37</v>
      </c>
      <c r="V182" s="3" t="s">
        <v>30</v>
      </c>
      <c r="W182" s="3" t="s">
        <v>112</v>
      </c>
      <c r="X182" s="3" t="s">
        <v>113</v>
      </c>
      <c r="Y182" s="3" t="s">
        <v>123</v>
      </c>
      <c r="Z182" s="3" t="s">
        <v>41</v>
      </c>
      <c r="AA182" s="3" t="s">
        <v>124</v>
      </c>
      <c r="AB182" s="3" t="s">
        <v>43</v>
      </c>
      <c r="AC182" s="3" t="s">
        <v>66</v>
      </c>
      <c r="AD182" s="3">
        <v>0</v>
      </c>
    </row>
    <row r="183" spans="1:30" x14ac:dyDescent="0.3">
      <c r="A183" s="3">
        <v>194</v>
      </c>
      <c r="B183" s="3" t="s">
        <v>121</v>
      </c>
      <c r="C183" s="3" t="s">
        <v>30</v>
      </c>
      <c r="D183" s="3" t="s">
        <v>31</v>
      </c>
      <c r="E183" s="3" t="s">
        <v>32</v>
      </c>
      <c r="F183" s="12">
        <v>45657</v>
      </c>
      <c r="G183" s="3">
        <v>2024</v>
      </c>
      <c r="H183" s="3" t="s">
        <v>44</v>
      </c>
      <c r="I183" s="3" t="s">
        <v>53</v>
      </c>
      <c r="J183" s="3"/>
      <c r="K183" s="3">
        <v>81</v>
      </c>
      <c r="L183" s="3">
        <v>89</v>
      </c>
      <c r="M183" s="3">
        <f t="shared" si="26"/>
        <v>1.0987654320987654</v>
      </c>
      <c r="N183" s="3">
        <f t="shared" si="27"/>
        <v>1.0987654320987654</v>
      </c>
      <c r="O183" s="3" t="s">
        <v>58</v>
      </c>
      <c r="P183" s="3" t="s">
        <v>58</v>
      </c>
      <c r="Q183" s="3" t="str">
        <f t="shared" si="21"/>
        <v>194-2024-12-31</v>
      </c>
      <c r="R183" s="3">
        <v>0</v>
      </c>
      <c r="S183" s="3">
        <v>0</v>
      </c>
      <c r="T183" s="3" t="s">
        <v>443</v>
      </c>
      <c r="U183" s="3" t="s">
        <v>37</v>
      </c>
      <c r="V183" s="3" t="s">
        <v>30</v>
      </c>
      <c r="W183" s="3" t="s">
        <v>112</v>
      </c>
      <c r="X183" s="3" t="s">
        <v>113</v>
      </c>
      <c r="Y183" s="3" t="s">
        <v>123</v>
      </c>
      <c r="Z183" s="3" t="s">
        <v>41</v>
      </c>
      <c r="AA183" s="3" t="s">
        <v>124</v>
      </c>
      <c r="AB183" s="3" t="s">
        <v>43</v>
      </c>
      <c r="AC183" s="3" t="s">
        <v>66</v>
      </c>
      <c r="AD183" s="3">
        <v>0</v>
      </c>
    </row>
    <row r="184" spans="1:30" x14ac:dyDescent="0.3">
      <c r="A184" s="3">
        <v>194</v>
      </c>
      <c r="B184" s="3" t="s">
        <v>121</v>
      </c>
      <c r="C184" s="3" t="s">
        <v>30</v>
      </c>
      <c r="D184" s="3" t="s">
        <v>31</v>
      </c>
      <c r="E184" s="3" t="s">
        <v>32</v>
      </c>
      <c r="F184" s="12">
        <v>45838</v>
      </c>
      <c r="G184" s="3">
        <v>2025</v>
      </c>
      <c r="H184" s="3" t="s">
        <v>33</v>
      </c>
      <c r="I184" s="3" t="s">
        <v>404</v>
      </c>
      <c r="J184" s="3">
        <v>1</v>
      </c>
      <c r="K184" s="3">
        <v>80</v>
      </c>
      <c r="L184" s="3">
        <v>90</v>
      </c>
      <c r="M184" s="3">
        <f t="shared" si="26"/>
        <v>1.125</v>
      </c>
      <c r="N184" s="3">
        <f t="shared" si="27"/>
        <v>1.125</v>
      </c>
      <c r="O184" s="3" t="s">
        <v>58</v>
      </c>
      <c r="P184" s="3" t="s">
        <v>58</v>
      </c>
      <c r="Q184" s="3" t="str">
        <f t="shared" si="21"/>
        <v>194-2025-06-30</v>
      </c>
      <c r="R184" s="3">
        <v>0</v>
      </c>
      <c r="S184" s="3">
        <v>0</v>
      </c>
      <c r="T184" s="3" t="s">
        <v>31</v>
      </c>
      <c r="U184" s="3" t="s">
        <v>37</v>
      </c>
      <c r="V184" s="3" t="s">
        <v>30</v>
      </c>
      <c r="W184" s="3" t="s">
        <v>112</v>
      </c>
      <c r="X184" s="3" t="s">
        <v>113</v>
      </c>
      <c r="Y184" s="3" t="s">
        <v>123</v>
      </c>
      <c r="Z184" s="3" t="s">
        <v>41</v>
      </c>
      <c r="AA184" s="3" t="s">
        <v>124</v>
      </c>
      <c r="AB184" s="3" t="s">
        <v>43</v>
      </c>
      <c r="AC184" s="3" t="s">
        <v>66</v>
      </c>
      <c r="AD184" s="3">
        <v>0</v>
      </c>
    </row>
    <row r="185" spans="1:30" x14ac:dyDescent="0.3">
      <c r="A185" s="3">
        <v>194</v>
      </c>
      <c r="B185" s="3" t="s">
        <v>121</v>
      </c>
      <c r="C185" s="3" t="s">
        <v>30</v>
      </c>
      <c r="D185" s="3" t="s">
        <v>31</v>
      </c>
      <c r="E185" s="3" t="s">
        <v>32</v>
      </c>
      <c r="F185" s="12">
        <v>46022</v>
      </c>
      <c r="G185" s="3">
        <v>2025</v>
      </c>
      <c r="H185" s="3" t="s">
        <v>44</v>
      </c>
      <c r="I185" s="3" t="s">
        <v>465</v>
      </c>
      <c r="J185" s="3">
        <v>2</v>
      </c>
      <c r="K185" s="3">
        <v>85</v>
      </c>
      <c r="L185" s="3">
        <v>89.9</v>
      </c>
      <c r="M185" s="3">
        <f t="shared" si="26"/>
        <v>1.0576470588235294</v>
      </c>
      <c r="N185" s="3">
        <f t="shared" si="27"/>
        <v>1.0576470588235294</v>
      </c>
      <c r="O185" s="3" t="s">
        <v>58</v>
      </c>
      <c r="P185" s="3" t="s">
        <v>58</v>
      </c>
      <c r="Q185" s="3" t="str">
        <f t="shared" si="21"/>
        <v>194-2025-12-31</v>
      </c>
      <c r="R185" s="3">
        <v>0</v>
      </c>
      <c r="S185" s="3">
        <v>0</v>
      </c>
      <c r="T185" s="3" t="s">
        <v>31</v>
      </c>
      <c r="U185" s="3" t="s">
        <v>37</v>
      </c>
      <c r="V185" s="3" t="s">
        <v>30</v>
      </c>
      <c r="W185" s="3" t="s">
        <v>112</v>
      </c>
      <c r="X185" s="3" t="s">
        <v>113</v>
      </c>
      <c r="Y185" s="3" t="s">
        <v>123</v>
      </c>
      <c r="Z185" s="3" t="s">
        <v>41</v>
      </c>
      <c r="AA185" s="3" t="s">
        <v>124</v>
      </c>
      <c r="AB185" s="3" t="s">
        <v>43</v>
      </c>
      <c r="AC185" s="3" t="s">
        <v>66</v>
      </c>
      <c r="AD185" s="3">
        <v>0</v>
      </c>
    </row>
    <row r="186" spans="1:30" x14ac:dyDescent="0.3">
      <c r="A186" s="3">
        <v>200</v>
      </c>
      <c r="B186" s="3" t="s">
        <v>129</v>
      </c>
      <c r="C186" s="3" t="s">
        <v>130</v>
      </c>
      <c r="D186" s="3" t="s">
        <v>66</v>
      </c>
      <c r="E186" s="3" t="s">
        <v>32</v>
      </c>
      <c r="F186" s="12">
        <v>45291</v>
      </c>
      <c r="G186" s="3">
        <v>2023</v>
      </c>
      <c r="H186" s="3" t="s">
        <v>44</v>
      </c>
      <c r="I186" s="3" t="s">
        <v>49</v>
      </c>
      <c r="J186" s="3">
        <v>2</v>
      </c>
      <c r="K186" s="3"/>
      <c r="L186" s="3">
        <v>90</v>
      </c>
      <c r="M186" s="3"/>
      <c r="N186" s="3"/>
      <c r="O186" s="3" t="s">
        <v>131</v>
      </c>
      <c r="P186" s="3" t="s">
        <v>58</v>
      </c>
      <c r="Q186" s="3" t="str">
        <f t="shared" si="21"/>
        <v>200-2023-12-31</v>
      </c>
      <c r="R186" s="3">
        <v>0</v>
      </c>
      <c r="S186" s="3">
        <v>0</v>
      </c>
      <c r="T186" s="3" t="s">
        <v>31</v>
      </c>
      <c r="U186" s="3" t="s">
        <v>37</v>
      </c>
      <c r="V186" s="3" t="s">
        <v>130</v>
      </c>
      <c r="W186" s="3" t="s">
        <v>60</v>
      </c>
      <c r="X186" s="3" t="s">
        <v>100</v>
      </c>
      <c r="Y186" s="3" t="s">
        <v>133</v>
      </c>
      <c r="Z186" s="3" t="s">
        <v>134</v>
      </c>
      <c r="AA186" s="3" t="s">
        <v>135</v>
      </c>
      <c r="AB186" s="3" t="s">
        <v>43</v>
      </c>
      <c r="AC186" s="3" t="s">
        <v>66</v>
      </c>
      <c r="AD186" s="3">
        <v>0</v>
      </c>
    </row>
    <row r="187" spans="1:30" x14ac:dyDescent="0.3">
      <c r="A187" s="3">
        <v>200</v>
      </c>
      <c r="B187" s="3" t="s">
        <v>129</v>
      </c>
      <c r="C187" s="3" t="s">
        <v>130</v>
      </c>
      <c r="D187" s="3" t="s">
        <v>66</v>
      </c>
      <c r="E187" s="3" t="s">
        <v>32</v>
      </c>
      <c r="F187" s="12">
        <v>45291</v>
      </c>
      <c r="G187" s="3">
        <v>2023</v>
      </c>
      <c r="H187" s="3" t="s">
        <v>44</v>
      </c>
      <c r="I187" s="3" t="s">
        <v>49</v>
      </c>
      <c r="J187" s="3"/>
      <c r="K187" s="3"/>
      <c r="L187" s="3">
        <v>90</v>
      </c>
      <c r="M187" s="3"/>
      <c r="N187" s="3"/>
      <c r="O187" s="3" t="s">
        <v>284</v>
      </c>
      <c r="P187" s="3" t="s">
        <v>58</v>
      </c>
      <c r="Q187" s="3" t="str">
        <f t="shared" si="21"/>
        <v>200-2023-12-31</v>
      </c>
      <c r="R187" s="3">
        <v>0</v>
      </c>
      <c r="S187" s="3">
        <v>0</v>
      </c>
      <c r="T187" s="3" t="s">
        <v>443</v>
      </c>
      <c r="U187" s="3" t="s">
        <v>37</v>
      </c>
      <c r="V187" s="3" t="s">
        <v>130</v>
      </c>
      <c r="W187" s="3" t="s">
        <v>60</v>
      </c>
      <c r="X187" s="3" t="s">
        <v>100</v>
      </c>
      <c r="Y187" s="3" t="s">
        <v>133</v>
      </c>
      <c r="Z187" s="3" t="s">
        <v>134</v>
      </c>
      <c r="AA187" s="3" t="s">
        <v>135</v>
      </c>
      <c r="AB187" s="3" t="s">
        <v>43</v>
      </c>
      <c r="AC187" s="3" t="s">
        <v>66</v>
      </c>
      <c r="AD187" s="3">
        <v>0</v>
      </c>
    </row>
    <row r="188" spans="1:30" x14ac:dyDescent="0.3">
      <c r="A188" s="3">
        <v>200</v>
      </c>
      <c r="B188" s="3" t="s">
        <v>129</v>
      </c>
      <c r="C188" s="3" t="s">
        <v>130</v>
      </c>
      <c r="D188" s="3" t="s">
        <v>66</v>
      </c>
      <c r="E188" s="3" t="s">
        <v>32</v>
      </c>
      <c r="F188" s="12">
        <v>45657</v>
      </c>
      <c r="G188" s="3">
        <v>2024</v>
      </c>
      <c r="H188" s="3" t="s">
        <v>44</v>
      </c>
      <c r="I188" s="3" t="s">
        <v>53</v>
      </c>
      <c r="J188" s="3">
        <v>2</v>
      </c>
      <c r="K188" s="3">
        <v>80</v>
      </c>
      <c r="L188" s="3">
        <v>87.4</v>
      </c>
      <c r="M188" s="3">
        <f>+L188/K188</f>
        <v>1.0925</v>
      </c>
      <c r="N188" s="3">
        <v>1.0925</v>
      </c>
      <c r="O188" s="3"/>
      <c r="P188" s="3"/>
      <c r="Q188" s="3" t="str">
        <f t="shared" si="21"/>
        <v>200-2024-12-31</v>
      </c>
      <c r="R188" s="3">
        <v>0</v>
      </c>
      <c r="S188" s="3">
        <v>0</v>
      </c>
      <c r="T188" s="3" t="s">
        <v>31</v>
      </c>
      <c r="U188" s="3" t="s">
        <v>37</v>
      </c>
      <c r="V188" s="3" t="s">
        <v>130</v>
      </c>
      <c r="W188" s="3" t="s">
        <v>60</v>
      </c>
      <c r="X188" s="3" t="s">
        <v>100</v>
      </c>
      <c r="Y188" s="3" t="s">
        <v>133</v>
      </c>
      <c r="Z188" s="3" t="s">
        <v>134</v>
      </c>
      <c r="AA188" s="3" t="s">
        <v>135</v>
      </c>
      <c r="AB188" s="3" t="s">
        <v>43</v>
      </c>
      <c r="AC188" s="3" t="s">
        <v>66</v>
      </c>
      <c r="AD188" s="3">
        <v>0</v>
      </c>
    </row>
    <row r="189" spans="1:30" x14ac:dyDescent="0.3">
      <c r="A189" s="3">
        <v>200</v>
      </c>
      <c r="B189" s="3" t="s">
        <v>129</v>
      </c>
      <c r="C189" s="3" t="s">
        <v>130</v>
      </c>
      <c r="D189" s="3" t="s">
        <v>66</v>
      </c>
      <c r="E189" s="3" t="s">
        <v>32</v>
      </c>
      <c r="F189" s="12">
        <v>45657</v>
      </c>
      <c r="G189" s="3">
        <v>2024</v>
      </c>
      <c r="H189" s="3" t="s">
        <v>44</v>
      </c>
      <c r="I189" s="3" t="s">
        <v>53</v>
      </c>
      <c r="J189" s="3"/>
      <c r="K189" s="3">
        <v>80</v>
      </c>
      <c r="L189" s="3">
        <v>87.4</v>
      </c>
      <c r="M189" s="3">
        <f>+L189/K189</f>
        <v>1.0925</v>
      </c>
      <c r="N189" s="3">
        <v>1.0925</v>
      </c>
      <c r="O189" s="3" t="s">
        <v>58</v>
      </c>
      <c r="P189" s="3" t="s">
        <v>58</v>
      </c>
      <c r="Q189" s="3" t="str">
        <f t="shared" si="21"/>
        <v>200-2024-12-31</v>
      </c>
      <c r="R189" s="3">
        <v>0</v>
      </c>
      <c r="S189" s="3">
        <v>1</v>
      </c>
      <c r="T189" s="3" t="s">
        <v>443</v>
      </c>
      <c r="U189" s="3" t="s">
        <v>37</v>
      </c>
      <c r="V189" s="3" t="s">
        <v>130</v>
      </c>
      <c r="W189" s="3" t="s">
        <v>60</v>
      </c>
      <c r="X189" s="3" t="s">
        <v>100</v>
      </c>
      <c r="Y189" s="3" t="s">
        <v>133</v>
      </c>
      <c r="Z189" s="3" t="s">
        <v>134</v>
      </c>
      <c r="AA189" s="3" t="s">
        <v>135</v>
      </c>
      <c r="AB189" s="3" t="s">
        <v>43</v>
      </c>
      <c r="AC189" s="3" t="s">
        <v>66</v>
      </c>
      <c r="AD189" s="3">
        <v>0</v>
      </c>
    </row>
    <row r="190" spans="1:30" x14ac:dyDescent="0.3">
      <c r="A190" s="3">
        <v>200</v>
      </c>
      <c r="B190" s="3" t="s">
        <v>129</v>
      </c>
      <c r="C190" s="3" t="s">
        <v>130</v>
      </c>
      <c r="D190" s="3" t="s">
        <v>66</v>
      </c>
      <c r="E190" s="3" t="s">
        <v>32</v>
      </c>
      <c r="F190" s="12">
        <v>45838</v>
      </c>
      <c r="G190" s="3">
        <v>2025</v>
      </c>
      <c r="H190" s="3" t="s">
        <v>33</v>
      </c>
      <c r="I190" s="3" t="s">
        <v>404</v>
      </c>
      <c r="J190" s="3">
        <v>1</v>
      </c>
      <c r="K190" s="3">
        <v>80</v>
      </c>
      <c r="L190" s="3">
        <v>87.4</v>
      </c>
      <c r="M190" s="3">
        <f>+L190/K190</f>
        <v>1.0925</v>
      </c>
      <c r="N190" s="3">
        <v>1.0925</v>
      </c>
      <c r="O190" s="3" t="s">
        <v>58</v>
      </c>
      <c r="P190" s="3" t="s">
        <v>58</v>
      </c>
      <c r="Q190" s="3" t="str">
        <f t="shared" si="21"/>
        <v>200-2025-06-30</v>
      </c>
      <c r="R190" s="3">
        <v>0</v>
      </c>
      <c r="S190" s="3">
        <v>1</v>
      </c>
      <c r="T190" s="3" t="s">
        <v>31</v>
      </c>
      <c r="U190" s="3" t="s">
        <v>37</v>
      </c>
      <c r="V190" s="3" t="s">
        <v>130</v>
      </c>
      <c r="W190" s="3" t="s">
        <v>60</v>
      </c>
      <c r="X190" s="3" t="s">
        <v>100</v>
      </c>
      <c r="Y190" s="3" t="s">
        <v>133</v>
      </c>
      <c r="Z190" s="3" t="s">
        <v>134</v>
      </c>
      <c r="AA190" s="3" t="s">
        <v>135</v>
      </c>
      <c r="AB190" s="3" t="s">
        <v>43</v>
      </c>
      <c r="AC190" s="3" t="s">
        <v>66</v>
      </c>
      <c r="AD190" s="3">
        <v>0</v>
      </c>
    </row>
    <row r="191" spans="1:30" x14ac:dyDescent="0.3">
      <c r="A191" s="3">
        <v>202</v>
      </c>
      <c r="B191" s="3" t="s">
        <v>137</v>
      </c>
      <c r="C191" s="3" t="s">
        <v>130</v>
      </c>
      <c r="D191" s="3" t="s">
        <v>66</v>
      </c>
      <c r="E191" s="3" t="s">
        <v>32</v>
      </c>
      <c r="F191" s="12">
        <v>43100</v>
      </c>
      <c r="G191" s="3">
        <f t="shared" ref="G191:G196" si="28">YEAR(F191)</f>
        <v>2017</v>
      </c>
      <c r="H191" s="3" t="str">
        <f t="shared" ref="H191:H196" si="29">PROPER(TEXT(F191,"mmmm"))</f>
        <v>Diciembre</v>
      </c>
      <c r="I191" s="3" t="str">
        <f t="shared" ref="I191:I196" si="30">IF(H191="Junio",G191&amp;"-1",G191&amp;"-2")</f>
        <v>2017-2</v>
      </c>
      <c r="J191" s="3"/>
      <c r="K191" s="3"/>
      <c r="L191" s="3">
        <v>64.400000000000006</v>
      </c>
      <c r="M191" s="3"/>
      <c r="N191" s="3"/>
      <c r="O191" s="3" t="s">
        <v>245</v>
      </c>
      <c r="P191" s="3" t="s">
        <v>245</v>
      </c>
      <c r="Q191" s="3" t="str">
        <f t="shared" si="21"/>
        <v>202-2017-12-31</v>
      </c>
      <c r="R191" s="3">
        <v>1</v>
      </c>
      <c r="S191" s="3">
        <v>1</v>
      </c>
      <c r="T191" s="3" t="s">
        <v>31</v>
      </c>
      <c r="U191" s="3" t="s">
        <v>37</v>
      </c>
      <c r="V191" s="3" t="s">
        <v>130</v>
      </c>
      <c r="W191" s="3" t="s">
        <v>60</v>
      </c>
      <c r="X191" s="3" t="s">
        <v>100</v>
      </c>
      <c r="Y191" s="3" t="s">
        <v>139</v>
      </c>
      <c r="Z191" s="3" t="s">
        <v>63</v>
      </c>
      <c r="AA191" s="3" t="s">
        <v>115</v>
      </c>
      <c r="AB191" s="3" t="s">
        <v>43</v>
      </c>
      <c r="AC191" s="3" t="s">
        <v>66</v>
      </c>
      <c r="AD191" s="3">
        <v>0</v>
      </c>
    </row>
    <row r="192" spans="1:30" x14ac:dyDescent="0.3">
      <c r="A192" s="3">
        <v>202</v>
      </c>
      <c r="B192" s="3" t="s">
        <v>137</v>
      </c>
      <c r="C192" s="3" t="s">
        <v>130</v>
      </c>
      <c r="D192" s="3" t="s">
        <v>66</v>
      </c>
      <c r="E192" s="3" t="s">
        <v>32</v>
      </c>
      <c r="F192" s="12">
        <v>43100</v>
      </c>
      <c r="G192" s="3">
        <f t="shared" si="28"/>
        <v>2017</v>
      </c>
      <c r="H192" s="3" t="str">
        <f t="shared" si="29"/>
        <v>Diciembre</v>
      </c>
      <c r="I192" s="3" t="str">
        <f t="shared" si="30"/>
        <v>2017-2</v>
      </c>
      <c r="J192" s="3">
        <v>2</v>
      </c>
      <c r="K192" s="3"/>
      <c r="L192" s="3">
        <v>64.400000000000006</v>
      </c>
      <c r="M192" s="3"/>
      <c r="N192" s="3"/>
      <c r="O192" s="3" t="s">
        <v>245</v>
      </c>
      <c r="P192" s="3" t="s">
        <v>245</v>
      </c>
      <c r="Q192" s="3" t="str">
        <f t="shared" si="21"/>
        <v>202-2017-12-31</v>
      </c>
      <c r="R192" s="3">
        <v>1</v>
      </c>
      <c r="S192" s="3">
        <v>1</v>
      </c>
      <c r="T192" s="3" t="s">
        <v>31</v>
      </c>
      <c r="U192" s="3" t="s">
        <v>37</v>
      </c>
      <c r="V192" s="3" t="s">
        <v>130</v>
      </c>
      <c r="W192" s="3" t="s">
        <v>60</v>
      </c>
      <c r="X192" s="3" t="s">
        <v>100</v>
      </c>
      <c r="Y192" s="3" t="s">
        <v>139</v>
      </c>
      <c r="Z192" s="3" t="s">
        <v>63</v>
      </c>
      <c r="AA192" s="3" t="s">
        <v>115</v>
      </c>
      <c r="AB192" s="3" t="s">
        <v>43</v>
      </c>
      <c r="AC192" s="3" t="s">
        <v>66</v>
      </c>
      <c r="AD192" s="3">
        <v>0</v>
      </c>
    </row>
    <row r="193" spans="1:30" x14ac:dyDescent="0.3">
      <c r="A193" s="3">
        <v>202</v>
      </c>
      <c r="B193" s="3" t="s">
        <v>137</v>
      </c>
      <c r="C193" s="3" t="s">
        <v>130</v>
      </c>
      <c r="D193" s="3" t="s">
        <v>66</v>
      </c>
      <c r="E193" s="3" t="s">
        <v>32</v>
      </c>
      <c r="F193" s="12">
        <v>43830</v>
      </c>
      <c r="G193" s="3">
        <f t="shared" si="28"/>
        <v>2019</v>
      </c>
      <c r="H193" s="3" t="str">
        <f t="shared" si="29"/>
        <v>Diciembre</v>
      </c>
      <c r="I193" s="3" t="str">
        <f t="shared" si="30"/>
        <v>2019-2</v>
      </c>
      <c r="J193" s="3">
        <v>2</v>
      </c>
      <c r="K193" s="3"/>
      <c r="L193" s="3">
        <v>77.099999999999994</v>
      </c>
      <c r="M193" s="3"/>
      <c r="N193" s="3"/>
      <c r="O193" s="3" t="s">
        <v>245</v>
      </c>
      <c r="P193" s="3" t="s">
        <v>245</v>
      </c>
      <c r="Q193" s="3" t="str">
        <f t="shared" si="21"/>
        <v>202-2019-12-31</v>
      </c>
      <c r="R193" s="3">
        <v>1</v>
      </c>
      <c r="S193" s="3">
        <v>1</v>
      </c>
      <c r="T193" s="3" t="s">
        <v>31</v>
      </c>
      <c r="U193" s="3" t="s">
        <v>37</v>
      </c>
      <c r="V193" s="3" t="s">
        <v>130</v>
      </c>
      <c r="W193" s="3" t="s">
        <v>60</v>
      </c>
      <c r="X193" s="3" t="s">
        <v>100</v>
      </c>
      <c r="Y193" s="3" t="s">
        <v>139</v>
      </c>
      <c r="Z193" s="3" t="s">
        <v>63</v>
      </c>
      <c r="AA193" s="3" t="s">
        <v>115</v>
      </c>
      <c r="AB193" s="3" t="s">
        <v>43</v>
      </c>
      <c r="AC193" s="3" t="s">
        <v>66</v>
      </c>
      <c r="AD193" s="3">
        <v>0</v>
      </c>
    </row>
    <row r="194" spans="1:30" x14ac:dyDescent="0.3">
      <c r="A194" s="3">
        <v>202</v>
      </c>
      <c r="B194" s="3" t="s">
        <v>137</v>
      </c>
      <c r="C194" s="3" t="s">
        <v>130</v>
      </c>
      <c r="D194" s="3" t="s">
        <v>66</v>
      </c>
      <c r="E194" s="3" t="s">
        <v>32</v>
      </c>
      <c r="F194" s="12">
        <v>43830</v>
      </c>
      <c r="G194" s="3">
        <f t="shared" si="28"/>
        <v>2019</v>
      </c>
      <c r="H194" s="3" t="str">
        <f t="shared" si="29"/>
        <v>Diciembre</v>
      </c>
      <c r="I194" s="3" t="str">
        <f t="shared" si="30"/>
        <v>2019-2</v>
      </c>
      <c r="J194" s="3"/>
      <c r="K194" s="3"/>
      <c r="L194" s="3">
        <v>77.099999999999994</v>
      </c>
      <c r="M194" s="3"/>
      <c r="N194" s="3"/>
      <c r="O194" s="3" t="s">
        <v>245</v>
      </c>
      <c r="P194" s="3" t="s">
        <v>245</v>
      </c>
      <c r="Q194" s="3" t="str">
        <f t="shared" si="21"/>
        <v>202-2019-12-31</v>
      </c>
      <c r="R194" s="3">
        <v>1</v>
      </c>
      <c r="S194" s="3">
        <v>1</v>
      </c>
      <c r="T194" s="3" t="s">
        <v>31</v>
      </c>
      <c r="U194" s="3" t="s">
        <v>37</v>
      </c>
      <c r="V194" s="3" t="s">
        <v>130</v>
      </c>
      <c r="W194" s="3" t="s">
        <v>60</v>
      </c>
      <c r="X194" s="3" t="s">
        <v>100</v>
      </c>
      <c r="Y194" s="3" t="s">
        <v>139</v>
      </c>
      <c r="Z194" s="3" t="s">
        <v>63</v>
      </c>
      <c r="AA194" s="3" t="s">
        <v>115</v>
      </c>
      <c r="AB194" s="3" t="s">
        <v>43</v>
      </c>
      <c r="AC194" s="3" t="s">
        <v>66</v>
      </c>
      <c r="AD194" s="3">
        <v>0</v>
      </c>
    </row>
    <row r="195" spans="1:30" x14ac:dyDescent="0.3">
      <c r="A195" s="3">
        <v>202</v>
      </c>
      <c r="B195" s="3" t="s">
        <v>137</v>
      </c>
      <c r="C195" s="3" t="s">
        <v>130</v>
      </c>
      <c r="D195" s="3" t="s">
        <v>66</v>
      </c>
      <c r="E195" s="3" t="s">
        <v>32</v>
      </c>
      <c r="F195" s="12">
        <v>44561</v>
      </c>
      <c r="G195" s="3">
        <f t="shared" si="28"/>
        <v>2021</v>
      </c>
      <c r="H195" s="3" t="str">
        <f t="shared" si="29"/>
        <v>Diciembre</v>
      </c>
      <c r="I195" s="3" t="str">
        <f t="shared" si="30"/>
        <v>2021-2</v>
      </c>
      <c r="J195" s="3">
        <v>2</v>
      </c>
      <c r="K195" s="3"/>
      <c r="L195" s="3">
        <v>61.7</v>
      </c>
      <c r="M195" s="3"/>
      <c r="N195" s="3"/>
      <c r="O195" s="3" t="s">
        <v>245</v>
      </c>
      <c r="P195" s="3" t="s">
        <v>245</v>
      </c>
      <c r="Q195" s="3" t="str">
        <f t="shared" ref="Q195:Q258" si="31">A195&amp;"-"&amp;YEAR(F195)&amp;"-"&amp;IF(LEN(MONTH(F195))=1,"0"&amp;MONTH(F195),MONTH(F195))&amp;"-"&amp;IF(LEN(DAY(F195))=1,"0"&amp;DAY(F195),DAY(F195))</f>
        <v>202-2021-12-31</v>
      </c>
      <c r="R195" s="3">
        <v>1</v>
      </c>
      <c r="S195" s="3">
        <v>1</v>
      </c>
      <c r="T195" s="3" t="s">
        <v>31</v>
      </c>
      <c r="U195" s="3" t="s">
        <v>37</v>
      </c>
      <c r="V195" s="3" t="s">
        <v>130</v>
      </c>
      <c r="W195" s="3" t="s">
        <v>60</v>
      </c>
      <c r="X195" s="3" t="s">
        <v>100</v>
      </c>
      <c r="Y195" s="3" t="s">
        <v>139</v>
      </c>
      <c r="Z195" s="3" t="s">
        <v>63</v>
      </c>
      <c r="AA195" s="3" t="s">
        <v>115</v>
      </c>
      <c r="AB195" s="3" t="s">
        <v>43</v>
      </c>
      <c r="AC195" s="3" t="s">
        <v>66</v>
      </c>
      <c r="AD195" s="3">
        <v>0</v>
      </c>
    </row>
    <row r="196" spans="1:30" x14ac:dyDescent="0.3">
      <c r="A196" s="3">
        <v>202</v>
      </c>
      <c r="B196" s="3" t="s">
        <v>137</v>
      </c>
      <c r="C196" s="3" t="s">
        <v>130</v>
      </c>
      <c r="D196" s="3" t="s">
        <v>66</v>
      </c>
      <c r="E196" s="3" t="s">
        <v>32</v>
      </c>
      <c r="F196" s="12">
        <v>44561</v>
      </c>
      <c r="G196" s="3">
        <f t="shared" si="28"/>
        <v>2021</v>
      </c>
      <c r="H196" s="3" t="str">
        <f t="shared" si="29"/>
        <v>Diciembre</v>
      </c>
      <c r="I196" s="3" t="str">
        <f t="shared" si="30"/>
        <v>2021-2</v>
      </c>
      <c r="J196" s="3"/>
      <c r="K196" s="3"/>
      <c r="L196" s="3">
        <v>61.7</v>
      </c>
      <c r="M196" s="3"/>
      <c r="N196" s="3"/>
      <c r="O196" s="3" t="s">
        <v>245</v>
      </c>
      <c r="P196" s="3" t="s">
        <v>245</v>
      </c>
      <c r="Q196" s="3" t="str">
        <f t="shared" si="31"/>
        <v>202-2021-12-31</v>
      </c>
      <c r="R196" s="3">
        <v>1</v>
      </c>
      <c r="S196" s="3">
        <v>1</v>
      </c>
      <c r="T196" s="3" t="s">
        <v>31</v>
      </c>
      <c r="U196" s="3" t="s">
        <v>37</v>
      </c>
      <c r="V196" s="3" t="s">
        <v>130</v>
      </c>
      <c r="W196" s="3" t="s">
        <v>60</v>
      </c>
      <c r="X196" s="3" t="s">
        <v>100</v>
      </c>
      <c r="Y196" s="3" t="s">
        <v>139</v>
      </c>
      <c r="Z196" s="3" t="s">
        <v>63</v>
      </c>
      <c r="AA196" s="3" t="s">
        <v>115</v>
      </c>
      <c r="AB196" s="3" t="s">
        <v>43</v>
      </c>
      <c r="AC196" s="3" t="s">
        <v>66</v>
      </c>
      <c r="AD196" s="3">
        <v>0</v>
      </c>
    </row>
    <row r="197" spans="1:30" x14ac:dyDescent="0.3">
      <c r="A197" s="3">
        <v>202</v>
      </c>
      <c r="B197" s="3" t="s">
        <v>137</v>
      </c>
      <c r="C197" s="3" t="s">
        <v>130</v>
      </c>
      <c r="D197" s="3" t="s">
        <v>66</v>
      </c>
      <c r="E197" s="3" t="s">
        <v>32</v>
      </c>
      <c r="F197" s="12">
        <v>45291</v>
      </c>
      <c r="G197" s="3">
        <v>2023</v>
      </c>
      <c r="H197" s="3" t="s">
        <v>44</v>
      </c>
      <c r="I197" s="3" t="s">
        <v>49</v>
      </c>
      <c r="J197" s="3">
        <v>2</v>
      </c>
      <c r="K197" s="3">
        <v>66</v>
      </c>
      <c r="L197" s="3">
        <v>64.7</v>
      </c>
      <c r="M197" s="3">
        <f>+L197/K197</f>
        <v>0.98030303030303034</v>
      </c>
      <c r="N197" s="3">
        <f>+L197/K197</f>
        <v>0.98030303030303034</v>
      </c>
      <c r="O197" s="3" t="s">
        <v>35</v>
      </c>
      <c r="P197" s="3" t="s">
        <v>245</v>
      </c>
      <c r="Q197" s="3" t="str">
        <f t="shared" si="31"/>
        <v>202-2023-12-31</v>
      </c>
      <c r="R197" s="3">
        <v>1</v>
      </c>
      <c r="S197" s="3">
        <v>1</v>
      </c>
      <c r="T197" s="3" t="s">
        <v>31</v>
      </c>
      <c r="U197" s="3" t="s">
        <v>37</v>
      </c>
      <c r="V197" s="3" t="s">
        <v>130</v>
      </c>
      <c r="W197" s="3" t="s">
        <v>60</v>
      </c>
      <c r="X197" s="3" t="s">
        <v>100</v>
      </c>
      <c r="Y197" s="3" t="s">
        <v>139</v>
      </c>
      <c r="Z197" s="3" t="s">
        <v>63</v>
      </c>
      <c r="AA197" s="3" t="s">
        <v>115</v>
      </c>
      <c r="AB197" s="3" t="s">
        <v>43</v>
      </c>
      <c r="AC197" s="3" t="s">
        <v>66</v>
      </c>
      <c r="AD197" s="3">
        <v>0</v>
      </c>
    </row>
    <row r="198" spans="1:30" x14ac:dyDescent="0.3">
      <c r="A198" s="3">
        <v>202</v>
      </c>
      <c r="B198" s="3" t="s">
        <v>137</v>
      </c>
      <c r="C198" s="3" t="s">
        <v>130</v>
      </c>
      <c r="D198" s="3" t="s">
        <v>66</v>
      </c>
      <c r="E198" s="3" t="s">
        <v>32</v>
      </c>
      <c r="F198" s="12">
        <v>45291</v>
      </c>
      <c r="G198" s="3">
        <v>2023</v>
      </c>
      <c r="H198" s="3" t="s">
        <v>44</v>
      </c>
      <c r="I198" s="3" t="s">
        <v>49</v>
      </c>
      <c r="J198" s="3"/>
      <c r="K198" s="3">
        <v>66</v>
      </c>
      <c r="L198" s="3">
        <v>64.7</v>
      </c>
      <c r="M198" s="3">
        <f>+L198/K198</f>
        <v>0.98030303030303034</v>
      </c>
      <c r="N198" s="3">
        <f>+L198/K198</f>
        <v>0.98030303030303034</v>
      </c>
      <c r="O198" s="3" t="s">
        <v>35</v>
      </c>
      <c r="P198" s="3" t="s">
        <v>245</v>
      </c>
      <c r="Q198" s="3" t="str">
        <f t="shared" si="31"/>
        <v>202-2023-12-31</v>
      </c>
      <c r="R198" s="3">
        <v>1</v>
      </c>
      <c r="S198" s="3">
        <v>1</v>
      </c>
      <c r="T198" s="3" t="s">
        <v>443</v>
      </c>
      <c r="U198" s="3" t="s">
        <v>37</v>
      </c>
      <c r="V198" s="3" t="s">
        <v>130</v>
      </c>
      <c r="W198" s="3" t="s">
        <v>60</v>
      </c>
      <c r="X198" s="3" t="s">
        <v>100</v>
      </c>
      <c r="Y198" s="3" t="s">
        <v>139</v>
      </c>
      <c r="Z198" s="3" t="s">
        <v>63</v>
      </c>
      <c r="AA198" s="3" t="s">
        <v>115</v>
      </c>
      <c r="AB198" s="3" t="s">
        <v>43</v>
      </c>
      <c r="AC198" s="3" t="s">
        <v>66</v>
      </c>
      <c r="AD198" s="3">
        <v>0</v>
      </c>
    </row>
    <row r="199" spans="1:30" x14ac:dyDescent="0.3">
      <c r="A199" s="3">
        <v>202</v>
      </c>
      <c r="B199" s="3" t="s">
        <v>137</v>
      </c>
      <c r="C199" s="3" t="s">
        <v>130</v>
      </c>
      <c r="D199" s="3" t="s">
        <v>66</v>
      </c>
      <c r="E199" s="3" t="s">
        <v>32</v>
      </c>
      <c r="F199" s="12">
        <v>45838</v>
      </c>
      <c r="G199" s="3">
        <v>2025</v>
      </c>
      <c r="H199" s="3" t="s">
        <v>44</v>
      </c>
      <c r="I199" s="3" t="s">
        <v>465</v>
      </c>
      <c r="J199" s="3">
        <v>2</v>
      </c>
      <c r="K199" s="3">
        <v>68.7</v>
      </c>
      <c r="L199" s="3">
        <v>81</v>
      </c>
      <c r="M199" s="3">
        <f>+L199/K199</f>
        <v>1.1790393013100435</v>
      </c>
      <c r="N199" s="3">
        <f>+L199/K199</f>
        <v>1.1790393013100435</v>
      </c>
      <c r="O199" s="3" t="s">
        <v>245</v>
      </c>
      <c r="P199" s="3" t="s">
        <v>35</v>
      </c>
      <c r="Q199" s="3" t="str">
        <f t="shared" si="31"/>
        <v>202-2025-06-30</v>
      </c>
      <c r="R199" s="3">
        <v>1</v>
      </c>
      <c r="S199" s="3">
        <v>1</v>
      </c>
      <c r="T199" s="3" t="s">
        <v>31</v>
      </c>
      <c r="U199" s="3" t="s">
        <v>37</v>
      </c>
      <c r="V199" s="3" t="s">
        <v>130</v>
      </c>
      <c r="W199" s="3" t="s">
        <v>60</v>
      </c>
      <c r="X199" s="3" t="s">
        <v>100</v>
      </c>
      <c r="Y199" s="3" t="s">
        <v>139</v>
      </c>
      <c r="Z199" s="3" t="s">
        <v>63</v>
      </c>
      <c r="AA199" s="3" t="s">
        <v>115</v>
      </c>
      <c r="AB199" s="3" t="s">
        <v>43</v>
      </c>
      <c r="AC199" s="3" t="s">
        <v>66</v>
      </c>
      <c r="AD199" s="3">
        <v>0</v>
      </c>
    </row>
    <row r="200" spans="1:30" x14ac:dyDescent="0.3">
      <c r="A200" s="3">
        <v>202</v>
      </c>
      <c r="B200" s="3" t="s">
        <v>137</v>
      </c>
      <c r="C200" s="3" t="s">
        <v>130</v>
      </c>
      <c r="D200" s="3" t="s">
        <v>66</v>
      </c>
      <c r="E200" s="3" t="s">
        <v>32</v>
      </c>
      <c r="F200" s="12">
        <v>46022</v>
      </c>
      <c r="G200" s="3">
        <v>2025</v>
      </c>
      <c r="H200" s="3" t="s">
        <v>44</v>
      </c>
      <c r="I200" s="3" t="s">
        <v>465</v>
      </c>
      <c r="J200" s="3"/>
      <c r="K200" s="3">
        <v>68.7</v>
      </c>
      <c r="L200" s="3">
        <v>81</v>
      </c>
      <c r="M200" s="3">
        <f>+L200/K200</f>
        <v>1.1790393013100435</v>
      </c>
      <c r="N200" s="3">
        <f>+L200/K200</f>
        <v>1.1790393013100435</v>
      </c>
      <c r="O200" s="3" t="s">
        <v>245</v>
      </c>
      <c r="P200" s="3" t="s">
        <v>35</v>
      </c>
      <c r="Q200" s="3" t="str">
        <f t="shared" si="31"/>
        <v>202-2025-12-31</v>
      </c>
      <c r="R200" s="3">
        <v>1</v>
      </c>
      <c r="S200" s="3">
        <v>1</v>
      </c>
      <c r="T200" s="3" t="s">
        <v>443</v>
      </c>
      <c r="U200" s="3" t="s">
        <v>37</v>
      </c>
      <c r="V200" s="3" t="s">
        <v>130</v>
      </c>
      <c r="W200" s="3" t="s">
        <v>60</v>
      </c>
      <c r="X200" s="3" t="s">
        <v>100</v>
      </c>
      <c r="Y200" s="3" t="s">
        <v>139</v>
      </c>
      <c r="Z200" s="3" t="s">
        <v>63</v>
      </c>
      <c r="AA200" s="3" t="s">
        <v>115</v>
      </c>
      <c r="AB200" s="3" t="s">
        <v>43</v>
      </c>
      <c r="AC200" s="3" t="s">
        <v>66</v>
      </c>
      <c r="AD200" s="3">
        <v>0</v>
      </c>
    </row>
    <row r="201" spans="1:30" x14ac:dyDescent="0.3">
      <c r="A201" s="3">
        <v>203</v>
      </c>
      <c r="B201" s="3" t="s">
        <v>141</v>
      </c>
      <c r="C201" s="3" t="s">
        <v>142</v>
      </c>
      <c r="D201" s="3" t="s">
        <v>31</v>
      </c>
      <c r="E201" s="3" t="s">
        <v>32</v>
      </c>
      <c r="F201" s="12">
        <v>44742</v>
      </c>
      <c r="G201" s="3">
        <v>2022</v>
      </c>
      <c r="H201" s="3" t="s">
        <v>33</v>
      </c>
      <c r="I201" s="3" t="s">
        <v>34</v>
      </c>
      <c r="J201" s="3">
        <v>1</v>
      </c>
      <c r="K201" s="3">
        <v>113672</v>
      </c>
      <c r="L201" s="3">
        <v>119144</v>
      </c>
      <c r="M201" s="3">
        <f t="shared" ref="M201:M210" si="32">+L201/K201</f>
        <v>1.0481385037652193</v>
      </c>
      <c r="N201" s="3">
        <f>+L201/K201</f>
        <v>1.0481385037652193</v>
      </c>
      <c r="O201" s="3" t="s">
        <v>143</v>
      </c>
      <c r="P201" s="3" t="s">
        <v>143</v>
      </c>
      <c r="Q201" s="3" t="str">
        <f t="shared" si="31"/>
        <v>203-2022-06-30</v>
      </c>
      <c r="R201" s="3">
        <v>0</v>
      </c>
      <c r="S201" s="3">
        <v>0</v>
      </c>
      <c r="T201" s="3" t="s">
        <v>31</v>
      </c>
      <c r="U201" s="3" t="s">
        <v>37</v>
      </c>
      <c r="V201" s="3" t="s">
        <v>142</v>
      </c>
      <c r="W201" s="3" t="s">
        <v>145</v>
      </c>
      <c r="X201" s="3" t="s">
        <v>146</v>
      </c>
      <c r="Y201" s="3" t="s">
        <v>147</v>
      </c>
      <c r="Z201" s="3" t="s">
        <v>63</v>
      </c>
      <c r="AA201" s="3" t="s">
        <v>148</v>
      </c>
      <c r="AB201" s="3" t="s">
        <v>78</v>
      </c>
      <c r="AC201" s="3" t="s">
        <v>66</v>
      </c>
      <c r="AD201" s="3">
        <v>0</v>
      </c>
    </row>
    <row r="202" spans="1:30" x14ac:dyDescent="0.3">
      <c r="A202" s="3">
        <v>203</v>
      </c>
      <c r="B202" s="3" t="s">
        <v>141</v>
      </c>
      <c r="C202" s="3" t="s">
        <v>142</v>
      </c>
      <c r="D202" s="3" t="s">
        <v>31</v>
      </c>
      <c r="E202" s="3" t="s">
        <v>32</v>
      </c>
      <c r="F202" s="12">
        <v>44926</v>
      </c>
      <c r="G202" s="3">
        <v>2022</v>
      </c>
      <c r="H202" s="3" t="s">
        <v>44</v>
      </c>
      <c r="I202" s="3" t="s">
        <v>45</v>
      </c>
      <c r="J202" s="3">
        <v>2</v>
      </c>
      <c r="K202" s="3">
        <v>110768</v>
      </c>
      <c r="L202" s="3">
        <v>121738</v>
      </c>
      <c r="M202" s="3">
        <f t="shared" si="32"/>
        <v>1.0990358226202512</v>
      </c>
      <c r="N202" s="3">
        <f t="shared" ref="N202:N210" si="33">+L202/K202</f>
        <v>1.0990358226202512</v>
      </c>
      <c r="O202" s="3" t="s">
        <v>143</v>
      </c>
      <c r="P202" s="3" t="s">
        <v>143</v>
      </c>
      <c r="Q202" s="3" t="str">
        <f t="shared" si="31"/>
        <v>203-2022-12-31</v>
      </c>
      <c r="R202" s="3">
        <v>0</v>
      </c>
      <c r="S202" s="3">
        <v>0</v>
      </c>
      <c r="T202" s="3" t="s">
        <v>31</v>
      </c>
      <c r="U202" s="3" t="s">
        <v>37</v>
      </c>
      <c r="V202" s="3" t="s">
        <v>142</v>
      </c>
      <c r="W202" s="3" t="s">
        <v>145</v>
      </c>
      <c r="X202" s="3" t="s">
        <v>146</v>
      </c>
      <c r="Y202" s="3" t="s">
        <v>147</v>
      </c>
      <c r="Z202" s="3" t="s">
        <v>63</v>
      </c>
      <c r="AA202" s="3" t="s">
        <v>148</v>
      </c>
      <c r="AB202" s="3" t="s">
        <v>78</v>
      </c>
      <c r="AC202" s="3" t="s">
        <v>66</v>
      </c>
      <c r="AD202" s="3">
        <v>0</v>
      </c>
    </row>
    <row r="203" spans="1:30" x14ac:dyDescent="0.3">
      <c r="A203" s="3">
        <v>203</v>
      </c>
      <c r="B203" s="3" t="s">
        <v>141</v>
      </c>
      <c r="C203" s="3" t="s">
        <v>142</v>
      </c>
      <c r="D203" s="3" t="s">
        <v>31</v>
      </c>
      <c r="E203" s="3" t="s">
        <v>32</v>
      </c>
      <c r="F203" s="12">
        <v>44926</v>
      </c>
      <c r="G203" s="3">
        <v>2022</v>
      </c>
      <c r="H203" s="3" t="s">
        <v>44</v>
      </c>
      <c r="I203" s="3" t="s">
        <v>45</v>
      </c>
      <c r="J203" s="3"/>
      <c r="K203" s="3">
        <v>224440</v>
      </c>
      <c r="L203" s="3">
        <v>241706</v>
      </c>
      <c r="M203" s="3">
        <f t="shared" si="32"/>
        <v>1.0769292461236857</v>
      </c>
      <c r="N203" s="3">
        <f t="shared" si="33"/>
        <v>1.0769292461236857</v>
      </c>
      <c r="O203" s="3" t="s">
        <v>143</v>
      </c>
      <c r="P203" s="3" t="s">
        <v>143</v>
      </c>
      <c r="Q203" s="3" t="str">
        <f t="shared" si="31"/>
        <v>203-2022-12-31</v>
      </c>
      <c r="R203" s="3">
        <v>0</v>
      </c>
      <c r="S203" s="3">
        <v>0</v>
      </c>
      <c r="T203" s="3" t="s">
        <v>443</v>
      </c>
      <c r="U203" s="3" t="s">
        <v>37</v>
      </c>
      <c r="V203" s="3" t="s">
        <v>142</v>
      </c>
      <c r="W203" s="3" t="s">
        <v>145</v>
      </c>
      <c r="X203" s="3" t="s">
        <v>146</v>
      </c>
      <c r="Y203" s="3" t="s">
        <v>147</v>
      </c>
      <c r="Z203" s="3" t="s">
        <v>63</v>
      </c>
      <c r="AA203" s="3" t="s">
        <v>148</v>
      </c>
      <c r="AB203" s="3" t="s">
        <v>78</v>
      </c>
      <c r="AC203" s="3" t="s">
        <v>66</v>
      </c>
      <c r="AD203" s="3">
        <v>0</v>
      </c>
    </row>
    <row r="204" spans="1:30" x14ac:dyDescent="0.3">
      <c r="A204" s="3">
        <v>203</v>
      </c>
      <c r="B204" s="3" t="s">
        <v>141</v>
      </c>
      <c r="C204" s="3" t="s">
        <v>142</v>
      </c>
      <c r="D204" s="3" t="s">
        <v>31</v>
      </c>
      <c r="E204" s="3" t="s">
        <v>32</v>
      </c>
      <c r="F204" s="12">
        <v>45107</v>
      </c>
      <c r="G204" s="3">
        <v>2023</v>
      </c>
      <c r="H204" s="3" t="s">
        <v>33</v>
      </c>
      <c r="I204" s="3" t="s">
        <v>47</v>
      </c>
      <c r="J204" s="3">
        <v>1</v>
      </c>
      <c r="K204" s="3">
        <v>123465.69985999999</v>
      </c>
      <c r="L204" s="3">
        <v>129185.069909</v>
      </c>
      <c r="M204" s="3">
        <f t="shared" si="32"/>
        <v>1.0463235542785188</v>
      </c>
      <c r="N204" s="3">
        <f t="shared" si="33"/>
        <v>1.0463235542785188</v>
      </c>
      <c r="O204" s="3" t="s">
        <v>143</v>
      </c>
      <c r="P204" s="3" t="s">
        <v>143</v>
      </c>
      <c r="Q204" s="3" t="str">
        <f t="shared" si="31"/>
        <v>203-2023-06-30</v>
      </c>
      <c r="R204" s="3">
        <v>0</v>
      </c>
      <c r="S204" s="3">
        <v>0</v>
      </c>
      <c r="T204" s="3" t="s">
        <v>31</v>
      </c>
      <c r="U204" s="3" t="s">
        <v>37</v>
      </c>
      <c r="V204" s="3" t="s">
        <v>142</v>
      </c>
      <c r="W204" s="3" t="s">
        <v>145</v>
      </c>
      <c r="X204" s="3" t="s">
        <v>146</v>
      </c>
      <c r="Y204" s="3" t="s">
        <v>147</v>
      </c>
      <c r="Z204" s="3" t="s">
        <v>63</v>
      </c>
      <c r="AA204" s="3" t="s">
        <v>148</v>
      </c>
      <c r="AB204" s="3" t="s">
        <v>78</v>
      </c>
      <c r="AC204" s="3" t="s">
        <v>66</v>
      </c>
      <c r="AD204" s="3">
        <v>0</v>
      </c>
    </row>
    <row r="205" spans="1:30" x14ac:dyDescent="0.3">
      <c r="A205" s="3">
        <v>203</v>
      </c>
      <c r="B205" s="3" t="s">
        <v>141</v>
      </c>
      <c r="C205" s="3" t="s">
        <v>142</v>
      </c>
      <c r="D205" s="3" t="s">
        <v>31</v>
      </c>
      <c r="E205" s="3" t="s">
        <v>32</v>
      </c>
      <c r="F205" s="12">
        <v>45291</v>
      </c>
      <c r="G205" s="3">
        <v>2023</v>
      </c>
      <c r="H205" s="3" t="s">
        <v>44</v>
      </c>
      <c r="I205" s="3" t="s">
        <v>49</v>
      </c>
      <c r="J205" s="3">
        <v>2</v>
      </c>
      <c r="K205" s="3">
        <v>141378.739416</v>
      </c>
      <c r="L205" s="3">
        <v>144681.981019</v>
      </c>
      <c r="M205" s="3">
        <f t="shared" si="32"/>
        <v>1.0233644861783664</v>
      </c>
      <c r="N205" s="3">
        <f t="shared" si="33"/>
        <v>1.0233644861783664</v>
      </c>
      <c r="O205" s="3" t="s">
        <v>143</v>
      </c>
      <c r="P205" s="3" t="s">
        <v>143</v>
      </c>
      <c r="Q205" s="3" t="str">
        <f t="shared" si="31"/>
        <v>203-2023-12-31</v>
      </c>
      <c r="R205" s="3">
        <v>0</v>
      </c>
      <c r="S205" s="3">
        <v>0</v>
      </c>
      <c r="T205" s="3" t="s">
        <v>31</v>
      </c>
      <c r="U205" s="3" t="s">
        <v>37</v>
      </c>
      <c r="V205" s="3" t="s">
        <v>142</v>
      </c>
      <c r="W205" s="3" t="s">
        <v>145</v>
      </c>
      <c r="X205" s="3" t="s">
        <v>146</v>
      </c>
      <c r="Y205" s="3" t="s">
        <v>147</v>
      </c>
      <c r="Z205" s="3" t="s">
        <v>63</v>
      </c>
      <c r="AA205" s="3" t="s">
        <v>148</v>
      </c>
      <c r="AB205" s="3" t="s">
        <v>78</v>
      </c>
      <c r="AC205" s="3" t="s">
        <v>66</v>
      </c>
      <c r="AD205" s="3">
        <v>0</v>
      </c>
    </row>
    <row r="206" spans="1:30" x14ac:dyDescent="0.3">
      <c r="A206" s="3">
        <v>203</v>
      </c>
      <c r="B206" s="3" t="s">
        <v>141</v>
      </c>
      <c r="C206" s="3" t="s">
        <v>142</v>
      </c>
      <c r="D206" s="3" t="s">
        <v>31</v>
      </c>
      <c r="E206" s="3" t="s">
        <v>32</v>
      </c>
      <c r="F206" s="12">
        <v>45291</v>
      </c>
      <c r="G206" s="3">
        <v>2023</v>
      </c>
      <c r="H206" s="3" t="s">
        <v>44</v>
      </c>
      <c r="I206" s="3" t="s">
        <v>49</v>
      </c>
      <c r="J206" s="3"/>
      <c r="K206" s="3">
        <v>264844.43927600002</v>
      </c>
      <c r="L206" s="3">
        <v>273867.05092800001</v>
      </c>
      <c r="M206" s="3">
        <f t="shared" si="32"/>
        <v>1.0340675895505487</v>
      </c>
      <c r="N206" s="3">
        <f t="shared" si="33"/>
        <v>1.0340675895505487</v>
      </c>
      <c r="O206" s="3" t="s">
        <v>143</v>
      </c>
      <c r="P206" s="3" t="s">
        <v>143</v>
      </c>
      <c r="Q206" s="3" t="str">
        <f t="shared" si="31"/>
        <v>203-2023-12-31</v>
      </c>
      <c r="R206" s="3">
        <v>0</v>
      </c>
      <c r="S206" s="3">
        <v>0</v>
      </c>
      <c r="T206" s="3" t="s">
        <v>443</v>
      </c>
      <c r="U206" s="3" t="s">
        <v>37</v>
      </c>
      <c r="V206" s="3" t="s">
        <v>142</v>
      </c>
      <c r="W206" s="3" t="s">
        <v>145</v>
      </c>
      <c r="X206" s="3" t="s">
        <v>146</v>
      </c>
      <c r="Y206" s="3" t="s">
        <v>147</v>
      </c>
      <c r="Z206" s="3" t="s">
        <v>63</v>
      </c>
      <c r="AA206" s="3" t="s">
        <v>148</v>
      </c>
      <c r="AB206" s="3" t="s">
        <v>78</v>
      </c>
      <c r="AC206" s="3" t="s">
        <v>66</v>
      </c>
      <c r="AD206" s="3">
        <v>0</v>
      </c>
    </row>
    <row r="207" spans="1:30" x14ac:dyDescent="0.3">
      <c r="A207" s="3">
        <v>203</v>
      </c>
      <c r="B207" s="3" t="s">
        <v>141</v>
      </c>
      <c r="C207" s="3" t="s">
        <v>142</v>
      </c>
      <c r="D207" s="3" t="s">
        <v>31</v>
      </c>
      <c r="E207" s="3" t="s">
        <v>32</v>
      </c>
      <c r="F207" s="12">
        <v>45473</v>
      </c>
      <c r="G207" s="3">
        <v>2024</v>
      </c>
      <c r="H207" s="3" t="s">
        <v>33</v>
      </c>
      <c r="I207" s="3" t="s">
        <v>51</v>
      </c>
      <c r="J207" s="3">
        <v>1</v>
      </c>
      <c r="K207" s="3">
        <v>142872.2583337345</v>
      </c>
      <c r="L207" s="3">
        <v>145741.54103414001</v>
      </c>
      <c r="M207" s="3">
        <f t="shared" si="32"/>
        <v>1.0200828539694751</v>
      </c>
      <c r="N207" s="3">
        <f t="shared" si="33"/>
        <v>1.0200828539694751</v>
      </c>
      <c r="O207" s="3" t="s">
        <v>143</v>
      </c>
      <c r="P207" s="3" t="s">
        <v>143</v>
      </c>
      <c r="Q207" s="3" t="str">
        <f t="shared" si="31"/>
        <v>203-2024-06-30</v>
      </c>
      <c r="R207" s="3">
        <v>0</v>
      </c>
      <c r="S207" s="3">
        <v>0</v>
      </c>
      <c r="T207" s="3" t="s">
        <v>31</v>
      </c>
      <c r="U207" s="3" t="s">
        <v>37</v>
      </c>
      <c r="V207" s="3" t="s">
        <v>142</v>
      </c>
      <c r="W207" s="3" t="s">
        <v>145</v>
      </c>
      <c r="X207" s="3" t="s">
        <v>146</v>
      </c>
      <c r="Y207" s="3" t="s">
        <v>147</v>
      </c>
      <c r="Z207" s="3" t="s">
        <v>63</v>
      </c>
      <c r="AA207" s="3" t="s">
        <v>148</v>
      </c>
      <c r="AB207" s="3" t="s">
        <v>78</v>
      </c>
      <c r="AC207" s="3" t="s">
        <v>66</v>
      </c>
      <c r="AD207" s="3">
        <v>0</v>
      </c>
    </row>
    <row r="208" spans="1:30" x14ac:dyDescent="0.3">
      <c r="A208" s="3">
        <v>203</v>
      </c>
      <c r="B208" s="3" t="s">
        <v>141</v>
      </c>
      <c r="C208" s="3" t="s">
        <v>142</v>
      </c>
      <c r="D208" s="3" t="s">
        <v>31</v>
      </c>
      <c r="E208" s="3" t="s">
        <v>32</v>
      </c>
      <c r="F208" s="12">
        <v>45657</v>
      </c>
      <c r="G208" s="3">
        <v>2024</v>
      </c>
      <c r="H208" s="3" t="s">
        <v>44</v>
      </c>
      <c r="I208" s="3" t="s">
        <v>53</v>
      </c>
      <c r="J208" s="3">
        <v>2</v>
      </c>
      <c r="K208" s="3">
        <v>146766.19433692191</v>
      </c>
      <c r="L208" s="3">
        <v>152125.58089486</v>
      </c>
      <c r="M208" s="3">
        <f t="shared" si="32"/>
        <v>1.0365164919765848</v>
      </c>
      <c r="N208" s="3">
        <f t="shared" si="33"/>
        <v>1.0365164919765848</v>
      </c>
      <c r="O208" s="3" t="s">
        <v>143</v>
      </c>
      <c r="P208" s="3" t="s">
        <v>143</v>
      </c>
      <c r="Q208" s="3" t="str">
        <f t="shared" si="31"/>
        <v>203-2024-12-31</v>
      </c>
      <c r="R208" s="3">
        <v>0</v>
      </c>
      <c r="S208" s="3">
        <v>0</v>
      </c>
      <c r="T208" s="3" t="s">
        <v>31</v>
      </c>
      <c r="U208" s="3" t="s">
        <v>37</v>
      </c>
      <c r="V208" s="3" t="s">
        <v>142</v>
      </c>
      <c r="W208" s="3" t="s">
        <v>145</v>
      </c>
      <c r="X208" s="3" t="s">
        <v>146</v>
      </c>
      <c r="Y208" s="3" t="s">
        <v>147</v>
      </c>
      <c r="Z208" s="3" t="s">
        <v>63</v>
      </c>
      <c r="AA208" s="3" t="s">
        <v>148</v>
      </c>
      <c r="AB208" s="3" t="s">
        <v>78</v>
      </c>
      <c r="AC208" s="3" t="s">
        <v>66</v>
      </c>
      <c r="AD208" s="3">
        <v>0</v>
      </c>
    </row>
    <row r="209" spans="1:30" x14ac:dyDescent="0.3">
      <c r="A209" s="3">
        <v>203</v>
      </c>
      <c r="B209" s="3" t="s">
        <v>141</v>
      </c>
      <c r="C209" s="3" t="s">
        <v>142</v>
      </c>
      <c r="D209" s="3" t="s">
        <v>31</v>
      </c>
      <c r="E209" s="3" t="s">
        <v>32</v>
      </c>
      <c r="F209" s="12">
        <v>45657</v>
      </c>
      <c r="G209" s="3">
        <v>2024</v>
      </c>
      <c r="H209" s="3" t="s">
        <v>44</v>
      </c>
      <c r="I209" s="3" t="s">
        <v>53</v>
      </c>
      <c r="J209" s="3"/>
      <c r="K209" s="3">
        <v>289638.45267000003</v>
      </c>
      <c r="L209" s="3">
        <v>297867.12192900002</v>
      </c>
      <c r="M209" s="3">
        <f t="shared" si="32"/>
        <v>1.0284101409296484</v>
      </c>
      <c r="N209" s="3">
        <f t="shared" si="33"/>
        <v>1.0284101409296484</v>
      </c>
      <c r="O209" s="3" t="s">
        <v>143</v>
      </c>
      <c r="P209" s="3" t="s">
        <v>143</v>
      </c>
      <c r="Q209" s="3" t="str">
        <f t="shared" si="31"/>
        <v>203-2024-12-31</v>
      </c>
      <c r="R209" s="3">
        <v>0</v>
      </c>
      <c r="S209" s="3">
        <v>0</v>
      </c>
      <c r="T209" s="3" t="s">
        <v>443</v>
      </c>
      <c r="U209" s="3" t="s">
        <v>37</v>
      </c>
      <c r="V209" s="3" t="s">
        <v>142</v>
      </c>
      <c r="W209" s="3" t="s">
        <v>145</v>
      </c>
      <c r="X209" s="3" t="s">
        <v>146</v>
      </c>
      <c r="Y209" s="3" t="s">
        <v>147</v>
      </c>
      <c r="Z209" s="3" t="s">
        <v>63</v>
      </c>
      <c r="AA209" s="3" t="s">
        <v>148</v>
      </c>
      <c r="AB209" s="3" t="s">
        <v>78</v>
      </c>
      <c r="AC209" s="3" t="s">
        <v>66</v>
      </c>
      <c r="AD209" s="3">
        <v>0</v>
      </c>
    </row>
    <row r="210" spans="1:30" x14ac:dyDescent="0.3">
      <c r="A210" s="3">
        <v>203</v>
      </c>
      <c r="B210" s="3" t="s">
        <v>141</v>
      </c>
      <c r="C210" s="3" t="s">
        <v>142</v>
      </c>
      <c r="D210" s="3" t="s">
        <v>31</v>
      </c>
      <c r="E210" s="3" t="s">
        <v>32</v>
      </c>
      <c r="F210" s="12">
        <v>45838</v>
      </c>
      <c r="G210" s="3">
        <v>2025</v>
      </c>
      <c r="H210" s="3" t="s">
        <v>33</v>
      </c>
      <c r="I210" s="3" t="s">
        <v>404</v>
      </c>
      <c r="J210" s="3">
        <v>1</v>
      </c>
      <c r="K210" s="3">
        <v>149950.76733</v>
      </c>
      <c r="L210" s="3">
        <v>167595.14529690001</v>
      </c>
      <c r="M210" s="3">
        <f t="shared" si="32"/>
        <v>1.1176678071147821</v>
      </c>
      <c r="N210" s="3">
        <f t="shared" si="33"/>
        <v>1.1176678071147821</v>
      </c>
      <c r="O210" s="3" t="s">
        <v>143</v>
      </c>
      <c r="P210" s="3" t="s">
        <v>143</v>
      </c>
      <c r="Q210" s="3" t="str">
        <f t="shared" si="31"/>
        <v>203-2025-06-30</v>
      </c>
      <c r="R210" s="3">
        <v>0</v>
      </c>
      <c r="S210" s="3">
        <v>0</v>
      </c>
      <c r="T210" s="3" t="s">
        <v>31</v>
      </c>
      <c r="U210" s="3" t="s">
        <v>37</v>
      </c>
      <c r="V210" s="3" t="s">
        <v>142</v>
      </c>
      <c r="W210" s="3" t="s">
        <v>145</v>
      </c>
      <c r="X210" s="3" t="s">
        <v>146</v>
      </c>
      <c r="Y210" s="3" t="s">
        <v>147</v>
      </c>
      <c r="Z210" s="3" t="s">
        <v>63</v>
      </c>
      <c r="AA210" s="3" t="s">
        <v>148</v>
      </c>
      <c r="AB210" s="3" t="s">
        <v>78</v>
      </c>
      <c r="AC210" s="3" t="s">
        <v>66</v>
      </c>
      <c r="AD210" s="3">
        <v>0</v>
      </c>
    </row>
    <row r="211" spans="1:30" x14ac:dyDescent="0.3">
      <c r="A211" s="3">
        <v>204</v>
      </c>
      <c r="B211" s="3" t="s">
        <v>154</v>
      </c>
      <c r="C211" s="3" t="s">
        <v>142</v>
      </c>
      <c r="D211" s="3" t="s">
        <v>31</v>
      </c>
      <c r="E211" s="3" t="s">
        <v>32</v>
      </c>
      <c r="F211" s="12">
        <v>45291</v>
      </c>
      <c r="G211" s="3">
        <v>2023</v>
      </c>
      <c r="H211" s="3" t="s">
        <v>44</v>
      </c>
      <c r="I211" s="3" t="s">
        <v>49</v>
      </c>
      <c r="J211" s="3">
        <v>2</v>
      </c>
      <c r="K211" s="3">
        <v>86846.60702431656</v>
      </c>
      <c r="L211" s="3">
        <v>141016.76289899999</v>
      </c>
      <c r="M211" s="3">
        <v>1.3</v>
      </c>
      <c r="N211" s="3">
        <v>1.6237452185036549</v>
      </c>
      <c r="O211" s="3" t="s">
        <v>143</v>
      </c>
      <c r="P211" s="3" t="s">
        <v>143</v>
      </c>
      <c r="Q211" s="3" t="str">
        <f t="shared" si="31"/>
        <v>204-2023-12-31</v>
      </c>
      <c r="R211" s="3">
        <v>0</v>
      </c>
      <c r="S211" s="3">
        <v>0</v>
      </c>
      <c r="T211" s="3" t="s">
        <v>31</v>
      </c>
      <c r="U211" s="3" t="s">
        <v>37</v>
      </c>
      <c r="V211" s="3" t="s">
        <v>142</v>
      </c>
      <c r="W211" s="3" t="s">
        <v>145</v>
      </c>
      <c r="X211" s="3" t="s">
        <v>146</v>
      </c>
      <c r="Y211" s="3" t="s">
        <v>147</v>
      </c>
      <c r="Z211" s="3" t="s">
        <v>63</v>
      </c>
      <c r="AA211" s="3" t="s">
        <v>148</v>
      </c>
      <c r="AB211" s="3" t="s">
        <v>43</v>
      </c>
      <c r="AC211" s="3" t="s">
        <v>66</v>
      </c>
      <c r="AD211" s="3">
        <v>0</v>
      </c>
    </row>
    <row r="212" spans="1:30" x14ac:dyDescent="0.3">
      <c r="A212" s="3">
        <v>204</v>
      </c>
      <c r="B212" s="3" t="s">
        <v>154</v>
      </c>
      <c r="C212" s="3" t="s">
        <v>142</v>
      </c>
      <c r="D212" s="3" t="s">
        <v>31</v>
      </c>
      <c r="E212" s="3" t="s">
        <v>32</v>
      </c>
      <c r="F212" s="12">
        <v>45291</v>
      </c>
      <c r="G212" s="3">
        <v>2023</v>
      </c>
      <c r="H212" s="3" t="s">
        <v>44</v>
      </c>
      <c r="I212" s="3" t="s">
        <v>49</v>
      </c>
      <c r="J212" s="3"/>
      <c r="K212" s="3">
        <v>86846.60702431656</v>
      </c>
      <c r="L212" s="3">
        <v>141016.76289899999</v>
      </c>
      <c r="M212" s="3">
        <v>1.3</v>
      </c>
      <c r="N212" s="3">
        <v>1.6237452185036549</v>
      </c>
      <c r="O212" s="3" t="s">
        <v>143</v>
      </c>
      <c r="P212" s="3" t="s">
        <v>143</v>
      </c>
      <c r="Q212" s="3" t="str">
        <f t="shared" si="31"/>
        <v>204-2023-12-31</v>
      </c>
      <c r="R212" s="3">
        <v>0</v>
      </c>
      <c r="S212" s="3">
        <v>0</v>
      </c>
      <c r="T212" s="3" t="s">
        <v>443</v>
      </c>
      <c r="U212" s="3" t="s">
        <v>37</v>
      </c>
      <c r="V212" s="3" t="s">
        <v>142</v>
      </c>
      <c r="W212" s="3" t="s">
        <v>145</v>
      </c>
      <c r="X212" s="3" t="s">
        <v>146</v>
      </c>
      <c r="Y212" s="3" t="s">
        <v>147</v>
      </c>
      <c r="Z212" s="3" t="s">
        <v>63</v>
      </c>
      <c r="AA212" s="3" t="s">
        <v>148</v>
      </c>
      <c r="AB212" s="3" t="s">
        <v>43</v>
      </c>
      <c r="AC212" s="3" t="s">
        <v>66</v>
      </c>
      <c r="AD212" s="3">
        <v>0</v>
      </c>
    </row>
    <row r="213" spans="1:30" x14ac:dyDescent="0.3">
      <c r="A213" s="3">
        <v>204</v>
      </c>
      <c r="B213" s="3" t="s">
        <v>154</v>
      </c>
      <c r="C213" s="3" t="s">
        <v>142</v>
      </c>
      <c r="D213" s="3" t="s">
        <v>31</v>
      </c>
      <c r="E213" s="3" t="s">
        <v>32</v>
      </c>
      <c r="F213" s="12">
        <v>45657</v>
      </c>
      <c r="G213" s="3">
        <v>2024</v>
      </c>
      <c r="H213" s="3" t="s">
        <v>44</v>
      </c>
      <c r="I213" s="3" t="s">
        <v>53</v>
      </c>
      <c r="J213" s="3">
        <v>2</v>
      </c>
      <c r="K213" s="3">
        <v>122440.821151</v>
      </c>
      <c r="L213" s="3">
        <v>176962.74882400001</v>
      </c>
      <c r="M213" s="3">
        <v>1.3</v>
      </c>
      <c r="N213" s="3">
        <v>1.335538462273004</v>
      </c>
      <c r="O213" s="3" t="s">
        <v>143</v>
      </c>
      <c r="P213" s="3" t="s">
        <v>143</v>
      </c>
      <c r="Q213" s="3" t="str">
        <f t="shared" si="31"/>
        <v>204-2024-12-31</v>
      </c>
      <c r="R213" s="3">
        <v>0</v>
      </c>
      <c r="S213" s="3">
        <v>0</v>
      </c>
      <c r="T213" s="3" t="s">
        <v>31</v>
      </c>
      <c r="U213" s="3" t="s">
        <v>37</v>
      </c>
      <c r="V213" s="3" t="s">
        <v>142</v>
      </c>
      <c r="W213" s="3" t="s">
        <v>145</v>
      </c>
      <c r="X213" s="3" t="s">
        <v>146</v>
      </c>
      <c r="Y213" s="3" t="s">
        <v>147</v>
      </c>
      <c r="Z213" s="3" t="s">
        <v>63</v>
      </c>
      <c r="AA213" s="3" t="s">
        <v>148</v>
      </c>
      <c r="AB213" s="3" t="s">
        <v>43</v>
      </c>
      <c r="AC213" s="3" t="s">
        <v>66</v>
      </c>
      <c r="AD213" s="3">
        <v>0</v>
      </c>
    </row>
    <row r="214" spans="1:30" x14ac:dyDescent="0.3">
      <c r="A214" s="3">
        <v>204</v>
      </c>
      <c r="B214" s="3" t="s">
        <v>154</v>
      </c>
      <c r="C214" s="3" t="s">
        <v>142</v>
      </c>
      <c r="D214" s="3" t="s">
        <v>31</v>
      </c>
      <c r="E214" s="3" t="s">
        <v>32</v>
      </c>
      <c r="F214" s="12">
        <v>45657</v>
      </c>
      <c r="G214" s="3">
        <v>2024</v>
      </c>
      <c r="H214" s="3" t="s">
        <v>44</v>
      </c>
      <c r="I214" s="3" t="s">
        <v>53</v>
      </c>
      <c r="J214" s="3"/>
      <c r="K214" s="3">
        <v>122440.821151</v>
      </c>
      <c r="L214" s="3">
        <v>176962.74882400001</v>
      </c>
      <c r="M214" s="3">
        <v>1.3</v>
      </c>
      <c r="N214" s="3">
        <v>1.4452920779235949</v>
      </c>
      <c r="O214" s="3" t="s">
        <v>143</v>
      </c>
      <c r="P214" s="3" t="s">
        <v>143</v>
      </c>
      <c r="Q214" s="3" t="str">
        <f t="shared" si="31"/>
        <v>204-2024-12-31</v>
      </c>
      <c r="R214" s="3">
        <v>0</v>
      </c>
      <c r="S214" s="3">
        <v>0</v>
      </c>
      <c r="T214" s="3" t="s">
        <v>443</v>
      </c>
      <c r="U214" s="3" t="s">
        <v>37</v>
      </c>
      <c r="V214" s="3" t="s">
        <v>142</v>
      </c>
      <c r="W214" s="3" t="s">
        <v>145</v>
      </c>
      <c r="X214" s="3" t="s">
        <v>146</v>
      </c>
      <c r="Y214" s="3" t="s">
        <v>147</v>
      </c>
      <c r="Z214" s="3" t="s">
        <v>63</v>
      </c>
      <c r="AA214" s="3" t="s">
        <v>148</v>
      </c>
      <c r="AB214" s="3" t="s">
        <v>43</v>
      </c>
      <c r="AC214" s="3" t="s">
        <v>66</v>
      </c>
      <c r="AD214" s="3">
        <v>0</v>
      </c>
    </row>
    <row r="215" spans="1:30" x14ac:dyDescent="0.3">
      <c r="A215" s="3">
        <v>204</v>
      </c>
      <c r="B215" s="3" t="s">
        <v>154</v>
      </c>
      <c r="C215" s="3" t="s">
        <v>142</v>
      </c>
      <c r="D215" s="3" t="s">
        <v>31</v>
      </c>
      <c r="E215" s="3" t="s">
        <v>32</v>
      </c>
      <c r="F215" s="12">
        <v>46022</v>
      </c>
      <c r="G215" s="3">
        <v>2025</v>
      </c>
      <c r="H215" s="3" t="s">
        <v>44</v>
      </c>
      <c r="I215" s="3" t="s">
        <v>465</v>
      </c>
      <c r="J215" s="3">
        <v>2</v>
      </c>
      <c r="K215" s="3"/>
      <c r="L215" s="3">
        <f>128448131182/1000000</f>
        <v>128448.131182</v>
      </c>
      <c r="M215" s="3"/>
      <c r="N215" s="3"/>
      <c r="O215" s="3" t="s">
        <v>143</v>
      </c>
      <c r="P215" s="3" t="s">
        <v>143</v>
      </c>
      <c r="Q215" s="3" t="str">
        <f t="shared" si="31"/>
        <v>204-2025-12-31</v>
      </c>
      <c r="R215" s="3">
        <v>0</v>
      </c>
      <c r="S215" s="3">
        <v>0</v>
      </c>
      <c r="T215" s="3" t="s">
        <v>31</v>
      </c>
      <c r="U215" s="3" t="s">
        <v>37</v>
      </c>
      <c r="V215" s="3" t="s">
        <v>142</v>
      </c>
      <c r="W215" s="3" t="s">
        <v>145</v>
      </c>
      <c r="X215" s="3" t="s">
        <v>146</v>
      </c>
      <c r="Y215" s="3" t="s">
        <v>147</v>
      </c>
      <c r="Z215" s="3" t="s">
        <v>63</v>
      </c>
      <c r="AA215" s="3" t="s">
        <v>148</v>
      </c>
      <c r="AB215" s="3" t="s">
        <v>43</v>
      </c>
      <c r="AC215" s="3" t="s">
        <v>66</v>
      </c>
      <c r="AD215" s="3">
        <v>0</v>
      </c>
    </row>
    <row r="216" spans="1:30" x14ac:dyDescent="0.3">
      <c r="A216" s="3">
        <v>204</v>
      </c>
      <c r="B216" s="3" t="s">
        <v>154</v>
      </c>
      <c r="C216" s="3" t="s">
        <v>142</v>
      </c>
      <c r="D216" s="3" t="s">
        <v>31</v>
      </c>
      <c r="E216" s="3" t="s">
        <v>32</v>
      </c>
      <c r="F216" s="12">
        <v>46022</v>
      </c>
      <c r="G216" s="3">
        <v>2025</v>
      </c>
      <c r="H216" s="3" t="s">
        <v>44</v>
      </c>
      <c r="I216" s="3" t="s">
        <v>465</v>
      </c>
      <c r="J216" s="3"/>
      <c r="K216" s="3">
        <f>128448131182/1000000</f>
        <v>128448.131182</v>
      </c>
      <c r="L216" s="3">
        <f>128448131182/1000000</f>
        <v>128448.131182</v>
      </c>
      <c r="M216" s="3"/>
      <c r="N216" s="3"/>
      <c r="O216" s="3" t="s">
        <v>143</v>
      </c>
      <c r="P216" s="3" t="s">
        <v>143</v>
      </c>
      <c r="Q216" s="3" t="str">
        <f t="shared" si="31"/>
        <v>204-2025-12-31</v>
      </c>
      <c r="R216" s="3">
        <v>0</v>
      </c>
      <c r="S216" s="3">
        <v>0</v>
      </c>
      <c r="T216" s="3" t="s">
        <v>443</v>
      </c>
      <c r="U216" s="3" t="s">
        <v>37</v>
      </c>
      <c r="V216" s="3" t="s">
        <v>142</v>
      </c>
      <c r="W216" s="3" t="s">
        <v>145</v>
      </c>
      <c r="X216" s="3" t="s">
        <v>146</v>
      </c>
      <c r="Y216" s="3" t="s">
        <v>147</v>
      </c>
      <c r="Z216" s="3" t="s">
        <v>63</v>
      </c>
      <c r="AA216" s="3" t="s">
        <v>148</v>
      </c>
      <c r="AB216" s="3" t="s">
        <v>43</v>
      </c>
      <c r="AC216" s="3" t="s">
        <v>66</v>
      </c>
      <c r="AD216" s="3">
        <v>0</v>
      </c>
    </row>
    <row r="217" spans="1:30" x14ac:dyDescent="0.3">
      <c r="A217" s="3">
        <v>205</v>
      </c>
      <c r="B217" s="3" t="s">
        <v>161</v>
      </c>
      <c r="C217" s="3" t="s">
        <v>142</v>
      </c>
      <c r="D217" s="3" t="s">
        <v>31</v>
      </c>
      <c r="E217" s="3" t="s">
        <v>32</v>
      </c>
      <c r="F217" s="12">
        <v>44926</v>
      </c>
      <c r="G217" s="3">
        <v>2022</v>
      </c>
      <c r="H217" s="3" t="s">
        <v>44</v>
      </c>
      <c r="I217" s="3" t="s">
        <v>45</v>
      </c>
      <c r="J217" s="3">
        <v>2</v>
      </c>
      <c r="K217" s="3"/>
      <c r="L217" s="3">
        <v>2605</v>
      </c>
      <c r="M217" s="3">
        <v>1.3</v>
      </c>
      <c r="N217" s="3">
        <v>3.597572107981108</v>
      </c>
      <c r="O217" s="3" t="s">
        <v>143</v>
      </c>
      <c r="P217" s="3" t="s">
        <v>143</v>
      </c>
      <c r="Q217" s="3" t="str">
        <f t="shared" si="31"/>
        <v>205-2022-12-31</v>
      </c>
      <c r="R217" s="3">
        <v>0</v>
      </c>
      <c r="S217" s="3">
        <v>0</v>
      </c>
      <c r="T217" s="3" t="s">
        <v>31</v>
      </c>
      <c r="U217" s="3" t="s">
        <v>37</v>
      </c>
      <c r="V217" s="3" t="s">
        <v>142</v>
      </c>
      <c r="W217" s="3" t="s">
        <v>145</v>
      </c>
      <c r="X217" s="3" t="s">
        <v>146</v>
      </c>
      <c r="Y217" s="3" t="s">
        <v>147</v>
      </c>
      <c r="Z217" s="3" t="s">
        <v>63</v>
      </c>
      <c r="AA217" s="3" t="s">
        <v>148</v>
      </c>
      <c r="AB217" s="3" t="s">
        <v>78</v>
      </c>
      <c r="AC217" s="3" t="s">
        <v>66</v>
      </c>
      <c r="AD217" s="3">
        <v>0</v>
      </c>
    </row>
    <row r="218" spans="1:30" x14ac:dyDescent="0.3">
      <c r="A218" s="3">
        <v>205</v>
      </c>
      <c r="B218" s="3" t="s">
        <v>161</v>
      </c>
      <c r="C218" s="3" t="s">
        <v>142</v>
      </c>
      <c r="D218" s="3" t="s">
        <v>31</v>
      </c>
      <c r="E218" s="3" t="s">
        <v>32</v>
      </c>
      <c r="F218" s="12">
        <v>44926</v>
      </c>
      <c r="G218" s="3">
        <v>2022</v>
      </c>
      <c r="H218" s="3" t="s">
        <v>44</v>
      </c>
      <c r="I218" s="3" t="s">
        <v>45</v>
      </c>
      <c r="J218" s="3"/>
      <c r="K218" s="3"/>
      <c r="L218" s="3">
        <v>2605</v>
      </c>
      <c r="M218" s="3">
        <v>1.3</v>
      </c>
      <c r="N218" s="3">
        <v>4.2650764615555667</v>
      </c>
      <c r="O218" s="3" t="s">
        <v>143</v>
      </c>
      <c r="P218" s="3" t="s">
        <v>143</v>
      </c>
      <c r="Q218" s="3" t="str">
        <f t="shared" si="31"/>
        <v>205-2022-12-31</v>
      </c>
      <c r="R218" s="3">
        <v>0</v>
      </c>
      <c r="S218" s="3">
        <v>0</v>
      </c>
      <c r="T218" s="3" t="s">
        <v>443</v>
      </c>
      <c r="U218" s="3" t="s">
        <v>37</v>
      </c>
      <c r="V218" s="3" t="s">
        <v>142</v>
      </c>
      <c r="W218" s="3" t="s">
        <v>145</v>
      </c>
      <c r="X218" s="3" t="s">
        <v>146</v>
      </c>
      <c r="Y218" s="3" t="s">
        <v>147</v>
      </c>
      <c r="Z218" s="3" t="s">
        <v>63</v>
      </c>
      <c r="AA218" s="3" t="s">
        <v>148</v>
      </c>
      <c r="AB218" s="3" t="s">
        <v>78</v>
      </c>
      <c r="AC218" s="3" t="s">
        <v>66</v>
      </c>
      <c r="AD218" s="3">
        <v>0</v>
      </c>
    </row>
    <row r="219" spans="1:30" x14ac:dyDescent="0.3">
      <c r="A219" s="3">
        <v>205</v>
      </c>
      <c r="B219" s="3" t="s">
        <v>161</v>
      </c>
      <c r="C219" s="3" t="s">
        <v>142</v>
      </c>
      <c r="D219" s="3" t="s">
        <v>31</v>
      </c>
      <c r="E219" s="3" t="s">
        <v>32</v>
      </c>
      <c r="F219" s="12">
        <v>45107</v>
      </c>
      <c r="G219" s="3">
        <v>2023</v>
      </c>
      <c r="H219" s="3" t="s">
        <v>33</v>
      </c>
      <c r="I219" s="3" t="s">
        <v>47</v>
      </c>
      <c r="J219" s="3">
        <v>1</v>
      </c>
      <c r="K219" s="3">
        <v>2622.5539939999999</v>
      </c>
      <c r="L219" s="3">
        <v>4338.4199079999999</v>
      </c>
      <c r="M219" s="3">
        <v>1.3</v>
      </c>
      <c r="N219" s="3">
        <v>1.654272864515139</v>
      </c>
      <c r="O219" s="3" t="s">
        <v>143</v>
      </c>
      <c r="P219" s="3" t="s">
        <v>143</v>
      </c>
      <c r="Q219" s="3" t="str">
        <f t="shared" si="31"/>
        <v>205-2023-06-30</v>
      </c>
      <c r="R219" s="3">
        <v>0</v>
      </c>
      <c r="S219" s="3">
        <v>0</v>
      </c>
      <c r="T219" s="3" t="s">
        <v>31</v>
      </c>
      <c r="U219" s="3" t="s">
        <v>37</v>
      </c>
      <c r="V219" s="3" t="s">
        <v>142</v>
      </c>
      <c r="W219" s="3" t="s">
        <v>145</v>
      </c>
      <c r="X219" s="3" t="s">
        <v>146</v>
      </c>
      <c r="Y219" s="3" t="s">
        <v>147</v>
      </c>
      <c r="Z219" s="3" t="s">
        <v>63</v>
      </c>
      <c r="AA219" s="3" t="s">
        <v>148</v>
      </c>
      <c r="AB219" s="3" t="s">
        <v>78</v>
      </c>
      <c r="AC219" s="3" t="s">
        <v>66</v>
      </c>
      <c r="AD219" s="3">
        <v>0</v>
      </c>
    </row>
    <row r="220" spans="1:30" x14ac:dyDescent="0.3">
      <c r="A220" s="3">
        <v>205</v>
      </c>
      <c r="B220" s="3" t="s">
        <v>161</v>
      </c>
      <c r="C220" s="3" t="s">
        <v>142</v>
      </c>
      <c r="D220" s="3" t="s">
        <v>31</v>
      </c>
      <c r="E220" s="3" t="s">
        <v>32</v>
      </c>
      <c r="F220" s="12">
        <v>45291</v>
      </c>
      <c r="G220" s="3">
        <v>2023</v>
      </c>
      <c r="H220" s="3" t="s">
        <v>44</v>
      </c>
      <c r="I220" s="3" t="s">
        <v>49</v>
      </c>
      <c r="J220" s="3">
        <v>2</v>
      </c>
      <c r="K220" s="3">
        <v>2041.786670711695</v>
      </c>
      <c r="L220" s="3">
        <v>7345.4747770000004</v>
      </c>
      <c r="M220" s="3">
        <v>1.3</v>
      </c>
      <c r="N220" s="3">
        <v>3.597572107981108</v>
      </c>
      <c r="O220" s="3" t="s">
        <v>143</v>
      </c>
      <c r="P220" s="3" t="s">
        <v>143</v>
      </c>
      <c r="Q220" s="3" t="str">
        <f t="shared" si="31"/>
        <v>205-2023-12-31</v>
      </c>
      <c r="R220" s="3">
        <v>0</v>
      </c>
      <c r="S220" s="3">
        <v>0</v>
      </c>
      <c r="T220" s="3" t="s">
        <v>31</v>
      </c>
      <c r="U220" s="3" t="s">
        <v>37</v>
      </c>
      <c r="V220" s="3" t="s">
        <v>142</v>
      </c>
      <c r="W220" s="3" t="s">
        <v>145</v>
      </c>
      <c r="X220" s="3" t="s">
        <v>146</v>
      </c>
      <c r="Y220" s="3" t="s">
        <v>147</v>
      </c>
      <c r="Z220" s="3" t="s">
        <v>63</v>
      </c>
      <c r="AA220" s="3" t="s">
        <v>148</v>
      </c>
      <c r="AB220" s="3" t="s">
        <v>78</v>
      </c>
      <c r="AC220" s="3" t="s">
        <v>66</v>
      </c>
      <c r="AD220" s="3">
        <v>0</v>
      </c>
    </row>
    <row r="221" spans="1:30" x14ac:dyDescent="0.3">
      <c r="A221" s="3">
        <v>205</v>
      </c>
      <c r="B221" s="3" t="s">
        <v>161</v>
      </c>
      <c r="C221" s="3" t="s">
        <v>142</v>
      </c>
      <c r="D221" s="3" t="s">
        <v>31</v>
      </c>
      <c r="E221" s="3" t="s">
        <v>32</v>
      </c>
      <c r="F221" s="12">
        <v>45291</v>
      </c>
      <c r="G221" s="3">
        <v>2023</v>
      </c>
      <c r="H221" s="3" t="s">
        <v>44</v>
      </c>
      <c r="I221" s="3" t="s">
        <v>49</v>
      </c>
      <c r="J221" s="3"/>
      <c r="K221" s="3">
        <v>2041.7866710000001</v>
      </c>
      <c r="L221" s="3">
        <v>8708.3762700000007</v>
      </c>
      <c r="M221" s="3">
        <v>1.3</v>
      </c>
      <c r="N221" s="3">
        <v>4.2650764615555667</v>
      </c>
      <c r="O221" s="3" t="s">
        <v>143</v>
      </c>
      <c r="P221" s="3" t="s">
        <v>143</v>
      </c>
      <c r="Q221" s="3" t="str">
        <f t="shared" si="31"/>
        <v>205-2023-12-31</v>
      </c>
      <c r="R221" s="3">
        <v>0</v>
      </c>
      <c r="S221" s="3">
        <v>0</v>
      </c>
      <c r="T221" s="3" t="s">
        <v>443</v>
      </c>
      <c r="U221" s="3" t="s">
        <v>37</v>
      </c>
      <c r="V221" s="3" t="s">
        <v>142</v>
      </c>
      <c r="W221" s="3" t="s">
        <v>145</v>
      </c>
      <c r="X221" s="3" t="s">
        <v>146</v>
      </c>
      <c r="Y221" s="3" t="s">
        <v>147</v>
      </c>
      <c r="Z221" s="3" t="s">
        <v>63</v>
      </c>
      <c r="AA221" s="3" t="s">
        <v>148</v>
      </c>
      <c r="AB221" s="3" t="s">
        <v>78</v>
      </c>
      <c r="AC221" s="3" t="s">
        <v>66</v>
      </c>
      <c r="AD221" s="3">
        <v>0</v>
      </c>
    </row>
    <row r="222" spans="1:30" x14ac:dyDescent="0.3">
      <c r="A222" s="3">
        <v>205</v>
      </c>
      <c r="B222" s="3" t="s">
        <v>161</v>
      </c>
      <c r="C222" s="3" t="s">
        <v>142</v>
      </c>
      <c r="D222" s="3" t="s">
        <v>31</v>
      </c>
      <c r="E222" s="3" t="s">
        <v>32</v>
      </c>
      <c r="F222" s="12">
        <v>45473</v>
      </c>
      <c r="G222" s="3">
        <v>2024</v>
      </c>
      <c r="H222" s="3" t="s">
        <v>33</v>
      </c>
      <c r="I222" s="3" t="s">
        <v>51</v>
      </c>
      <c r="J222" s="3">
        <v>1</v>
      </c>
      <c r="K222" s="3">
        <v>2039.2370430000001</v>
      </c>
      <c r="L222" s="3">
        <v>4385.721681</v>
      </c>
      <c r="M222" s="3">
        <v>1.3</v>
      </c>
      <c r="N222" s="3">
        <v>2.1506679157553932</v>
      </c>
      <c r="O222" s="3" t="s">
        <v>143</v>
      </c>
      <c r="P222" s="3" t="s">
        <v>143</v>
      </c>
      <c r="Q222" s="3" t="str">
        <f t="shared" si="31"/>
        <v>205-2024-06-30</v>
      </c>
      <c r="R222" s="3">
        <v>0</v>
      </c>
      <c r="S222" s="3">
        <v>0</v>
      </c>
      <c r="T222" s="3" t="s">
        <v>31</v>
      </c>
      <c r="U222" s="3" t="s">
        <v>37</v>
      </c>
      <c r="V222" s="3" t="s">
        <v>142</v>
      </c>
      <c r="W222" s="3" t="s">
        <v>145</v>
      </c>
      <c r="X222" s="3" t="s">
        <v>146</v>
      </c>
      <c r="Y222" s="3" t="s">
        <v>147</v>
      </c>
      <c r="Z222" s="3" t="s">
        <v>63</v>
      </c>
      <c r="AA222" s="3" t="s">
        <v>148</v>
      </c>
      <c r="AB222" s="3" t="s">
        <v>78</v>
      </c>
      <c r="AC222" s="3" t="s">
        <v>66</v>
      </c>
      <c r="AD222" s="3">
        <v>0</v>
      </c>
    </row>
    <row r="223" spans="1:30" x14ac:dyDescent="0.3">
      <c r="A223" s="3">
        <v>205</v>
      </c>
      <c r="B223" s="3" t="s">
        <v>161</v>
      </c>
      <c r="C223" s="3" t="s">
        <v>142</v>
      </c>
      <c r="D223" s="3" t="s">
        <v>31</v>
      </c>
      <c r="E223" s="3" t="s">
        <v>32</v>
      </c>
      <c r="F223" s="12">
        <v>45657</v>
      </c>
      <c r="G223" s="3">
        <v>2024</v>
      </c>
      <c r="H223" s="3" t="s">
        <v>44</v>
      </c>
      <c r="I223" s="3" t="s">
        <v>53</v>
      </c>
      <c r="J223" s="3">
        <v>2</v>
      </c>
      <c r="K223" s="3">
        <v>2783.2196537144901</v>
      </c>
      <c r="L223" s="3">
        <v>5092.3929009999993</v>
      </c>
      <c r="M223" s="3">
        <v>1.3</v>
      </c>
      <c r="N223" s="3">
        <v>1.829676969334304</v>
      </c>
      <c r="O223" s="3" t="s">
        <v>143</v>
      </c>
      <c r="P223" s="3" t="s">
        <v>143</v>
      </c>
      <c r="Q223" s="3" t="str">
        <f t="shared" si="31"/>
        <v>205-2024-12-31</v>
      </c>
      <c r="R223" s="3">
        <v>0</v>
      </c>
      <c r="S223" s="3">
        <v>0</v>
      </c>
      <c r="T223" s="3" t="s">
        <v>31</v>
      </c>
      <c r="U223" s="3" t="s">
        <v>37</v>
      </c>
      <c r="V223" s="3" t="s">
        <v>142</v>
      </c>
      <c r="W223" s="3" t="s">
        <v>145</v>
      </c>
      <c r="X223" s="3" t="s">
        <v>146</v>
      </c>
      <c r="Y223" s="3" t="s">
        <v>147</v>
      </c>
      <c r="Z223" s="3" t="s">
        <v>63</v>
      </c>
      <c r="AA223" s="3" t="s">
        <v>148</v>
      </c>
      <c r="AB223" s="3" t="s">
        <v>78</v>
      </c>
      <c r="AC223" s="3" t="s">
        <v>66</v>
      </c>
      <c r="AD223" s="3">
        <v>0</v>
      </c>
    </row>
    <row r="224" spans="1:30" x14ac:dyDescent="0.3">
      <c r="A224" s="3">
        <v>205</v>
      </c>
      <c r="B224" s="3" t="s">
        <v>161</v>
      </c>
      <c r="C224" s="3" t="s">
        <v>142</v>
      </c>
      <c r="D224" s="3" t="s">
        <v>31</v>
      </c>
      <c r="E224" s="3" t="s">
        <v>32</v>
      </c>
      <c r="F224" s="12">
        <v>45657</v>
      </c>
      <c r="G224" s="3">
        <v>2024</v>
      </c>
      <c r="H224" s="3" t="s">
        <v>44</v>
      </c>
      <c r="I224" s="3" t="s">
        <v>53</v>
      </c>
      <c r="J224" s="3"/>
      <c r="K224" s="3">
        <v>2783.219654</v>
      </c>
      <c r="L224" s="3">
        <v>5141.1028649999998</v>
      </c>
      <c r="M224" s="3">
        <v>1.3</v>
      </c>
      <c r="N224" s="3">
        <v>1.847178269818297</v>
      </c>
      <c r="O224" s="3" t="s">
        <v>143</v>
      </c>
      <c r="P224" s="3" t="s">
        <v>143</v>
      </c>
      <c r="Q224" s="3" t="str">
        <f t="shared" si="31"/>
        <v>205-2024-12-31</v>
      </c>
      <c r="R224" s="3">
        <v>0</v>
      </c>
      <c r="S224" s="3">
        <v>0</v>
      </c>
      <c r="T224" s="3" t="s">
        <v>443</v>
      </c>
      <c r="U224" s="3" t="s">
        <v>37</v>
      </c>
      <c r="V224" s="3" t="s">
        <v>142</v>
      </c>
      <c r="W224" s="3" t="s">
        <v>145</v>
      </c>
      <c r="X224" s="3" t="s">
        <v>146</v>
      </c>
      <c r="Y224" s="3" t="s">
        <v>147</v>
      </c>
      <c r="Z224" s="3" t="s">
        <v>63</v>
      </c>
      <c r="AA224" s="3" t="s">
        <v>148</v>
      </c>
      <c r="AB224" s="3" t="s">
        <v>78</v>
      </c>
      <c r="AC224" s="3" t="s">
        <v>66</v>
      </c>
      <c r="AD224" s="3">
        <v>0</v>
      </c>
    </row>
    <row r="225" spans="1:30" x14ac:dyDescent="0.3">
      <c r="A225" s="3">
        <v>205</v>
      </c>
      <c r="B225" s="3" t="s">
        <v>161</v>
      </c>
      <c r="C225" s="3" t="s">
        <v>142</v>
      </c>
      <c r="D225" s="3" t="s">
        <v>31</v>
      </c>
      <c r="E225" s="3" t="s">
        <v>32</v>
      </c>
      <c r="F225" s="12">
        <v>45838</v>
      </c>
      <c r="G225" s="3">
        <v>2025</v>
      </c>
      <c r="H225" s="3" t="s">
        <v>33</v>
      </c>
      <c r="I225" s="3" t="s">
        <v>404</v>
      </c>
      <c r="J225" s="3">
        <v>1</v>
      </c>
      <c r="K225" s="3">
        <v>4817.8363419999996</v>
      </c>
      <c r="L225" s="3">
        <v>8976.1202028999996</v>
      </c>
      <c r="M225" s="3">
        <v>1.3</v>
      </c>
      <c r="N225" s="3">
        <v>1.8631019332578229</v>
      </c>
      <c r="O225" s="3" t="s">
        <v>143</v>
      </c>
      <c r="P225" s="3" t="s">
        <v>143</v>
      </c>
      <c r="Q225" s="3" t="str">
        <f t="shared" si="31"/>
        <v>205-2025-06-30</v>
      </c>
      <c r="R225" s="3">
        <v>0</v>
      </c>
      <c r="S225" s="3">
        <v>0</v>
      </c>
      <c r="T225" s="3" t="s">
        <v>31</v>
      </c>
      <c r="U225" s="3" t="s">
        <v>37</v>
      </c>
      <c r="V225" s="3" t="s">
        <v>142</v>
      </c>
      <c r="W225" s="3" t="s">
        <v>145</v>
      </c>
      <c r="X225" s="3" t="s">
        <v>146</v>
      </c>
      <c r="Y225" s="3" t="s">
        <v>147</v>
      </c>
      <c r="Z225" s="3" t="s">
        <v>63</v>
      </c>
      <c r="AA225" s="3" t="s">
        <v>148</v>
      </c>
      <c r="AB225" s="3" t="s">
        <v>78</v>
      </c>
      <c r="AC225" s="3" t="s">
        <v>66</v>
      </c>
      <c r="AD225" s="3">
        <v>0</v>
      </c>
    </row>
    <row r="226" spans="1:30" x14ac:dyDescent="0.3">
      <c r="A226" s="3">
        <v>205</v>
      </c>
      <c r="B226" s="3" t="s">
        <v>161</v>
      </c>
      <c r="C226" s="3" t="s">
        <v>142</v>
      </c>
      <c r="D226" s="3" t="s">
        <v>31</v>
      </c>
      <c r="E226" s="3" t="s">
        <v>32</v>
      </c>
      <c r="F226" s="12">
        <v>46022</v>
      </c>
      <c r="G226" s="3">
        <v>2025</v>
      </c>
      <c r="H226" s="3" t="s">
        <v>44</v>
      </c>
      <c r="I226" s="3" t="s">
        <v>465</v>
      </c>
      <c r="J226" s="3"/>
      <c r="K226" s="3">
        <v>4684</v>
      </c>
      <c r="L226" s="3">
        <v>4684</v>
      </c>
      <c r="M226" s="3">
        <v>1.3</v>
      </c>
      <c r="N226" s="3">
        <v>1.8631019332578229</v>
      </c>
      <c r="O226" s="3" t="s">
        <v>143</v>
      </c>
      <c r="P226" s="3" t="s">
        <v>143</v>
      </c>
      <c r="Q226" s="3" t="str">
        <f t="shared" si="31"/>
        <v>205-2025-12-31</v>
      </c>
      <c r="R226" s="3">
        <v>0</v>
      </c>
      <c r="S226" s="3">
        <v>0</v>
      </c>
      <c r="T226" s="3" t="s">
        <v>443</v>
      </c>
      <c r="U226" s="3" t="s">
        <v>37</v>
      </c>
      <c r="V226" s="3" t="s">
        <v>142</v>
      </c>
      <c r="W226" s="3" t="s">
        <v>145</v>
      </c>
      <c r="X226" s="3" t="s">
        <v>146</v>
      </c>
      <c r="Y226" s="3" t="s">
        <v>147</v>
      </c>
      <c r="Z226" s="3" t="s">
        <v>63</v>
      </c>
      <c r="AA226" s="3" t="s">
        <v>148</v>
      </c>
      <c r="AB226" s="3" t="s">
        <v>78</v>
      </c>
      <c r="AC226" s="3" t="s">
        <v>66</v>
      </c>
      <c r="AD226" s="3">
        <v>0</v>
      </c>
    </row>
    <row r="227" spans="1:30" x14ac:dyDescent="0.3">
      <c r="A227" s="3">
        <v>207</v>
      </c>
      <c r="B227" s="3" t="s">
        <v>170</v>
      </c>
      <c r="C227" s="3" t="s">
        <v>142</v>
      </c>
      <c r="D227" s="3" t="s">
        <v>31</v>
      </c>
      <c r="E227" s="3" t="s">
        <v>171</v>
      </c>
      <c r="F227" s="12">
        <v>45107</v>
      </c>
      <c r="G227" s="3">
        <v>2023</v>
      </c>
      <c r="H227" s="3" t="s">
        <v>33</v>
      </c>
      <c r="I227" s="3" t="s">
        <v>47</v>
      </c>
      <c r="J227" s="3">
        <v>1</v>
      </c>
      <c r="K227" s="3">
        <v>114640.77968199999</v>
      </c>
      <c r="L227" s="3">
        <v>116015.126638</v>
      </c>
      <c r="M227" s="3">
        <v>0.98815372619220287</v>
      </c>
      <c r="N227" s="3">
        <v>0.98815372619220287</v>
      </c>
      <c r="O227" s="3" t="s">
        <v>143</v>
      </c>
      <c r="P227" s="3" t="s">
        <v>143</v>
      </c>
      <c r="Q227" s="3" t="str">
        <f t="shared" si="31"/>
        <v>207-2023-06-30</v>
      </c>
      <c r="R227" s="3">
        <v>0</v>
      </c>
      <c r="S227" s="3">
        <v>0</v>
      </c>
      <c r="T227" s="3" t="s">
        <v>31</v>
      </c>
      <c r="U227" s="3" t="s">
        <v>37</v>
      </c>
      <c r="V227" s="3" t="s">
        <v>142</v>
      </c>
      <c r="W227" s="3" t="s">
        <v>145</v>
      </c>
      <c r="X227" s="3" t="s">
        <v>146</v>
      </c>
      <c r="Y227" s="3" t="s">
        <v>147</v>
      </c>
      <c r="Z227" s="3" t="s">
        <v>63</v>
      </c>
      <c r="AA227" s="3" t="s">
        <v>148</v>
      </c>
      <c r="AB227" s="3" t="s">
        <v>43</v>
      </c>
      <c r="AC227" s="3" t="s">
        <v>66</v>
      </c>
      <c r="AD227" s="3">
        <v>0</v>
      </c>
    </row>
    <row r="228" spans="1:30" x14ac:dyDescent="0.3">
      <c r="A228" s="3">
        <v>207</v>
      </c>
      <c r="B228" s="3" t="s">
        <v>170</v>
      </c>
      <c r="C228" s="3" t="s">
        <v>142</v>
      </c>
      <c r="D228" s="3" t="s">
        <v>31</v>
      </c>
      <c r="E228" s="3" t="s">
        <v>171</v>
      </c>
      <c r="F228" s="12">
        <v>45291</v>
      </c>
      <c r="G228" s="3">
        <v>2023</v>
      </c>
      <c r="H228" s="3" t="s">
        <v>44</v>
      </c>
      <c r="I228" s="3" t="s">
        <v>49</v>
      </c>
      <c r="J228" s="3">
        <v>2</v>
      </c>
      <c r="K228" s="3">
        <v>238770.96657245801</v>
      </c>
      <c r="L228" s="3">
        <v>247359.733075</v>
      </c>
      <c r="M228" s="3">
        <v>0.96527823507984689</v>
      </c>
      <c r="N228" s="3">
        <v>0.96527823507984689</v>
      </c>
      <c r="O228" s="3" t="s">
        <v>143</v>
      </c>
      <c r="P228" s="3" t="s">
        <v>143</v>
      </c>
      <c r="Q228" s="3" t="str">
        <f t="shared" si="31"/>
        <v>207-2023-12-31</v>
      </c>
      <c r="R228" s="3">
        <v>0</v>
      </c>
      <c r="S228" s="3">
        <v>0</v>
      </c>
      <c r="T228" s="3" t="s">
        <v>31</v>
      </c>
      <c r="U228" s="3" t="s">
        <v>37</v>
      </c>
      <c r="V228" s="3" t="s">
        <v>142</v>
      </c>
      <c r="W228" s="3" t="s">
        <v>145</v>
      </c>
      <c r="X228" s="3" t="s">
        <v>146</v>
      </c>
      <c r="Y228" s="3" t="s">
        <v>147</v>
      </c>
      <c r="Z228" s="3" t="s">
        <v>63</v>
      </c>
      <c r="AA228" s="3" t="s">
        <v>148</v>
      </c>
      <c r="AB228" s="3" t="s">
        <v>43</v>
      </c>
      <c r="AC228" s="3" t="s">
        <v>66</v>
      </c>
      <c r="AD228" s="3">
        <v>0</v>
      </c>
    </row>
    <row r="229" spans="1:30" x14ac:dyDescent="0.3">
      <c r="A229" s="3">
        <v>207</v>
      </c>
      <c r="B229" s="3" t="s">
        <v>170</v>
      </c>
      <c r="C229" s="3" t="s">
        <v>142</v>
      </c>
      <c r="D229" s="3" t="s">
        <v>31</v>
      </c>
      <c r="E229" s="3" t="s">
        <v>171</v>
      </c>
      <c r="F229" s="12">
        <v>45291</v>
      </c>
      <c r="G229" s="3">
        <v>2023</v>
      </c>
      <c r="H229" s="3" t="s">
        <v>44</v>
      </c>
      <c r="I229" s="3" t="s">
        <v>49</v>
      </c>
      <c r="J229" s="3"/>
      <c r="K229" s="3">
        <v>238770.96657245801</v>
      </c>
      <c r="L229" s="3">
        <v>247359.73307500011</v>
      </c>
      <c r="M229" s="3">
        <v>0.96527823507984656</v>
      </c>
      <c r="N229" s="3">
        <v>0.96527823507984656</v>
      </c>
      <c r="O229" s="3" t="s">
        <v>143</v>
      </c>
      <c r="P229" s="3" t="s">
        <v>143</v>
      </c>
      <c r="Q229" s="3" t="str">
        <f t="shared" si="31"/>
        <v>207-2023-12-31</v>
      </c>
      <c r="R229" s="3">
        <v>0</v>
      </c>
      <c r="S229" s="3">
        <v>0</v>
      </c>
      <c r="T229" s="3" t="s">
        <v>443</v>
      </c>
      <c r="U229" s="3" t="s">
        <v>37</v>
      </c>
      <c r="V229" s="3" t="s">
        <v>142</v>
      </c>
      <c r="W229" s="3" t="s">
        <v>145</v>
      </c>
      <c r="X229" s="3" t="s">
        <v>146</v>
      </c>
      <c r="Y229" s="3" t="s">
        <v>147</v>
      </c>
      <c r="Z229" s="3" t="s">
        <v>63</v>
      </c>
      <c r="AA229" s="3" t="s">
        <v>148</v>
      </c>
      <c r="AB229" s="3" t="s">
        <v>43</v>
      </c>
      <c r="AC229" s="3" t="s">
        <v>66</v>
      </c>
      <c r="AD229" s="3">
        <v>0</v>
      </c>
    </row>
    <row r="230" spans="1:30" x14ac:dyDescent="0.3">
      <c r="A230" s="3">
        <v>207</v>
      </c>
      <c r="B230" s="3" t="s">
        <v>170</v>
      </c>
      <c r="C230" s="3" t="s">
        <v>142</v>
      </c>
      <c r="D230" s="3" t="s">
        <v>31</v>
      </c>
      <c r="E230" s="3" t="s">
        <v>171</v>
      </c>
      <c r="F230" s="12">
        <v>45473</v>
      </c>
      <c r="G230" s="3">
        <v>2024</v>
      </c>
      <c r="H230" s="3" t="s">
        <v>33</v>
      </c>
      <c r="I230" s="3" t="s">
        <v>51</v>
      </c>
      <c r="J230" s="3">
        <v>1</v>
      </c>
      <c r="K230" s="3">
        <v>128735.29679399999</v>
      </c>
      <c r="L230" s="3">
        <v>131039.3223</v>
      </c>
      <c r="M230" s="3">
        <v>1.017897387611471</v>
      </c>
      <c r="N230" s="3">
        <v>1.017897387611471</v>
      </c>
      <c r="O230" s="3" t="s">
        <v>143</v>
      </c>
      <c r="P230" s="3" t="s">
        <v>143</v>
      </c>
      <c r="Q230" s="3" t="str">
        <f t="shared" si="31"/>
        <v>207-2024-06-30</v>
      </c>
      <c r="R230" s="3">
        <v>0</v>
      </c>
      <c r="S230" s="3">
        <v>0</v>
      </c>
      <c r="T230" s="3" t="s">
        <v>31</v>
      </c>
      <c r="U230" s="3" t="s">
        <v>37</v>
      </c>
      <c r="V230" s="3" t="s">
        <v>142</v>
      </c>
      <c r="W230" s="3" t="s">
        <v>145</v>
      </c>
      <c r="X230" s="3" t="s">
        <v>146</v>
      </c>
      <c r="Y230" s="3" t="s">
        <v>147</v>
      </c>
      <c r="Z230" s="3" t="s">
        <v>63</v>
      </c>
      <c r="AA230" s="3" t="s">
        <v>148</v>
      </c>
      <c r="AB230" s="3" t="s">
        <v>43</v>
      </c>
      <c r="AC230" s="3" t="s">
        <v>66</v>
      </c>
      <c r="AD230" s="3">
        <v>0</v>
      </c>
    </row>
    <row r="231" spans="1:30" x14ac:dyDescent="0.3">
      <c r="A231" s="3">
        <v>207</v>
      </c>
      <c r="B231" s="3" t="s">
        <v>170</v>
      </c>
      <c r="C231" s="3" t="s">
        <v>142</v>
      </c>
      <c r="D231" s="3" t="s">
        <v>31</v>
      </c>
      <c r="E231" s="3" t="s">
        <v>171</v>
      </c>
      <c r="F231" s="12">
        <v>45657</v>
      </c>
      <c r="G231" s="3">
        <v>2024</v>
      </c>
      <c r="H231" s="3" t="s">
        <v>44</v>
      </c>
      <c r="I231" s="3" t="s">
        <v>53</v>
      </c>
      <c r="J231" s="3">
        <v>2</v>
      </c>
      <c r="K231" s="3">
        <v>262628.34438982193</v>
      </c>
      <c r="L231" s="3">
        <v>268399.19981700002</v>
      </c>
      <c r="M231" s="3">
        <v>1.017897387611471</v>
      </c>
      <c r="N231" s="3">
        <v>1.017897387611471</v>
      </c>
      <c r="O231" s="3" t="s">
        <v>143</v>
      </c>
      <c r="P231" s="3" t="s">
        <v>143</v>
      </c>
      <c r="Q231" s="3" t="str">
        <f t="shared" si="31"/>
        <v>207-2024-12-31</v>
      </c>
      <c r="R231" s="3">
        <v>0</v>
      </c>
      <c r="S231" s="3">
        <v>0</v>
      </c>
      <c r="T231" s="3" t="s">
        <v>31</v>
      </c>
      <c r="U231" s="3" t="s">
        <v>37</v>
      </c>
      <c r="V231" s="3" t="s">
        <v>142</v>
      </c>
      <c r="W231" s="3" t="s">
        <v>145</v>
      </c>
      <c r="X231" s="3" t="s">
        <v>146</v>
      </c>
      <c r="Y231" s="3" t="s">
        <v>147</v>
      </c>
      <c r="Z231" s="3" t="s">
        <v>63</v>
      </c>
      <c r="AA231" s="3" t="s">
        <v>148</v>
      </c>
      <c r="AB231" s="3" t="s">
        <v>43</v>
      </c>
      <c r="AC231" s="3" t="s">
        <v>66</v>
      </c>
      <c r="AD231" s="3">
        <v>0</v>
      </c>
    </row>
    <row r="232" spans="1:30" x14ac:dyDescent="0.3">
      <c r="A232" s="3">
        <v>207</v>
      </c>
      <c r="B232" s="3" t="s">
        <v>170</v>
      </c>
      <c r="C232" s="3" t="s">
        <v>142</v>
      </c>
      <c r="D232" s="3" t="s">
        <v>31</v>
      </c>
      <c r="E232" s="3" t="s">
        <v>171</v>
      </c>
      <c r="F232" s="12">
        <v>45657</v>
      </c>
      <c r="G232" s="3">
        <v>2024</v>
      </c>
      <c r="H232" s="3" t="s">
        <v>44</v>
      </c>
      <c r="I232" s="3" t="s">
        <v>53</v>
      </c>
      <c r="J232" s="3"/>
      <c r="K232" s="3">
        <v>262628.34438999998</v>
      </c>
      <c r="L232" s="3">
        <v>268399.19981700002</v>
      </c>
      <c r="M232" s="3">
        <v>1.0219734676407599</v>
      </c>
      <c r="N232" s="3">
        <v>1.0219734676407599</v>
      </c>
      <c r="O232" s="3" t="s">
        <v>143</v>
      </c>
      <c r="P232" s="3" t="s">
        <v>143</v>
      </c>
      <c r="Q232" s="3" t="str">
        <f t="shared" si="31"/>
        <v>207-2024-12-31</v>
      </c>
      <c r="R232" s="3">
        <v>0</v>
      </c>
      <c r="S232" s="3">
        <v>0</v>
      </c>
      <c r="T232" s="3" t="s">
        <v>443</v>
      </c>
      <c r="U232" s="3" t="s">
        <v>37</v>
      </c>
      <c r="V232" s="3" t="s">
        <v>142</v>
      </c>
      <c r="W232" s="3" t="s">
        <v>145</v>
      </c>
      <c r="X232" s="3" t="s">
        <v>146</v>
      </c>
      <c r="Y232" s="3" t="s">
        <v>147</v>
      </c>
      <c r="Z232" s="3" t="s">
        <v>63</v>
      </c>
      <c r="AA232" s="3" t="s">
        <v>148</v>
      </c>
      <c r="AB232" s="3" t="s">
        <v>43</v>
      </c>
      <c r="AC232" s="3" t="s">
        <v>66</v>
      </c>
      <c r="AD232" s="3">
        <v>0</v>
      </c>
    </row>
    <row r="233" spans="1:30" x14ac:dyDescent="0.3">
      <c r="A233" s="3">
        <v>207</v>
      </c>
      <c r="B233" s="3" t="s">
        <v>170</v>
      </c>
      <c r="C233" s="3" t="s">
        <v>142</v>
      </c>
      <c r="D233" s="3" t="s">
        <v>31</v>
      </c>
      <c r="E233" s="3" t="s">
        <v>171</v>
      </c>
      <c r="F233" s="12">
        <v>45838</v>
      </c>
      <c r="G233" s="3">
        <v>2025</v>
      </c>
      <c r="H233" s="3" t="s">
        <v>33</v>
      </c>
      <c r="I233" s="3" t="s">
        <v>404</v>
      </c>
      <c r="J233" s="3">
        <v>1</v>
      </c>
      <c r="K233" s="3">
        <v>131244.07283600001</v>
      </c>
      <c r="L233" s="3">
        <v>145546.91852800001</v>
      </c>
      <c r="M233" s="3">
        <v>1.108978983834741</v>
      </c>
      <c r="N233" s="3">
        <v>1.108978983834741</v>
      </c>
      <c r="O233" s="3" t="s">
        <v>143</v>
      </c>
      <c r="P233" s="3" t="s">
        <v>143</v>
      </c>
      <c r="Q233" s="3" t="str">
        <f t="shared" si="31"/>
        <v>207-2025-06-30</v>
      </c>
      <c r="R233" s="3">
        <v>0</v>
      </c>
      <c r="S233" s="3">
        <v>0</v>
      </c>
      <c r="T233" s="3" t="s">
        <v>31</v>
      </c>
      <c r="U233" s="3" t="s">
        <v>37</v>
      </c>
      <c r="V233" s="3" t="s">
        <v>142</v>
      </c>
      <c r="W233" s="3" t="s">
        <v>145</v>
      </c>
      <c r="X233" s="3" t="s">
        <v>146</v>
      </c>
      <c r="Y233" s="3" t="s">
        <v>147</v>
      </c>
      <c r="Z233" s="3" t="s">
        <v>63</v>
      </c>
      <c r="AA233" s="3" t="s">
        <v>148</v>
      </c>
      <c r="AB233" s="3" t="s">
        <v>43</v>
      </c>
      <c r="AC233" s="3" t="s">
        <v>66</v>
      </c>
      <c r="AD233" s="3">
        <v>0</v>
      </c>
    </row>
    <row r="234" spans="1:30" x14ac:dyDescent="0.3">
      <c r="A234" s="3">
        <v>207</v>
      </c>
      <c r="B234" s="3" t="s">
        <v>170</v>
      </c>
      <c r="C234" s="3" t="s">
        <v>142</v>
      </c>
      <c r="D234" s="3" t="s">
        <v>31</v>
      </c>
      <c r="E234" s="3" t="s">
        <v>171</v>
      </c>
      <c r="F234" s="12">
        <v>46022</v>
      </c>
      <c r="G234" s="3">
        <v>2025</v>
      </c>
      <c r="H234" s="3" t="s">
        <v>44</v>
      </c>
      <c r="I234" s="3" t="s">
        <v>465</v>
      </c>
      <c r="J234" s="3"/>
      <c r="K234" s="3"/>
      <c r="L234" s="3">
        <v>277178.213544</v>
      </c>
      <c r="M234" s="3"/>
      <c r="N234" s="3"/>
      <c r="O234" s="3" t="s">
        <v>143</v>
      </c>
      <c r="P234" s="3" t="s">
        <v>143</v>
      </c>
      <c r="Q234" s="3" t="str">
        <f t="shared" si="31"/>
        <v>207-2025-12-31</v>
      </c>
      <c r="R234" s="3">
        <v>0</v>
      </c>
      <c r="S234" s="3">
        <v>0</v>
      </c>
      <c r="T234" s="3" t="s">
        <v>443</v>
      </c>
      <c r="U234" s="3" t="s">
        <v>37</v>
      </c>
      <c r="V234" s="3" t="s">
        <v>142</v>
      </c>
      <c r="W234" s="3" t="s">
        <v>145</v>
      </c>
      <c r="X234" s="3" t="s">
        <v>146</v>
      </c>
      <c r="Y234" s="3" t="s">
        <v>147</v>
      </c>
      <c r="Z234" s="3" t="s">
        <v>63</v>
      </c>
      <c r="AA234" s="3" t="s">
        <v>148</v>
      </c>
      <c r="AB234" s="3" t="s">
        <v>43</v>
      </c>
      <c r="AC234" s="3" t="s">
        <v>66</v>
      </c>
      <c r="AD234" s="3">
        <v>0</v>
      </c>
    </row>
    <row r="235" spans="1:30" x14ac:dyDescent="0.3">
      <c r="A235" s="3">
        <v>228</v>
      </c>
      <c r="B235" s="3" t="s">
        <v>176</v>
      </c>
      <c r="C235" s="3" t="s">
        <v>177</v>
      </c>
      <c r="D235" s="3" t="s">
        <v>66</v>
      </c>
      <c r="E235" s="3" t="s">
        <v>32</v>
      </c>
      <c r="F235" s="12">
        <v>44926</v>
      </c>
      <c r="G235" s="3">
        <v>2022</v>
      </c>
      <c r="H235" s="3" t="s">
        <v>44</v>
      </c>
      <c r="I235" s="3" t="s">
        <v>45</v>
      </c>
      <c r="J235" s="3">
        <v>2</v>
      </c>
      <c r="K235" s="3">
        <v>170.99</v>
      </c>
      <c r="L235" s="3">
        <v>235</v>
      </c>
      <c r="M235" s="3">
        <f>+L235/K235</f>
        <v>1.3743493771565587</v>
      </c>
      <c r="N235" s="3">
        <f>+L235/K235</f>
        <v>1.3743493771565587</v>
      </c>
      <c r="O235" s="3" t="s">
        <v>445</v>
      </c>
      <c r="P235" s="3" t="s">
        <v>445</v>
      </c>
      <c r="Q235" s="3" t="str">
        <f t="shared" si="31"/>
        <v>228-2022-12-31</v>
      </c>
      <c r="R235" s="3">
        <v>1</v>
      </c>
      <c r="S235" s="3">
        <v>0</v>
      </c>
      <c r="T235" s="3" t="s">
        <v>31</v>
      </c>
      <c r="U235" s="3" t="s">
        <v>37</v>
      </c>
      <c r="V235" s="3" t="s">
        <v>177</v>
      </c>
      <c r="W235" s="3" t="s">
        <v>145</v>
      </c>
      <c r="X235" s="3" t="s">
        <v>179</v>
      </c>
      <c r="Y235" s="3" t="s">
        <v>180</v>
      </c>
      <c r="Z235" s="3" t="s">
        <v>63</v>
      </c>
      <c r="AA235" s="3" t="s">
        <v>64</v>
      </c>
      <c r="AB235" s="3" t="s">
        <v>43</v>
      </c>
      <c r="AC235" s="3" t="s">
        <v>66</v>
      </c>
      <c r="AD235" s="3">
        <v>0</v>
      </c>
    </row>
    <row r="236" spans="1:30" x14ac:dyDescent="0.3">
      <c r="A236" s="3">
        <v>228</v>
      </c>
      <c r="B236" s="3" t="s">
        <v>176</v>
      </c>
      <c r="C236" s="3" t="s">
        <v>177</v>
      </c>
      <c r="D236" s="3" t="s">
        <v>66</v>
      </c>
      <c r="E236" s="3" t="s">
        <v>32</v>
      </c>
      <c r="F236" s="12">
        <v>44926</v>
      </c>
      <c r="G236" s="3">
        <v>2022</v>
      </c>
      <c r="H236" s="3" t="s">
        <v>44</v>
      </c>
      <c r="I236" s="3" t="s">
        <v>45</v>
      </c>
      <c r="J236" s="3"/>
      <c r="K236" s="3">
        <v>170.99</v>
      </c>
      <c r="L236" s="3">
        <v>235</v>
      </c>
      <c r="M236" s="3">
        <f t="shared" ref="M236:M240" si="34">+L236/K236</f>
        <v>1.3743493771565587</v>
      </c>
      <c r="N236" s="3">
        <f t="shared" ref="N236:N240" si="35">+L236/K236</f>
        <v>1.3743493771565587</v>
      </c>
      <c r="O236" s="3" t="s">
        <v>445</v>
      </c>
      <c r="P236" s="3" t="s">
        <v>445</v>
      </c>
      <c r="Q236" s="3" t="str">
        <f t="shared" si="31"/>
        <v>228-2022-12-31</v>
      </c>
      <c r="R236" s="3">
        <v>1</v>
      </c>
      <c r="S236" s="3">
        <v>0</v>
      </c>
      <c r="T236" s="3" t="s">
        <v>443</v>
      </c>
      <c r="U236" s="3" t="s">
        <v>37</v>
      </c>
      <c r="V236" s="3" t="s">
        <v>177</v>
      </c>
      <c r="W236" s="3" t="s">
        <v>145</v>
      </c>
      <c r="X236" s="3" t="s">
        <v>179</v>
      </c>
      <c r="Y236" s="3" t="s">
        <v>180</v>
      </c>
      <c r="Z236" s="3" t="s">
        <v>63</v>
      </c>
      <c r="AA236" s="3" t="s">
        <v>64</v>
      </c>
      <c r="AB236" s="3" t="s">
        <v>43</v>
      </c>
      <c r="AC236" s="3" t="s">
        <v>66</v>
      </c>
      <c r="AD236" s="3">
        <v>0</v>
      </c>
    </row>
    <row r="237" spans="1:30" x14ac:dyDescent="0.3">
      <c r="A237" s="3">
        <v>228</v>
      </c>
      <c r="B237" s="3" t="s">
        <v>176</v>
      </c>
      <c r="C237" s="3" t="s">
        <v>177</v>
      </c>
      <c r="D237" s="3" t="s">
        <v>66</v>
      </c>
      <c r="E237" s="3" t="s">
        <v>32</v>
      </c>
      <c r="F237" s="12">
        <v>45291</v>
      </c>
      <c r="G237" s="3">
        <v>2023</v>
      </c>
      <c r="H237" s="3" t="s">
        <v>44</v>
      </c>
      <c r="I237" s="3" t="s">
        <v>49</v>
      </c>
      <c r="J237" s="3">
        <v>2</v>
      </c>
      <c r="K237" s="3">
        <v>476.48</v>
      </c>
      <c r="L237" s="3">
        <v>477</v>
      </c>
      <c r="M237" s="3">
        <f t="shared" si="34"/>
        <v>1.0010913364674279</v>
      </c>
      <c r="N237" s="3">
        <f t="shared" si="35"/>
        <v>1.0010913364674279</v>
      </c>
      <c r="O237" s="3" t="s">
        <v>445</v>
      </c>
      <c r="P237" s="3" t="s">
        <v>445</v>
      </c>
      <c r="Q237" s="3" t="str">
        <f t="shared" si="31"/>
        <v>228-2023-12-31</v>
      </c>
      <c r="R237" s="3">
        <v>1</v>
      </c>
      <c r="S237" s="3">
        <v>0</v>
      </c>
      <c r="T237" s="3" t="s">
        <v>31</v>
      </c>
      <c r="U237" s="3" t="s">
        <v>37</v>
      </c>
      <c r="V237" s="3" t="s">
        <v>177</v>
      </c>
      <c r="W237" s="3" t="s">
        <v>145</v>
      </c>
      <c r="X237" s="3" t="s">
        <v>179</v>
      </c>
      <c r="Y237" s="3" t="s">
        <v>180</v>
      </c>
      <c r="Z237" s="3" t="s">
        <v>63</v>
      </c>
      <c r="AA237" s="3" t="s">
        <v>64</v>
      </c>
      <c r="AB237" s="3" t="s">
        <v>43</v>
      </c>
      <c r="AC237" s="3" t="s">
        <v>66</v>
      </c>
      <c r="AD237" s="3">
        <v>0</v>
      </c>
    </row>
    <row r="238" spans="1:30" x14ac:dyDescent="0.3">
      <c r="A238" s="3">
        <v>228</v>
      </c>
      <c r="B238" s="3" t="s">
        <v>176</v>
      </c>
      <c r="C238" s="3" t="s">
        <v>177</v>
      </c>
      <c r="D238" s="3" t="s">
        <v>66</v>
      </c>
      <c r="E238" s="3" t="s">
        <v>32</v>
      </c>
      <c r="F238" s="12">
        <v>45657</v>
      </c>
      <c r="G238" s="3">
        <v>2023</v>
      </c>
      <c r="H238" s="3" t="s">
        <v>44</v>
      </c>
      <c r="I238" s="3" t="s">
        <v>49</v>
      </c>
      <c r="J238" s="3"/>
      <c r="K238" s="3">
        <v>476.48</v>
      </c>
      <c r="L238" s="3">
        <v>477</v>
      </c>
      <c r="M238" s="3">
        <f t="shared" si="34"/>
        <v>1.0010913364674279</v>
      </c>
      <c r="N238" s="3">
        <f t="shared" si="35"/>
        <v>1.0010913364674279</v>
      </c>
      <c r="O238" s="3" t="s">
        <v>445</v>
      </c>
      <c r="P238" s="3" t="s">
        <v>445</v>
      </c>
      <c r="Q238" s="3" t="str">
        <f t="shared" si="31"/>
        <v>228-2024-12-31</v>
      </c>
      <c r="R238" s="3">
        <v>1</v>
      </c>
      <c r="S238" s="3">
        <v>0</v>
      </c>
      <c r="T238" s="3" t="s">
        <v>443</v>
      </c>
      <c r="U238" s="3" t="s">
        <v>37</v>
      </c>
      <c r="V238" s="3" t="s">
        <v>177</v>
      </c>
      <c r="W238" s="3" t="s">
        <v>145</v>
      </c>
      <c r="X238" s="3" t="s">
        <v>179</v>
      </c>
      <c r="Y238" s="3" t="s">
        <v>180</v>
      </c>
      <c r="Z238" s="3" t="s">
        <v>63</v>
      </c>
      <c r="AA238" s="3" t="s">
        <v>64</v>
      </c>
      <c r="AB238" s="3" t="s">
        <v>43</v>
      </c>
      <c r="AC238" s="3" t="s">
        <v>66</v>
      </c>
      <c r="AD238" s="3">
        <v>0</v>
      </c>
    </row>
    <row r="239" spans="1:30" x14ac:dyDescent="0.3">
      <c r="A239" s="3">
        <v>228</v>
      </c>
      <c r="B239" s="3" t="s">
        <v>176</v>
      </c>
      <c r="C239" s="3" t="s">
        <v>177</v>
      </c>
      <c r="D239" s="3" t="s">
        <v>66</v>
      </c>
      <c r="E239" s="3" t="s">
        <v>32</v>
      </c>
      <c r="F239" s="12">
        <v>45657</v>
      </c>
      <c r="G239" s="3">
        <v>2024</v>
      </c>
      <c r="H239" s="3" t="s">
        <v>44</v>
      </c>
      <c r="I239" s="3" t="s">
        <v>53</v>
      </c>
      <c r="J239" s="3">
        <v>2</v>
      </c>
      <c r="K239" s="3">
        <v>622.69000000000005</v>
      </c>
      <c r="L239" s="3">
        <v>622.68999999999994</v>
      </c>
      <c r="M239" s="3">
        <f t="shared" si="34"/>
        <v>0.99999999999999978</v>
      </c>
      <c r="N239" s="3">
        <f t="shared" si="35"/>
        <v>0.99999999999999978</v>
      </c>
      <c r="O239" s="3" t="s">
        <v>445</v>
      </c>
      <c r="P239" s="3" t="s">
        <v>445</v>
      </c>
      <c r="Q239" s="3" t="str">
        <f t="shared" si="31"/>
        <v>228-2024-12-31</v>
      </c>
      <c r="R239" s="3">
        <v>1</v>
      </c>
      <c r="S239" s="3">
        <v>1</v>
      </c>
      <c r="T239" s="3" t="s">
        <v>31</v>
      </c>
      <c r="U239" s="3" t="s">
        <v>37</v>
      </c>
      <c r="V239" s="3" t="s">
        <v>177</v>
      </c>
      <c r="W239" s="3" t="s">
        <v>145</v>
      </c>
      <c r="X239" s="3" t="s">
        <v>179</v>
      </c>
      <c r="Y239" s="3" t="s">
        <v>180</v>
      </c>
      <c r="Z239" s="3" t="s">
        <v>63</v>
      </c>
      <c r="AA239" s="3" t="s">
        <v>64</v>
      </c>
      <c r="AB239" s="3" t="s">
        <v>43</v>
      </c>
      <c r="AC239" s="3" t="s">
        <v>66</v>
      </c>
      <c r="AD239" s="3">
        <v>0</v>
      </c>
    </row>
    <row r="240" spans="1:30" x14ac:dyDescent="0.3">
      <c r="A240" s="3">
        <v>228</v>
      </c>
      <c r="B240" s="3" t="s">
        <v>176</v>
      </c>
      <c r="C240" s="3" t="s">
        <v>177</v>
      </c>
      <c r="D240" s="3" t="s">
        <v>66</v>
      </c>
      <c r="E240" s="3" t="s">
        <v>32</v>
      </c>
      <c r="F240" s="12">
        <v>45657</v>
      </c>
      <c r="G240" s="3">
        <v>2024</v>
      </c>
      <c r="H240" s="3" t="s">
        <v>44</v>
      </c>
      <c r="I240" s="3" t="s">
        <v>53</v>
      </c>
      <c r="J240" s="3"/>
      <c r="K240" s="3">
        <v>622.69000000000005</v>
      </c>
      <c r="L240" s="3">
        <v>622.68999999999994</v>
      </c>
      <c r="M240" s="3">
        <f t="shared" si="34"/>
        <v>0.99999999999999978</v>
      </c>
      <c r="N240" s="3">
        <f t="shared" si="35"/>
        <v>0.99999999999999978</v>
      </c>
      <c r="O240" s="3" t="s">
        <v>445</v>
      </c>
      <c r="P240" s="3" t="s">
        <v>445</v>
      </c>
      <c r="Q240" s="3" t="str">
        <f t="shared" si="31"/>
        <v>228-2024-12-31</v>
      </c>
      <c r="R240" s="3">
        <v>1</v>
      </c>
      <c r="S240" s="3">
        <v>1</v>
      </c>
      <c r="T240" s="3" t="s">
        <v>443</v>
      </c>
      <c r="U240" s="3" t="s">
        <v>37</v>
      </c>
      <c r="V240" s="3" t="s">
        <v>177</v>
      </c>
      <c r="W240" s="3" t="s">
        <v>145</v>
      </c>
      <c r="X240" s="3" t="s">
        <v>179</v>
      </c>
      <c r="Y240" s="3" t="s">
        <v>180</v>
      </c>
      <c r="Z240" s="3" t="s">
        <v>63</v>
      </c>
      <c r="AA240" s="3" t="s">
        <v>64</v>
      </c>
      <c r="AB240" s="3" t="s">
        <v>43</v>
      </c>
      <c r="AC240" s="3" t="s">
        <v>66</v>
      </c>
      <c r="AD240" s="3">
        <v>0</v>
      </c>
    </row>
    <row r="241" spans="1:30" x14ac:dyDescent="0.3">
      <c r="A241" s="3">
        <v>244</v>
      </c>
      <c r="B241" s="3" t="s">
        <v>182</v>
      </c>
      <c r="C241" s="3" t="s">
        <v>177</v>
      </c>
      <c r="D241" s="3" t="s">
        <v>66</v>
      </c>
      <c r="E241" s="3" t="s">
        <v>171</v>
      </c>
      <c r="F241" s="12">
        <v>44926</v>
      </c>
      <c r="G241" s="3">
        <v>2022</v>
      </c>
      <c r="H241" s="3" t="s">
        <v>44</v>
      </c>
      <c r="I241" s="3" t="s">
        <v>45</v>
      </c>
      <c r="J241" s="3">
        <v>2</v>
      </c>
      <c r="K241" s="3">
        <v>27</v>
      </c>
      <c r="L241" s="3">
        <v>27</v>
      </c>
      <c r="M241" s="3">
        <f>IF(K241/L241&gt;1.3,1.3,K241/L241)</f>
        <v>1</v>
      </c>
      <c r="N241" s="3">
        <f>+K241/L241</f>
        <v>1</v>
      </c>
      <c r="O241" s="3" t="s">
        <v>35</v>
      </c>
      <c r="P241" s="3" t="s">
        <v>35</v>
      </c>
      <c r="Q241" s="3" t="str">
        <f t="shared" si="31"/>
        <v>244-2022-12-31</v>
      </c>
      <c r="R241" s="3">
        <v>0</v>
      </c>
      <c r="S241" s="3">
        <v>0</v>
      </c>
      <c r="T241" s="3" t="s">
        <v>31</v>
      </c>
      <c r="U241" s="3" t="s">
        <v>37</v>
      </c>
      <c r="V241" s="3" t="s">
        <v>177</v>
      </c>
      <c r="W241" s="3" t="s">
        <v>145</v>
      </c>
      <c r="X241" s="3" t="s">
        <v>179</v>
      </c>
      <c r="Y241" s="3" t="s">
        <v>180</v>
      </c>
      <c r="Z241" s="3" t="s">
        <v>63</v>
      </c>
      <c r="AA241" s="3" t="s">
        <v>64</v>
      </c>
      <c r="AB241" s="3" t="s">
        <v>43</v>
      </c>
      <c r="AC241" s="3" t="s">
        <v>66</v>
      </c>
      <c r="AD241" s="3">
        <v>0</v>
      </c>
    </row>
    <row r="242" spans="1:30" x14ac:dyDescent="0.3">
      <c r="A242" s="3">
        <v>244</v>
      </c>
      <c r="B242" s="3" t="s">
        <v>182</v>
      </c>
      <c r="C242" s="3" t="s">
        <v>177</v>
      </c>
      <c r="D242" s="3" t="s">
        <v>66</v>
      </c>
      <c r="E242" s="3" t="s">
        <v>171</v>
      </c>
      <c r="F242" s="12">
        <v>44926</v>
      </c>
      <c r="G242" s="3">
        <v>2022</v>
      </c>
      <c r="H242" s="3" t="s">
        <v>44</v>
      </c>
      <c r="I242" s="3" t="s">
        <v>45</v>
      </c>
      <c r="J242" s="3"/>
      <c r="K242" s="3">
        <v>27</v>
      </c>
      <c r="L242" s="3">
        <v>27</v>
      </c>
      <c r="M242" s="3">
        <f t="shared" ref="M242:M247" si="36">IF(K242/L242&gt;1.3,1.3,K242/L242)</f>
        <v>1</v>
      </c>
      <c r="N242" s="3">
        <f t="shared" ref="N242:N247" si="37">+K242/L242</f>
        <v>1</v>
      </c>
      <c r="O242" s="3" t="s">
        <v>35</v>
      </c>
      <c r="P242" s="3" t="s">
        <v>35</v>
      </c>
      <c r="Q242" s="3" t="str">
        <f t="shared" si="31"/>
        <v>244-2022-12-31</v>
      </c>
      <c r="R242" s="3">
        <v>0</v>
      </c>
      <c r="S242" s="3">
        <v>0</v>
      </c>
      <c r="T242" s="3" t="s">
        <v>443</v>
      </c>
      <c r="U242" s="3" t="s">
        <v>37</v>
      </c>
      <c r="V242" s="3" t="s">
        <v>177</v>
      </c>
      <c r="W242" s="3" t="s">
        <v>145</v>
      </c>
      <c r="X242" s="3" t="s">
        <v>179</v>
      </c>
      <c r="Y242" s="3" t="s">
        <v>180</v>
      </c>
      <c r="Z242" s="3" t="s">
        <v>63</v>
      </c>
      <c r="AA242" s="3" t="s">
        <v>64</v>
      </c>
      <c r="AB242" s="3" t="s">
        <v>43</v>
      </c>
      <c r="AC242" s="3" t="s">
        <v>66</v>
      </c>
      <c r="AD242" s="3">
        <v>0</v>
      </c>
    </row>
    <row r="243" spans="1:30" x14ac:dyDescent="0.3">
      <c r="A243" s="3">
        <v>244</v>
      </c>
      <c r="B243" s="3" t="s">
        <v>182</v>
      </c>
      <c r="C243" s="3" t="s">
        <v>177</v>
      </c>
      <c r="D243" s="3" t="s">
        <v>66</v>
      </c>
      <c r="E243" s="3" t="s">
        <v>171</v>
      </c>
      <c r="F243" s="12">
        <v>45291</v>
      </c>
      <c r="G243" s="3">
        <v>2023</v>
      </c>
      <c r="H243" s="3" t="s">
        <v>44</v>
      </c>
      <c r="I243" s="3" t="s">
        <v>49</v>
      </c>
      <c r="J243" s="3">
        <v>2</v>
      </c>
      <c r="K243" s="3">
        <v>25</v>
      </c>
      <c r="L243" s="3">
        <v>24</v>
      </c>
      <c r="M243" s="3">
        <f t="shared" si="36"/>
        <v>1.0416666666666667</v>
      </c>
      <c r="N243" s="3">
        <f t="shared" si="37"/>
        <v>1.0416666666666667</v>
      </c>
      <c r="O243" s="3" t="s">
        <v>35</v>
      </c>
      <c r="P243" s="3" t="s">
        <v>35</v>
      </c>
      <c r="Q243" s="3" t="str">
        <f t="shared" si="31"/>
        <v>244-2023-12-31</v>
      </c>
      <c r="R243" s="3">
        <v>0</v>
      </c>
      <c r="S243" s="3">
        <v>0</v>
      </c>
      <c r="T243" s="3" t="s">
        <v>31</v>
      </c>
      <c r="U243" s="3" t="s">
        <v>37</v>
      </c>
      <c r="V243" s="3" t="s">
        <v>177</v>
      </c>
      <c r="W243" s="3" t="s">
        <v>145</v>
      </c>
      <c r="X243" s="3" t="s">
        <v>179</v>
      </c>
      <c r="Y243" s="3" t="s">
        <v>180</v>
      </c>
      <c r="Z243" s="3" t="s">
        <v>63</v>
      </c>
      <c r="AA243" s="3" t="s">
        <v>64</v>
      </c>
      <c r="AB243" s="3" t="s">
        <v>43</v>
      </c>
      <c r="AC243" s="3" t="s">
        <v>66</v>
      </c>
      <c r="AD243" s="3">
        <v>0</v>
      </c>
    </row>
    <row r="244" spans="1:30" x14ac:dyDescent="0.3">
      <c r="A244" s="3">
        <v>244</v>
      </c>
      <c r="B244" s="3" t="s">
        <v>182</v>
      </c>
      <c r="C244" s="3" t="s">
        <v>177</v>
      </c>
      <c r="D244" s="3" t="s">
        <v>66</v>
      </c>
      <c r="E244" s="3" t="s">
        <v>171</v>
      </c>
      <c r="F244" s="12">
        <v>45291</v>
      </c>
      <c r="G244" s="3">
        <v>2023</v>
      </c>
      <c r="H244" s="3" t="s">
        <v>44</v>
      </c>
      <c r="I244" s="3" t="s">
        <v>49</v>
      </c>
      <c r="J244" s="3"/>
      <c r="K244" s="3">
        <v>25</v>
      </c>
      <c r="L244" s="3">
        <v>24</v>
      </c>
      <c r="M244" s="3">
        <f t="shared" si="36"/>
        <v>1.0416666666666667</v>
      </c>
      <c r="N244" s="3">
        <f t="shared" si="37"/>
        <v>1.0416666666666667</v>
      </c>
      <c r="O244" s="3" t="s">
        <v>35</v>
      </c>
      <c r="P244" s="3" t="s">
        <v>35</v>
      </c>
      <c r="Q244" s="3" t="str">
        <f t="shared" si="31"/>
        <v>244-2023-12-31</v>
      </c>
      <c r="R244" s="3">
        <v>0</v>
      </c>
      <c r="S244" s="3">
        <v>0</v>
      </c>
      <c r="T244" s="3" t="s">
        <v>443</v>
      </c>
      <c r="U244" s="3" t="s">
        <v>37</v>
      </c>
      <c r="V244" s="3" t="s">
        <v>177</v>
      </c>
      <c r="W244" s="3" t="s">
        <v>145</v>
      </c>
      <c r="X244" s="3" t="s">
        <v>179</v>
      </c>
      <c r="Y244" s="3" t="s">
        <v>180</v>
      </c>
      <c r="Z244" s="3" t="s">
        <v>63</v>
      </c>
      <c r="AA244" s="3" t="s">
        <v>64</v>
      </c>
      <c r="AB244" s="3" t="s">
        <v>43</v>
      </c>
      <c r="AC244" s="3" t="s">
        <v>66</v>
      </c>
      <c r="AD244" s="3">
        <v>0</v>
      </c>
    </row>
    <row r="245" spans="1:30" x14ac:dyDescent="0.3">
      <c r="A245" s="3">
        <v>244</v>
      </c>
      <c r="B245" s="3" t="s">
        <v>182</v>
      </c>
      <c r="C245" s="3" t="s">
        <v>177</v>
      </c>
      <c r="D245" s="3" t="s">
        <v>66</v>
      </c>
      <c r="E245" s="3" t="s">
        <v>171</v>
      </c>
      <c r="F245" s="12">
        <v>45657</v>
      </c>
      <c r="G245" s="3">
        <v>2024</v>
      </c>
      <c r="H245" s="3" t="s">
        <v>44</v>
      </c>
      <c r="I245" s="3" t="s">
        <v>53</v>
      </c>
      <c r="J245" s="3">
        <v>2</v>
      </c>
      <c r="K245" s="3">
        <v>25</v>
      </c>
      <c r="L245" s="3">
        <v>25</v>
      </c>
      <c r="M245" s="3">
        <f t="shared" si="36"/>
        <v>1</v>
      </c>
      <c r="N245" s="3">
        <f t="shared" si="37"/>
        <v>1</v>
      </c>
      <c r="O245" s="3" t="s">
        <v>35</v>
      </c>
      <c r="P245" s="3" t="s">
        <v>35</v>
      </c>
      <c r="Q245" s="3" t="str">
        <f t="shared" si="31"/>
        <v>244-2024-12-31</v>
      </c>
      <c r="R245" s="3">
        <v>0</v>
      </c>
      <c r="S245" s="3">
        <v>0</v>
      </c>
      <c r="T245" s="3" t="s">
        <v>31</v>
      </c>
      <c r="U245" s="3" t="s">
        <v>37</v>
      </c>
      <c r="V245" s="3" t="s">
        <v>177</v>
      </c>
      <c r="W245" s="3" t="s">
        <v>145</v>
      </c>
      <c r="X245" s="3" t="s">
        <v>179</v>
      </c>
      <c r="Y245" s="3" t="s">
        <v>180</v>
      </c>
      <c r="Z245" s="3" t="s">
        <v>63</v>
      </c>
      <c r="AA245" s="3" t="s">
        <v>64</v>
      </c>
      <c r="AB245" s="3" t="s">
        <v>43</v>
      </c>
      <c r="AC245" s="3" t="s">
        <v>66</v>
      </c>
      <c r="AD245" s="3">
        <v>0</v>
      </c>
    </row>
    <row r="246" spans="1:30" x14ac:dyDescent="0.3">
      <c r="A246" s="3">
        <v>244</v>
      </c>
      <c r="B246" s="3" t="s">
        <v>182</v>
      </c>
      <c r="C246" s="3" t="s">
        <v>177</v>
      </c>
      <c r="D246" s="3" t="s">
        <v>66</v>
      </c>
      <c r="E246" s="3" t="s">
        <v>171</v>
      </c>
      <c r="F246" s="12">
        <v>45657</v>
      </c>
      <c r="G246" s="3">
        <v>2024</v>
      </c>
      <c r="H246" s="3" t="s">
        <v>44</v>
      </c>
      <c r="I246" s="3" t="s">
        <v>53</v>
      </c>
      <c r="J246" s="3"/>
      <c r="K246" s="3">
        <v>25</v>
      </c>
      <c r="L246" s="3">
        <v>25</v>
      </c>
      <c r="M246" s="3">
        <f t="shared" si="36"/>
        <v>1</v>
      </c>
      <c r="N246" s="3">
        <f t="shared" si="37"/>
        <v>1</v>
      </c>
      <c r="O246" s="3" t="s">
        <v>35</v>
      </c>
      <c r="P246" s="3" t="s">
        <v>35</v>
      </c>
      <c r="Q246" s="3" t="str">
        <f t="shared" si="31"/>
        <v>244-2024-12-31</v>
      </c>
      <c r="R246" s="3">
        <v>0</v>
      </c>
      <c r="S246" s="3">
        <v>0</v>
      </c>
      <c r="T246" s="3" t="s">
        <v>443</v>
      </c>
      <c r="U246" s="3" t="s">
        <v>37</v>
      </c>
      <c r="V246" s="3" t="s">
        <v>177</v>
      </c>
      <c r="W246" s="3" t="s">
        <v>145</v>
      </c>
      <c r="X246" s="3" t="s">
        <v>179</v>
      </c>
      <c r="Y246" s="3" t="s">
        <v>180</v>
      </c>
      <c r="Z246" s="3" t="s">
        <v>63</v>
      </c>
      <c r="AA246" s="3" t="s">
        <v>64</v>
      </c>
      <c r="AB246" s="3" t="s">
        <v>43</v>
      </c>
      <c r="AC246" s="3" t="s">
        <v>66</v>
      </c>
      <c r="AD246" s="3">
        <v>0</v>
      </c>
    </row>
    <row r="247" spans="1:30" x14ac:dyDescent="0.3">
      <c r="A247" s="3">
        <v>244</v>
      </c>
      <c r="B247" s="3" t="s">
        <v>182</v>
      </c>
      <c r="C247" s="3" t="s">
        <v>177</v>
      </c>
      <c r="D247" s="3" t="s">
        <v>66</v>
      </c>
      <c r="E247" s="3" t="s">
        <v>171</v>
      </c>
      <c r="F247" s="12">
        <v>46022</v>
      </c>
      <c r="G247" s="3">
        <v>2025</v>
      </c>
      <c r="H247" s="3" t="s">
        <v>44</v>
      </c>
      <c r="I247" s="3" t="s">
        <v>465</v>
      </c>
      <c r="J247" s="3">
        <v>2</v>
      </c>
      <c r="K247" s="3">
        <v>25</v>
      </c>
      <c r="L247" s="3">
        <v>13</v>
      </c>
      <c r="M247" s="3">
        <f t="shared" si="36"/>
        <v>1.3</v>
      </c>
      <c r="N247" s="3">
        <f t="shared" si="37"/>
        <v>1.9230769230769231</v>
      </c>
      <c r="O247" s="3" t="s">
        <v>35</v>
      </c>
      <c r="P247" s="3" t="s">
        <v>35</v>
      </c>
      <c r="Q247" s="3" t="str">
        <f t="shared" si="31"/>
        <v>244-2025-12-31</v>
      </c>
      <c r="R247" s="3">
        <v>0</v>
      </c>
      <c r="S247" s="3">
        <v>0</v>
      </c>
      <c r="T247" s="3" t="s">
        <v>31</v>
      </c>
      <c r="U247" s="3" t="s">
        <v>37</v>
      </c>
      <c r="V247" s="3" t="s">
        <v>177</v>
      </c>
      <c r="W247" s="3" t="s">
        <v>145</v>
      </c>
      <c r="X247" s="3" t="s">
        <v>179</v>
      </c>
      <c r="Y247" s="3" t="s">
        <v>180</v>
      </c>
      <c r="Z247" s="3" t="s">
        <v>63</v>
      </c>
      <c r="AA247" s="3" t="s">
        <v>64</v>
      </c>
      <c r="AB247" s="3" t="s">
        <v>43</v>
      </c>
      <c r="AC247" s="3" t="s">
        <v>66</v>
      </c>
      <c r="AD247" s="3">
        <v>0</v>
      </c>
    </row>
    <row r="248" spans="1:30" x14ac:dyDescent="0.3">
      <c r="A248" s="3">
        <v>245</v>
      </c>
      <c r="B248" s="3" t="s">
        <v>185</v>
      </c>
      <c r="C248" s="3" t="s">
        <v>186</v>
      </c>
      <c r="D248" s="3" t="s">
        <v>31</v>
      </c>
      <c r="E248" s="3" t="s">
        <v>32</v>
      </c>
      <c r="F248" s="12">
        <v>44742</v>
      </c>
      <c r="G248" s="3">
        <v>2022</v>
      </c>
      <c r="H248" s="3" t="s">
        <v>33</v>
      </c>
      <c r="I248" s="3" t="s">
        <v>34</v>
      </c>
      <c r="J248" s="3">
        <v>1</v>
      </c>
      <c r="K248" s="3">
        <v>88.5</v>
      </c>
      <c r="L248" s="3">
        <v>87</v>
      </c>
      <c r="M248" s="3">
        <f>+L248/K248</f>
        <v>0.98305084745762716</v>
      </c>
      <c r="N248" s="3">
        <f>+L248/K248</f>
        <v>0.98305084745762716</v>
      </c>
      <c r="O248" s="3" t="s">
        <v>58</v>
      </c>
      <c r="P248" s="3" t="s">
        <v>58</v>
      </c>
      <c r="Q248" s="3" t="str">
        <f t="shared" si="31"/>
        <v>245-2022-06-30</v>
      </c>
      <c r="R248" s="3">
        <v>0</v>
      </c>
      <c r="S248" s="3">
        <v>0</v>
      </c>
      <c r="T248" s="3" t="s">
        <v>31</v>
      </c>
      <c r="U248" s="3" t="s">
        <v>37</v>
      </c>
      <c r="V248" s="3" t="s">
        <v>186</v>
      </c>
      <c r="W248" s="3" t="s">
        <v>112</v>
      </c>
      <c r="X248" s="3" t="s">
        <v>113</v>
      </c>
      <c r="Y248" s="3" t="s">
        <v>123</v>
      </c>
      <c r="Z248" s="3" t="s">
        <v>41</v>
      </c>
      <c r="AA248" s="3" t="s">
        <v>42</v>
      </c>
      <c r="AB248" s="3" t="s">
        <v>65</v>
      </c>
      <c r="AC248" s="3" t="s">
        <v>31</v>
      </c>
      <c r="AD248" s="3">
        <v>0</v>
      </c>
    </row>
    <row r="249" spans="1:30" x14ac:dyDescent="0.3">
      <c r="A249" s="3">
        <v>245</v>
      </c>
      <c r="B249" s="3" t="s">
        <v>185</v>
      </c>
      <c r="C249" s="3" t="s">
        <v>186</v>
      </c>
      <c r="D249" s="3" t="s">
        <v>31</v>
      </c>
      <c r="E249" s="3" t="s">
        <v>32</v>
      </c>
      <c r="F249" s="12">
        <v>44926</v>
      </c>
      <c r="G249" s="3">
        <v>2022</v>
      </c>
      <c r="H249" s="3" t="s">
        <v>44</v>
      </c>
      <c r="I249" s="3" t="s">
        <v>45</v>
      </c>
      <c r="J249" s="3">
        <v>2</v>
      </c>
      <c r="K249" s="3">
        <v>88.5</v>
      </c>
      <c r="L249" s="3">
        <v>85.9</v>
      </c>
      <c r="M249" s="3">
        <f t="shared" ref="M249:M258" si="38">+L249/K249</f>
        <v>0.97062146892655377</v>
      </c>
      <c r="N249" s="3">
        <f t="shared" ref="N249:N258" si="39">+L249/K249</f>
        <v>0.97062146892655377</v>
      </c>
      <c r="O249" s="3" t="s">
        <v>58</v>
      </c>
      <c r="P249" s="3" t="s">
        <v>58</v>
      </c>
      <c r="Q249" s="3" t="str">
        <f t="shared" si="31"/>
        <v>245-2022-12-31</v>
      </c>
      <c r="R249" s="3">
        <v>0</v>
      </c>
      <c r="S249" s="3">
        <v>0</v>
      </c>
      <c r="T249" s="3" t="s">
        <v>31</v>
      </c>
      <c r="U249" s="3" t="s">
        <v>37</v>
      </c>
      <c r="V249" s="3" t="s">
        <v>186</v>
      </c>
      <c r="W249" s="3" t="s">
        <v>112</v>
      </c>
      <c r="X249" s="3" t="s">
        <v>113</v>
      </c>
      <c r="Y249" s="3" t="s">
        <v>123</v>
      </c>
      <c r="Z249" s="3" t="s">
        <v>41</v>
      </c>
      <c r="AA249" s="3" t="s">
        <v>42</v>
      </c>
      <c r="AB249" s="3" t="s">
        <v>65</v>
      </c>
      <c r="AC249" s="3" t="s">
        <v>31</v>
      </c>
      <c r="AD249" s="3">
        <v>0</v>
      </c>
    </row>
    <row r="250" spans="1:30" x14ac:dyDescent="0.3">
      <c r="A250" s="3">
        <v>245</v>
      </c>
      <c r="B250" s="3" t="s">
        <v>185</v>
      </c>
      <c r="C250" s="3" t="s">
        <v>186</v>
      </c>
      <c r="D250" s="3" t="s">
        <v>31</v>
      </c>
      <c r="E250" s="3" t="s">
        <v>32</v>
      </c>
      <c r="F250" s="12">
        <v>44926</v>
      </c>
      <c r="G250" s="3">
        <v>2022</v>
      </c>
      <c r="H250" s="3" t="s">
        <v>44</v>
      </c>
      <c r="I250" s="3" t="s">
        <v>45</v>
      </c>
      <c r="J250" s="3"/>
      <c r="K250" s="3">
        <v>88.5</v>
      </c>
      <c r="L250" s="3">
        <v>85.9</v>
      </c>
      <c r="M250" s="3">
        <f t="shared" si="38"/>
        <v>0.97062146892655377</v>
      </c>
      <c r="N250" s="3">
        <f t="shared" si="39"/>
        <v>0.97062146892655377</v>
      </c>
      <c r="O250" s="3" t="s">
        <v>58</v>
      </c>
      <c r="P250" s="3" t="s">
        <v>58</v>
      </c>
      <c r="Q250" s="3" t="str">
        <f t="shared" si="31"/>
        <v>245-2022-12-31</v>
      </c>
      <c r="R250" s="3">
        <v>1</v>
      </c>
      <c r="S250" s="3">
        <v>0</v>
      </c>
      <c r="T250" s="3" t="s">
        <v>443</v>
      </c>
      <c r="U250" s="3" t="s">
        <v>37</v>
      </c>
      <c r="V250" s="3" t="s">
        <v>186</v>
      </c>
      <c r="W250" s="3" t="s">
        <v>112</v>
      </c>
      <c r="X250" s="3" t="s">
        <v>113</v>
      </c>
      <c r="Y250" s="3" t="s">
        <v>123</v>
      </c>
      <c r="Z250" s="3" t="s">
        <v>41</v>
      </c>
      <c r="AA250" s="3" t="s">
        <v>42</v>
      </c>
      <c r="AB250" s="3" t="s">
        <v>65</v>
      </c>
      <c r="AC250" s="3" t="s">
        <v>31</v>
      </c>
      <c r="AD250" s="3">
        <v>0</v>
      </c>
    </row>
    <row r="251" spans="1:30" x14ac:dyDescent="0.3">
      <c r="A251" s="3">
        <v>245</v>
      </c>
      <c r="B251" s="3" t="s">
        <v>185</v>
      </c>
      <c r="C251" s="3" t="s">
        <v>186</v>
      </c>
      <c r="D251" s="3" t="s">
        <v>31</v>
      </c>
      <c r="E251" s="3" t="s">
        <v>32</v>
      </c>
      <c r="F251" s="12">
        <v>45107</v>
      </c>
      <c r="G251" s="3">
        <v>2023</v>
      </c>
      <c r="H251" s="3" t="s">
        <v>33</v>
      </c>
      <c r="I251" s="3" t="s">
        <v>47</v>
      </c>
      <c r="J251" s="3">
        <v>1</v>
      </c>
      <c r="K251" s="3">
        <v>87</v>
      </c>
      <c r="L251" s="3">
        <v>85.12</v>
      </c>
      <c r="M251" s="3">
        <f t="shared" si="38"/>
        <v>0.97839080459770122</v>
      </c>
      <c r="N251" s="3">
        <f t="shared" si="39"/>
        <v>0.97839080459770122</v>
      </c>
      <c r="O251" s="3" t="s">
        <v>58</v>
      </c>
      <c r="P251" s="3" t="s">
        <v>58</v>
      </c>
      <c r="Q251" s="3" t="str">
        <f t="shared" si="31"/>
        <v>245-2023-06-30</v>
      </c>
      <c r="R251" s="3">
        <v>0</v>
      </c>
      <c r="S251" s="3">
        <v>0</v>
      </c>
      <c r="T251" s="3" t="s">
        <v>31</v>
      </c>
      <c r="U251" s="3" t="s">
        <v>37</v>
      </c>
      <c r="V251" s="3" t="s">
        <v>186</v>
      </c>
      <c r="W251" s="3" t="s">
        <v>112</v>
      </c>
      <c r="X251" s="3" t="s">
        <v>113</v>
      </c>
      <c r="Y251" s="3" t="s">
        <v>123</v>
      </c>
      <c r="Z251" s="3" t="s">
        <v>41</v>
      </c>
      <c r="AA251" s="3" t="s">
        <v>42</v>
      </c>
      <c r="AB251" s="3" t="s">
        <v>65</v>
      </c>
      <c r="AC251" s="3" t="s">
        <v>31</v>
      </c>
      <c r="AD251" s="3">
        <v>0</v>
      </c>
    </row>
    <row r="252" spans="1:30" x14ac:dyDescent="0.3">
      <c r="A252" s="3">
        <v>245</v>
      </c>
      <c r="B252" s="3" t="s">
        <v>185</v>
      </c>
      <c r="C252" s="3" t="s">
        <v>186</v>
      </c>
      <c r="D252" s="3" t="s">
        <v>31</v>
      </c>
      <c r="E252" s="3" t="s">
        <v>32</v>
      </c>
      <c r="F252" s="12">
        <v>45291</v>
      </c>
      <c r="G252" s="3">
        <v>2023</v>
      </c>
      <c r="H252" s="3" t="s">
        <v>44</v>
      </c>
      <c r="I252" s="3" t="s">
        <v>49</v>
      </c>
      <c r="J252" s="3">
        <v>2</v>
      </c>
      <c r="K252" s="3">
        <v>87</v>
      </c>
      <c r="L252" s="3">
        <v>85.38</v>
      </c>
      <c r="M252" s="3">
        <f t="shared" si="38"/>
        <v>0.9813793103448275</v>
      </c>
      <c r="N252" s="3">
        <f t="shared" si="39"/>
        <v>0.9813793103448275</v>
      </c>
      <c r="O252" s="3" t="s">
        <v>58</v>
      </c>
      <c r="P252" s="3" t="s">
        <v>58</v>
      </c>
      <c r="Q252" s="3" t="str">
        <f t="shared" si="31"/>
        <v>245-2023-12-31</v>
      </c>
      <c r="R252" s="3">
        <v>0</v>
      </c>
      <c r="S252" s="3">
        <v>0</v>
      </c>
      <c r="T252" s="3" t="s">
        <v>31</v>
      </c>
      <c r="U252" s="3" t="s">
        <v>37</v>
      </c>
      <c r="V252" s="3" t="s">
        <v>186</v>
      </c>
      <c r="W252" s="3" t="s">
        <v>112</v>
      </c>
      <c r="X252" s="3" t="s">
        <v>113</v>
      </c>
      <c r="Y252" s="3" t="s">
        <v>123</v>
      </c>
      <c r="Z252" s="3" t="s">
        <v>41</v>
      </c>
      <c r="AA252" s="3" t="s">
        <v>42</v>
      </c>
      <c r="AB252" s="3" t="s">
        <v>65</v>
      </c>
      <c r="AC252" s="3" t="s">
        <v>31</v>
      </c>
      <c r="AD252" s="3">
        <v>0</v>
      </c>
    </row>
    <row r="253" spans="1:30" x14ac:dyDescent="0.3">
      <c r="A253" s="3">
        <v>245</v>
      </c>
      <c r="B253" s="3" t="s">
        <v>185</v>
      </c>
      <c r="C253" s="3" t="s">
        <v>186</v>
      </c>
      <c r="D253" s="3" t="s">
        <v>31</v>
      </c>
      <c r="E253" s="3" t="s">
        <v>32</v>
      </c>
      <c r="F253" s="12">
        <v>45291</v>
      </c>
      <c r="G253" s="3">
        <v>2023</v>
      </c>
      <c r="H253" s="3" t="s">
        <v>44</v>
      </c>
      <c r="I253" s="3" t="s">
        <v>49</v>
      </c>
      <c r="J253" s="3"/>
      <c r="K253" s="3">
        <v>87</v>
      </c>
      <c r="L253" s="3">
        <v>85.38</v>
      </c>
      <c r="M253" s="3">
        <f t="shared" si="38"/>
        <v>0.9813793103448275</v>
      </c>
      <c r="N253" s="3">
        <f t="shared" si="39"/>
        <v>0.9813793103448275</v>
      </c>
      <c r="O253" s="3" t="s">
        <v>58</v>
      </c>
      <c r="P253" s="3" t="s">
        <v>58</v>
      </c>
      <c r="Q253" s="3" t="str">
        <f t="shared" si="31"/>
        <v>245-2023-12-31</v>
      </c>
      <c r="R253" s="3">
        <v>0</v>
      </c>
      <c r="S253" s="3">
        <v>1</v>
      </c>
      <c r="T253" s="3" t="s">
        <v>443</v>
      </c>
      <c r="U253" s="3" t="s">
        <v>37</v>
      </c>
      <c r="V253" s="3" t="s">
        <v>186</v>
      </c>
      <c r="W253" s="3" t="s">
        <v>112</v>
      </c>
      <c r="X253" s="3" t="s">
        <v>113</v>
      </c>
      <c r="Y253" s="3" t="s">
        <v>123</v>
      </c>
      <c r="Z253" s="3" t="s">
        <v>41</v>
      </c>
      <c r="AA253" s="3" t="s">
        <v>42</v>
      </c>
      <c r="AB253" s="3" t="s">
        <v>65</v>
      </c>
      <c r="AC253" s="3" t="s">
        <v>31</v>
      </c>
      <c r="AD253" s="3">
        <v>0</v>
      </c>
    </row>
    <row r="254" spans="1:30" x14ac:dyDescent="0.3">
      <c r="A254" s="3">
        <v>245</v>
      </c>
      <c r="B254" s="3" t="s">
        <v>185</v>
      </c>
      <c r="C254" s="3" t="s">
        <v>186</v>
      </c>
      <c r="D254" s="3" t="s">
        <v>31</v>
      </c>
      <c r="E254" s="3" t="s">
        <v>32</v>
      </c>
      <c r="F254" s="12">
        <v>45473</v>
      </c>
      <c r="G254" s="3">
        <v>2024</v>
      </c>
      <c r="H254" s="3" t="s">
        <v>33</v>
      </c>
      <c r="I254" s="3" t="s">
        <v>51</v>
      </c>
      <c r="J254" s="3">
        <v>1</v>
      </c>
      <c r="K254" s="3">
        <v>85</v>
      </c>
      <c r="L254" s="3">
        <v>85.13</v>
      </c>
      <c r="M254" s="3">
        <f t="shared" si="38"/>
        <v>1.0015294117647058</v>
      </c>
      <c r="N254" s="3">
        <f t="shared" si="39"/>
        <v>1.0015294117647058</v>
      </c>
      <c r="O254" s="3" t="s">
        <v>58</v>
      </c>
      <c r="P254" s="3" t="s">
        <v>58</v>
      </c>
      <c r="Q254" s="3" t="str">
        <f t="shared" si="31"/>
        <v>245-2024-06-30</v>
      </c>
      <c r="R254" s="3">
        <v>0</v>
      </c>
      <c r="S254" s="3">
        <v>0</v>
      </c>
      <c r="T254" s="3" t="s">
        <v>31</v>
      </c>
      <c r="U254" s="3" t="s">
        <v>37</v>
      </c>
      <c r="V254" s="3" t="s">
        <v>186</v>
      </c>
      <c r="W254" s="3" t="s">
        <v>112</v>
      </c>
      <c r="X254" s="3" t="s">
        <v>113</v>
      </c>
      <c r="Y254" s="3" t="s">
        <v>123</v>
      </c>
      <c r="Z254" s="3" t="s">
        <v>41</v>
      </c>
      <c r="AA254" s="3" t="s">
        <v>42</v>
      </c>
      <c r="AB254" s="3" t="s">
        <v>65</v>
      </c>
      <c r="AC254" s="3" t="s">
        <v>31</v>
      </c>
      <c r="AD254" s="3">
        <v>0</v>
      </c>
    </row>
    <row r="255" spans="1:30" x14ac:dyDescent="0.3">
      <c r="A255" s="3">
        <v>245</v>
      </c>
      <c r="B255" s="3" t="s">
        <v>185</v>
      </c>
      <c r="C255" s="3" t="s">
        <v>186</v>
      </c>
      <c r="D255" s="3" t="s">
        <v>31</v>
      </c>
      <c r="E255" s="3" t="s">
        <v>32</v>
      </c>
      <c r="F255" s="12">
        <v>45657</v>
      </c>
      <c r="G255" s="3">
        <v>2024</v>
      </c>
      <c r="H255" s="3" t="s">
        <v>44</v>
      </c>
      <c r="I255" s="3" t="s">
        <v>53</v>
      </c>
      <c r="J255" s="3">
        <v>2</v>
      </c>
      <c r="K255" s="3">
        <v>85</v>
      </c>
      <c r="L255" s="3">
        <v>85.19</v>
      </c>
      <c r="M255" s="3">
        <f t="shared" si="38"/>
        <v>1.0022352941176471</v>
      </c>
      <c r="N255" s="3">
        <f t="shared" si="39"/>
        <v>1.0022352941176471</v>
      </c>
      <c r="O255" s="3" t="s">
        <v>58</v>
      </c>
      <c r="P255" s="3" t="s">
        <v>58</v>
      </c>
      <c r="Q255" s="3" t="str">
        <f t="shared" si="31"/>
        <v>245-2024-12-31</v>
      </c>
      <c r="R255" s="3">
        <v>0</v>
      </c>
      <c r="S255" s="3">
        <v>0</v>
      </c>
      <c r="T255" s="3" t="s">
        <v>31</v>
      </c>
      <c r="U255" s="3" t="s">
        <v>37</v>
      </c>
      <c r="V255" s="3" t="s">
        <v>186</v>
      </c>
      <c r="W255" s="3" t="s">
        <v>112</v>
      </c>
      <c r="X255" s="3" t="s">
        <v>113</v>
      </c>
      <c r="Y255" s="3" t="s">
        <v>123</v>
      </c>
      <c r="Z255" s="3" t="s">
        <v>41</v>
      </c>
      <c r="AA255" s="3" t="s">
        <v>42</v>
      </c>
      <c r="AB255" s="3" t="s">
        <v>65</v>
      </c>
      <c r="AC255" s="3" t="s">
        <v>31</v>
      </c>
      <c r="AD255" s="3">
        <v>0</v>
      </c>
    </row>
    <row r="256" spans="1:30" x14ac:dyDescent="0.3">
      <c r="A256" s="3">
        <v>245</v>
      </c>
      <c r="B256" s="3" t="s">
        <v>185</v>
      </c>
      <c r="C256" s="3" t="s">
        <v>186</v>
      </c>
      <c r="D256" s="3" t="s">
        <v>31</v>
      </c>
      <c r="E256" s="3" t="s">
        <v>32</v>
      </c>
      <c r="F256" s="12">
        <v>45657</v>
      </c>
      <c r="G256" s="3">
        <v>2024</v>
      </c>
      <c r="H256" s="3" t="s">
        <v>44</v>
      </c>
      <c r="I256" s="3" t="s">
        <v>53</v>
      </c>
      <c r="J256" s="3"/>
      <c r="K256" s="3">
        <v>85</v>
      </c>
      <c r="L256" s="3">
        <v>85.19</v>
      </c>
      <c r="M256" s="3">
        <f t="shared" si="38"/>
        <v>1.0022352941176471</v>
      </c>
      <c r="N256" s="3">
        <f t="shared" si="39"/>
        <v>1.0022352941176471</v>
      </c>
      <c r="O256" s="3" t="s">
        <v>58</v>
      </c>
      <c r="P256" s="3" t="s">
        <v>58</v>
      </c>
      <c r="Q256" s="3" t="str">
        <f t="shared" si="31"/>
        <v>245-2024-12-31</v>
      </c>
      <c r="R256" s="3">
        <v>0</v>
      </c>
      <c r="S256" s="3">
        <v>1</v>
      </c>
      <c r="T256" s="3" t="s">
        <v>443</v>
      </c>
      <c r="U256" s="3" t="s">
        <v>37</v>
      </c>
      <c r="V256" s="3" t="s">
        <v>186</v>
      </c>
      <c r="W256" s="3" t="s">
        <v>112</v>
      </c>
      <c r="X256" s="3" t="s">
        <v>113</v>
      </c>
      <c r="Y256" s="3" t="s">
        <v>123</v>
      </c>
      <c r="Z256" s="3" t="s">
        <v>41</v>
      </c>
      <c r="AA256" s="3" t="s">
        <v>42</v>
      </c>
      <c r="AB256" s="3" t="s">
        <v>65</v>
      </c>
      <c r="AC256" s="3" t="s">
        <v>31</v>
      </c>
      <c r="AD256" s="3">
        <v>0</v>
      </c>
    </row>
    <row r="257" spans="1:30" x14ac:dyDescent="0.3">
      <c r="A257" s="3">
        <v>245</v>
      </c>
      <c r="B257" s="3" t="s">
        <v>185</v>
      </c>
      <c r="C257" s="3" t="s">
        <v>186</v>
      </c>
      <c r="D257" s="3" t="s">
        <v>31</v>
      </c>
      <c r="E257" s="3" t="s">
        <v>32</v>
      </c>
      <c r="F257" s="12">
        <v>45838</v>
      </c>
      <c r="G257" s="3">
        <v>2025</v>
      </c>
      <c r="H257" s="3" t="s">
        <v>33</v>
      </c>
      <c r="I257" s="3" t="s">
        <v>404</v>
      </c>
      <c r="J257" s="3">
        <v>1</v>
      </c>
      <c r="K257" s="3">
        <v>85.7</v>
      </c>
      <c r="L257" s="3">
        <v>86.5</v>
      </c>
      <c r="M257" s="3">
        <f t="shared" si="38"/>
        <v>1.0093348891481912</v>
      </c>
      <c r="N257" s="3">
        <f t="shared" si="39"/>
        <v>1.0093348891481912</v>
      </c>
      <c r="O257" s="3" t="s">
        <v>58</v>
      </c>
      <c r="P257" s="3" t="s">
        <v>58</v>
      </c>
      <c r="Q257" s="3" t="str">
        <f t="shared" si="31"/>
        <v>245-2025-06-30</v>
      </c>
      <c r="R257" s="3">
        <v>1</v>
      </c>
      <c r="S257" s="3">
        <v>1</v>
      </c>
      <c r="T257" s="3" t="s">
        <v>31</v>
      </c>
      <c r="U257" s="3" t="s">
        <v>37</v>
      </c>
      <c r="V257" s="3" t="s">
        <v>186</v>
      </c>
      <c r="W257" s="3" t="s">
        <v>112</v>
      </c>
      <c r="X257" s="3" t="s">
        <v>113</v>
      </c>
      <c r="Y257" s="3" t="s">
        <v>123</v>
      </c>
      <c r="Z257" s="3" t="s">
        <v>41</v>
      </c>
      <c r="AA257" s="3" t="s">
        <v>42</v>
      </c>
      <c r="AB257" s="3" t="s">
        <v>65</v>
      </c>
      <c r="AC257" s="3" t="s">
        <v>31</v>
      </c>
      <c r="AD257" s="3">
        <v>0</v>
      </c>
    </row>
    <row r="258" spans="1:30" x14ac:dyDescent="0.3">
      <c r="A258" s="3">
        <v>245</v>
      </c>
      <c r="B258" s="3" t="s">
        <v>185</v>
      </c>
      <c r="C258" s="3" t="s">
        <v>186</v>
      </c>
      <c r="D258" s="3" t="s">
        <v>31</v>
      </c>
      <c r="E258" s="3" t="s">
        <v>32</v>
      </c>
      <c r="F258" s="12">
        <v>46022</v>
      </c>
      <c r="G258" s="3">
        <v>2025</v>
      </c>
      <c r="H258" s="3" t="s">
        <v>44</v>
      </c>
      <c r="I258" s="3" t="s">
        <v>465</v>
      </c>
      <c r="J258" s="3">
        <v>2</v>
      </c>
      <c r="K258" s="3">
        <v>86.1</v>
      </c>
      <c r="L258" s="3">
        <v>86.2</v>
      </c>
      <c r="M258" s="3">
        <f t="shared" si="38"/>
        <v>1.0011614401858304</v>
      </c>
      <c r="N258" s="3">
        <f t="shared" si="39"/>
        <v>1.0011614401858304</v>
      </c>
      <c r="O258" s="3" t="s">
        <v>58</v>
      </c>
      <c r="P258" s="3" t="s">
        <v>58</v>
      </c>
      <c r="Q258" s="3" t="str">
        <f t="shared" si="31"/>
        <v>245-2025-12-31</v>
      </c>
      <c r="R258" s="3">
        <v>1</v>
      </c>
      <c r="S258" s="3">
        <v>1</v>
      </c>
      <c r="T258" s="3" t="s">
        <v>31</v>
      </c>
      <c r="U258" s="3" t="s">
        <v>37</v>
      </c>
      <c r="V258" s="3" t="s">
        <v>186</v>
      </c>
      <c r="W258" s="3" t="s">
        <v>112</v>
      </c>
      <c r="X258" s="3" t="s">
        <v>113</v>
      </c>
      <c r="Y258" s="3" t="s">
        <v>123</v>
      </c>
      <c r="Z258" s="3" t="s">
        <v>41</v>
      </c>
      <c r="AA258" s="3" t="s">
        <v>42</v>
      </c>
      <c r="AB258" s="3" t="s">
        <v>65</v>
      </c>
      <c r="AC258" s="3" t="s">
        <v>31</v>
      </c>
      <c r="AD258" s="3">
        <v>0</v>
      </c>
    </row>
    <row r="259" spans="1:30" x14ac:dyDescent="0.3">
      <c r="A259" s="3">
        <v>274</v>
      </c>
      <c r="B259" s="3" t="s">
        <v>480</v>
      </c>
      <c r="C259" s="3" t="s">
        <v>194</v>
      </c>
      <c r="D259" s="3" t="s">
        <v>31</v>
      </c>
      <c r="E259" s="3" t="s">
        <v>32</v>
      </c>
      <c r="F259" s="12">
        <v>43281</v>
      </c>
      <c r="G259" s="3">
        <f t="shared" ref="G259:G270" si="40">YEAR(F259)</f>
        <v>2018</v>
      </c>
      <c r="H259" s="3" t="str">
        <f t="shared" ref="H259:H270" si="41">PROPER(TEXT(F259,"mmmm"))</f>
        <v>Junio</v>
      </c>
      <c r="I259" s="3" t="str">
        <f t="shared" ref="I259:I270" si="42">IF(H259="Junio",G259&amp;"-1",G259&amp;"-2")</f>
        <v>2018-1</v>
      </c>
      <c r="J259" s="3">
        <v>1</v>
      </c>
      <c r="K259" s="3"/>
      <c r="L259" s="11">
        <v>37269</v>
      </c>
      <c r="M259" s="3"/>
      <c r="N259" s="3"/>
      <c r="O259" s="3" t="s">
        <v>35</v>
      </c>
      <c r="P259" s="3" t="s">
        <v>35</v>
      </c>
      <c r="Q259" s="3" t="str">
        <f t="shared" ref="Q259:Q322" si="43">A259&amp;"-"&amp;YEAR(F259)&amp;"-"&amp;IF(LEN(MONTH(F259))=1,"0"&amp;MONTH(F259),MONTH(F259))&amp;"-"&amp;IF(LEN(DAY(F259))=1,"0"&amp;DAY(F259),DAY(F259))</f>
        <v>274-2018-06-30</v>
      </c>
      <c r="R259" s="3">
        <v>0</v>
      </c>
      <c r="S259" s="3">
        <v>0</v>
      </c>
      <c r="T259" s="3" t="s">
        <v>31</v>
      </c>
      <c r="U259" s="3" t="s">
        <v>37</v>
      </c>
      <c r="V259" s="3" t="s">
        <v>194</v>
      </c>
      <c r="W259" s="3" t="s">
        <v>38</v>
      </c>
      <c r="X259" s="3" t="s">
        <v>39</v>
      </c>
      <c r="Y259" s="3" t="s">
        <v>40</v>
      </c>
      <c r="Z259" s="3" t="s">
        <v>41</v>
      </c>
      <c r="AA259" s="3" t="s">
        <v>42</v>
      </c>
      <c r="AB259" s="3" t="s">
        <v>78</v>
      </c>
      <c r="AC259" s="3" t="s">
        <v>31</v>
      </c>
      <c r="AD259" s="3">
        <v>0</v>
      </c>
    </row>
    <row r="260" spans="1:30" x14ac:dyDescent="0.3">
      <c r="A260" s="3">
        <v>274</v>
      </c>
      <c r="B260" s="3" t="s">
        <v>480</v>
      </c>
      <c r="C260" s="3" t="s">
        <v>194</v>
      </c>
      <c r="D260" s="3" t="s">
        <v>31</v>
      </c>
      <c r="E260" s="3" t="s">
        <v>32</v>
      </c>
      <c r="F260" s="12">
        <v>43465</v>
      </c>
      <c r="G260" s="3">
        <f t="shared" si="40"/>
        <v>2018</v>
      </c>
      <c r="H260" s="3" t="str">
        <f t="shared" si="41"/>
        <v>Diciembre</v>
      </c>
      <c r="I260" s="3" t="str">
        <f t="shared" si="42"/>
        <v>2018-2</v>
      </c>
      <c r="J260" s="3">
        <v>2</v>
      </c>
      <c r="K260" s="3"/>
      <c r="L260" s="11">
        <v>39789</v>
      </c>
      <c r="M260" s="3"/>
      <c r="N260" s="3"/>
      <c r="O260" s="3" t="s">
        <v>35</v>
      </c>
      <c r="P260" s="3" t="s">
        <v>35</v>
      </c>
      <c r="Q260" s="3" t="str">
        <f t="shared" si="43"/>
        <v>274-2018-12-31</v>
      </c>
      <c r="R260" s="3">
        <v>0</v>
      </c>
      <c r="S260" s="3">
        <v>0</v>
      </c>
      <c r="T260" s="3" t="s">
        <v>31</v>
      </c>
      <c r="U260" s="3" t="s">
        <v>37</v>
      </c>
      <c r="V260" s="3" t="s">
        <v>194</v>
      </c>
      <c r="W260" s="3" t="s">
        <v>38</v>
      </c>
      <c r="X260" s="3" t="s">
        <v>39</v>
      </c>
      <c r="Y260" s="3" t="s">
        <v>40</v>
      </c>
      <c r="Z260" s="3" t="s">
        <v>41</v>
      </c>
      <c r="AA260" s="3" t="s">
        <v>42</v>
      </c>
      <c r="AB260" s="3" t="s">
        <v>78</v>
      </c>
      <c r="AC260" s="3" t="s">
        <v>31</v>
      </c>
      <c r="AD260" s="3">
        <v>0</v>
      </c>
    </row>
    <row r="261" spans="1:30" x14ac:dyDescent="0.3">
      <c r="A261" s="3">
        <v>274</v>
      </c>
      <c r="B261" s="3" t="s">
        <v>480</v>
      </c>
      <c r="C261" s="3" t="s">
        <v>194</v>
      </c>
      <c r="D261" s="3" t="s">
        <v>31</v>
      </c>
      <c r="E261" s="3" t="s">
        <v>32</v>
      </c>
      <c r="F261" s="12">
        <v>43465</v>
      </c>
      <c r="G261" s="3">
        <f t="shared" si="40"/>
        <v>2018</v>
      </c>
      <c r="H261" s="3" t="str">
        <f t="shared" si="41"/>
        <v>Diciembre</v>
      </c>
      <c r="I261" s="3" t="str">
        <f t="shared" si="42"/>
        <v>2018-2</v>
      </c>
      <c r="J261" s="3"/>
      <c r="K261" s="3"/>
      <c r="L261" s="11">
        <v>39789</v>
      </c>
      <c r="M261" s="3"/>
      <c r="N261" s="3"/>
      <c r="O261" s="3" t="s">
        <v>35</v>
      </c>
      <c r="P261" s="3" t="s">
        <v>35</v>
      </c>
      <c r="Q261" s="3" t="str">
        <f t="shared" si="43"/>
        <v>274-2018-12-31</v>
      </c>
      <c r="R261" s="3">
        <v>0</v>
      </c>
      <c r="S261" s="3">
        <v>0</v>
      </c>
      <c r="T261" s="3" t="s">
        <v>443</v>
      </c>
      <c r="U261" s="3" t="s">
        <v>37</v>
      </c>
      <c r="V261" s="3" t="s">
        <v>194</v>
      </c>
      <c r="W261" s="3" t="s">
        <v>38</v>
      </c>
      <c r="X261" s="3" t="s">
        <v>39</v>
      </c>
      <c r="Y261" s="3" t="s">
        <v>40</v>
      </c>
      <c r="Z261" s="3" t="s">
        <v>41</v>
      </c>
      <c r="AA261" s="3" t="s">
        <v>42</v>
      </c>
      <c r="AB261" s="3" t="s">
        <v>78</v>
      </c>
      <c r="AC261" s="3" t="s">
        <v>31</v>
      </c>
      <c r="AD261" s="3">
        <v>0</v>
      </c>
    </row>
    <row r="262" spans="1:30" x14ac:dyDescent="0.3">
      <c r="A262" s="3">
        <v>274</v>
      </c>
      <c r="B262" s="3" t="s">
        <v>480</v>
      </c>
      <c r="C262" s="3" t="s">
        <v>194</v>
      </c>
      <c r="D262" s="3" t="s">
        <v>31</v>
      </c>
      <c r="E262" s="3" t="s">
        <v>32</v>
      </c>
      <c r="F262" s="12">
        <v>43646</v>
      </c>
      <c r="G262" s="3">
        <f t="shared" si="40"/>
        <v>2019</v>
      </c>
      <c r="H262" s="3" t="str">
        <f t="shared" si="41"/>
        <v>Junio</v>
      </c>
      <c r="I262" s="3" t="str">
        <f t="shared" si="42"/>
        <v>2019-1</v>
      </c>
      <c r="J262" s="3">
        <v>1</v>
      </c>
      <c r="K262" s="3"/>
      <c r="L262" s="11">
        <v>41502</v>
      </c>
      <c r="M262" s="3"/>
      <c r="N262" s="3"/>
      <c r="O262" s="3" t="s">
        <v>35</v>
      </c>
      <c r="P262" s="3" t="s">
        <v>35</v>
      </c>
      <c r="Q262" s="3" t="str">
        <f t="shared" si="43"/>
        <v>274-2019-06-30</v>
      </c>
      <c r="R262" s="3">
        <v>0</v>
      </c>
      <c r="S262" s="3">
        <v>0</v>
      </c>
      <c r="T262" s="3" t="s">
        <v>31</v>
      </c>
      <c r="U262" s="3" t="s">
        <v>37</v>
      </c>
      <c r="V262" s="3" t="s">
        <v>194</v>
      </c>
      <c r="W262" s="3" t="s">
        <v>38</v>
      </c>
      <c r="X262" s="3" t="s">
        <v>39</v>
      </c>
      <c r="Y262" s="3" t="s">
        <v>40</v>
      </c>
      <c r="Z262" s="3" t="s">
        <v>41</v>
      </c>
      <c r="AA262" s="3" t="s">
        <v>42</v>
      </c>
      <c r="AB262" s="3" t="s">
        <v>78</v>
      </c>
      <c r="AC262" s="3" t="s">
        <v>31</v>
      </c>
      <c r="AD262" s="3">
        <v>0</v>
      </c>
    </row>
    <row r="263" spans="1:30" x14ac:dyDescent="0.3">
      <c r="A263" s="3">
        <v>274</v>
      </c>
      <c r="B263" s="3" t="s">
        <v>480</v>
      </c>
      <c r="C263" s="3" t="s">
        <v>194</v>
      </c>
      <c r="D263" s="3" t="s">
        <v>31</v>
      </c>
      <c r="E263" s="3" t="s">
        <v>32</v>
      </c>
      <c r="F263" s="12">
        <v>43830</v>
      </c>
      <c r="G263" s="3">
        <f t="shared" si="40"/>
        <v>2019</v>
      </c>
      <c r="H263" s="3" t="str">
        <f t="shared" si="41"/>
        <v>Diciembre</v>
      </c>
      <c r="I263" s="3" t="str">
        <f t="shared" si="42"/>
        <v>2019-2</v>
      </c>
      <c r="J263" s="3">
        <v>2</v>
      </c>
      <c r="K263" s="3"/>
      <c r="L263" s="11">
        <v>43581</v>
      </c>
      <c r="M263" s="3"/>
      <c r="N263" s="3"/>
      <c r="O263" s="3" t="s">
        <v>35</v>
      </c>
      <c r="P263" s="3" t="s">
        <v>35</v>
      </c>
      <c r="Q263" s="3" t="str">
        <f t="shared" si="43"/>
        <v>274-2019-12-31</v>
      </c>
      <c r="R263" s="3">
        <v>0</v>
      </c>
      <c r="S263" s="3">
        <v>0</v>
      </c>
      <c r="T263" s="3" t="s">
        <v>31</v>
      </c>
      <c r="U263" s="3" t="s">
        <v>37</v>
      </c>
      <c r="V263" s="3" t="s">
        <v>194</v>
      </c>
      <c r="W263" s="3" t="s">
        <v>38</v>
      </c>
      <c r="X263" s="3" t="s">
        <v>39</v>
      </c>
      <c r="Y263" s="3" t="s">
        <v>40</v>
      </c>
      <c r="Z263" s="3" t="s">
        <v>41</v>
      </c>
      <c r="AA263" s="3" t="s">
        <v>42</v>
      </c>
      <c r="AB263" s="3" t="s">
        <v>78</v>
      </c>
      <c r="AC263" s="3" t="s">
        <v>31</v>
      </c>
      <c r="AD263" s="3">
        <v>0</v>
      </c>
    </row>
    <row r="264" spans="1:30" x14ac:dyDescent="0.3">
      <c r="A264" s="3">
        <v>274</v>
      </c>
      <c r="B264" s="3" t="s">
        <v>480</v>
      </c>
      <c r="C264" s="3" t="s">
        <v>194</v>
      </c>
      <c r="D264" s="3" t="s">
        <v>31</v>
      </c>
      <c r="E264" s="3" t="s">
        <v>32</v>
      </c>
      <c r="F264" s="12">
        <v>43830</v>
      </c>
      <c r="G264" s="3">
        <f t="shared" si="40"/>
        <v>2019</v>
      </c>
      <c r="H264" s="3" t="str">
        <f t="shared" si="41"/>
        <v>Diciembre</v>
      </c>
      <c r="I264" s="3" t="str">
        <f t="shared" si="42"/>
        <v>2019-2</v>
      </c>
      <c r="J264" s="3"/>
      <c r="K264" s="3"/>
      <c r="L264" s="11">
        <v>43581</v>
      </c>
      <c r="M264" s="3"/>
      <c r="N264" s="3"/>
      <c r="O264" s="3" t="s">
        <v>35</v>
      </c>
      <c r="P264" s="3" t="s">
        <v>35</v>
      </c>
      <c r="Q264" s="3" t="str">
        <f t="shared" si="43"/>
        <v>274-2019-12-31</v>
      </c>
      <c r="R264" s="3">
        <v>0</v>
      </c>
      <c r="S264" s="3">
        <v>0</v>
      </c>
      <c r="T264" s="3" t="s">
        <v>443</v>
      </c>
      <c r="U264" s="3" t="s">
        <v>37</v>
      </c>
      <c r="V264" s="3" t="s">
        <v>194</v>
      </c>
      <c r="W264" s="3" t="s">
        <v>38</v>
      </c>
      <c r="X264" s="3" t="s">
        <v>39</v>
      </c>
      <c r="Y264" s="3" t="s">
        <v>40</v>
      </c>
      <c r="Z264" s="3" t="s">
        <v>41</v>
      </c>
      <c r="AA264" s="3" t="s">
        <v>42</v>
      </c>
      <c r="AB264" s="3" t="s">
        <v>78</v>
      </c>
      <c r="AC264" s="3" t="s">
        <v>31</v>
      </c>
      <c r="AD264" s="3">
        <v>0</v>
      </c>
    </row>
    <row r="265" spans="1:30" x14ac:dyDescent="0.3">
      <c r="A265" s="3">
        <v>274</v>
      </c>
      <c r="B265" s="3" t="s">
        <v>480</v>
      </c>
      <c r="C265" s="3" t="s">
        <v>194</v>
      </c>
      <c r="D265" s="3" t="s">
        <v>31</v>
      </c>
      <c r="E265" s="3" t="s">
        <v>32</v>
      </c>
      <c r="F265" s="12">
        <v>44012</v>
      </c>
      <c r="G265" s="3">
        <f t="shared" si="40"/>
        <v>2020</v>
      </c>
      <c r="H265" s="3" t="str">
        <f t="shared" si="41"/>
        <v>Junio</v>
      </c>
      <c r="I265" s="3" t="str">
        <f t="shared" si="42"/>
        <v>2020-1</v>
      </c>
      <c r="J265" s="3">
        <v>1</v>
      </c>
      <c r="K265" s="3"/>
      <c r="L265" s="11">
        <v>43711</v>
      </c>
      <c r="M265" s="3"/>
      <c r="N265" s="3"/>
      <c r="O265" s="3" t="s">
        <v>35</v>
      </c>
      <c r="P265" s="3" t="s">
        <v>35</v>
      </c>
      <c r="Q265" s="3" t="str">
        <f t="shared" si="43"/>
        <v>274-2020-06-30</v>
      </c>
      <c r="R265" s="3">
        <v>0</v>
      </c>
      <c r="S265" s="3">
        <v>0</v>
      </c>
      <c r="T265" s="3" t="s">
        <v>31</v>
      </c>
      <c r="U265" s="3" t="s">
        <v>37</v>
      </c>
      <c r="V265" s="3" t="s">
        <v>194</v>
      </c>
      <c r="W265" s="3" t="s">
        <v>38</v>
      </c>
      <c r="X265" s="3" t="s">
        <v>39</v>
      </c>
      <c r="Y265" s="3" t="s">
        <v>40</v>
      </c>
      <c r="Z265" s="3" t="s">
        <v>41</v>
      </c>
      <c r="AA265" s="3" t="s">
        <v>42</v>
      </c>
      <c r="AB265" s="3" t="s">
        <v>78</v>
      </c>
      <c r="AC265" s="3" t="s">
        <v>31</v>
      </c>
      <c r="AD265" s="3">
        <v>0</v>
      </c>
    </row>
    <row r="266" spans="1:30" x14ac:dyDescent="0.3">
      <c r="A266" s="3">
        <v>274</v>
      </c>
      <c r="B266" s="3" t="s">
        <v>480</v>
      </c>
      <c r="C266" s="3" t="s">
        <v>194</v>
      </c>
      <c r="D266" s="3" t="s">
        <v>31</v>
      </c>
      <c r="E266" s="3" t="s">
        <v>32</v>
      </c>
      <c r="F266" s="12">
        <v>44196</v>
      </c>
      <c r="G266" s="3">
        <f t="shared" si="40"/>
        <v>2020</v>
      </c>
      <c r="H266" s="3" t="str">
        <f t="shared" si="41"/>
        <v>Diciembre</v>
      </c>
      <c r="I266" s="3" t="str">
        <f t="shared" si="42"/>
        <v>2020-2</v>
      </c>
      <c r="J266" s="3">
        <v>2</v>
      </c>
      <c r="K266" s="3"/>
      <c r="L266" s="11">
        <v>41013</v>
      </c>
      <c r="M266" s="3"/>
      <c r="N266" s="3"/>
      <c r="O266" s="3" t="s">
        <v>35</v>
      </c>
      <c r="P266" s="3" t="s">
        <v>35</v>
      </c>
      <c r="Q266" s="3" t="str">
        <f t="shared" si="43"/>
        <v>274-2020-12-31</v>
      </c>
      <c r="R266" s="3">
        <v>0</v>
      </c>
      <c r="S266" s="3">
        <v>0</v>
      </c>
      <c r="T266" s="3" t="s">
        <v>31</v>
      </c>
      <c r="U266" s="3" t="s">
        <v>37</v>
      </c>
      <c r="V266" s="3" t="s">
        <v>194</v>
      </c>
      <c r="W266" s="3" t="s">
        <v>38</v>
      </c>
      <c r="X266" s="3" t="s">
        <v>39</v>
      </c>
      <c r="Y266" s="3" t="s">
        <v>40</v>
      </c>
      <c r="Z266" s="3" t="s">
        <v>41</v>
      </c>
      <c r="AA266" s="3" t="s">
        <v>42</v>
      </c>
      <c r="AB266" s="3" t="s">
        <v>78</v>
      </c>
      <c r="AC266" s="3" t="s">
        <v>31</v>
      </c>
      <c r="AD266" s="3">
        <v>0</v>
      </c>
    </row>
    <row r="267" spans="1:30" x14ac:dyDescent="0.3">
      <c r="A267" s="3">
        <v>274</v>
      </c>
      <c r="B267" s="3" t="s">
        <v>480</v>
      </c>
      <c r="C267" s="3" t="s">
        <v>194</v>
      </c>
      <c r="D267" s="3" t="s">
        <v>31</v>
      </c>
      <c r="E267" s="3" t="s">
        <v>32</v>
      </c>
      <c r="F267" s="12">
        <v>44196</v>
      </c>
      <c r="G267" s="3">
        <f t="shared" si="40"/>
        <v>2020</v>
      </c>
      <c r="H267" s="3" t="str">
        <f t="shared" si="41"/>
        <v>Diciembre</v>
      </c>
      <c r="I267" s="3" t="str">
        <f t="shared" si="42"/>
        <v>2020-2</v>
      </c>
      <c r="J267" s="3"/>
      <c r="K267" s="3"/>
      <c r="L267" s="11">
        <v>41013</v>
      </c>
      <c r="M267" s="3"/>
      <c r="N267" s="3"/>
      <c r="O267" s="3" t="s">
        <v>35</v>
      </c>
      <c r="P267" s="3" t="s">
        <v>35</v>
      </c>
      <c r="Q267" s="3" t="str">
        <f t="shared" si="43"/>
        <v>274-2020-12-31</v>
      </c>
      <c r="R267" s="3">
        <v>0</v>
      </c>
      <c r="S267" s="3">
        <v>0</v>
      </c>
      <c r="T267" s="3" t="s">
        <v>443</v>
      </c>
      <c r="U267" s="3" t="s">
        <v>37</v>
      </c>
      <c r="V267" s="3" t="s">
        <v>194</v>
      </c>
      <c r="W267" s="3" t="s">
        <v>38</v>
      </c>
      <c r="X267" s="3" t="s">
        <v>39</v>
      </c>
      <c r="Y267" s="3" t="s">
        <v>40</v>
      </c>
      <c r="Z267" s="3" t="s">
        <v>41</v>
      </c>
      <c r="AA267" s="3" t="s">
        <v>42</v>
      </c>
      <c r="AB267" s="3" t="s">
        <v>78</v>
      </c>
      <c r="AC267" s="3" t="s">
        <v>31</v>
      </c>
      <c r="AD267" s="3">
        <v>0</v>
      </c>
    </row>
    <row r="268" spans="1:30" x14ac:dyDescent="0.3">
      <c r="A268" s="3">
        <v>274</v>
      </c>
      <c r="B268" s="3" t="s">
        <v>480</v>
      </c>
      <c r="C268" s="3" t="s">
        <v>194</v>
      </c>
      <c r="D268" s="3" t="s">
        <v>31</v>
      </c>
      <c r="E268" s="3" t="s">
        <v>32</v>
      </c>
      <c r="F268" s="12">
        <v>44377</v>
      </c>
      <c r="G268" s="3">
        <f t="shared" si="40"/>
        <v>2021</v>
      </c>
      <c r="H268" s="3" t="str">
        <f t="shared" si="41"/>
        <v>Junio</v>
      </c>
      <c r="I268" s="3" t="str">
        <f t="shared" si="42"/>
        <v>2021-1</v>
      </c>
      <c r="J268" s="3">
        <v>1</v>
      </c>
      <c r="K268" s="3"/>
      <c r="L268" s="11">
        <v>41394</v>
      </c>
      <c r="M268" s="3"/>
      <c r="N268" s="3"/>
      <c r="O268" s="3" t="s">
        <v>35</v>
      </c>
      <c r="P268" s="3" t="s">
        <v>35</v>
      </c>
      <c r="Q268" s="3" t="str">
        <f t="shared" si="43"/>
        <v>274-2021-06-30</v>
      </c>
      <c r="R268" s="3">
        <v>0</v>
      </c>
      <c r="S268" s="3">
        <v>0</v>
      </c>
      <c r="T268" s="3" t="s">
        <v>31</v>
      </c>
      <c r="U268" s="3" t="s">
        <v>37</v>
      </c>
      <c r="V268" s="3" t="s">
        <v>194</v>
      </c>
      <c r="W268" s="3" t="s">
        <v>38</v>
      </c>
      <c r="X268" s="3" t="s">
        <v>39</v>
      </c>
      <c r="Y268" s="3" t="s">
        <v>40</v>
      </c>
      <c r="Z268" s="3" t="s">
        <v>41</v>
      </c>
      <c r="AA268" s="3" t="s">
        <v>42</v>
      </c>
      <c r="AB268" s="3" t="s">
        <v>78</v>
      </c>
      <c r="AC268" s="3" t="s">
        <v>31</v>
      </c>
      <c r="AD268" s="3">
        <v>0</v>
      </c>
    </row>
    <row r="269" spans="1:30" x14ac:dyDescent="0.3">
      <c r="A269" s="3">
        <v>274</v>
      </c>
      <c r="B269" s="3" t="s">
        <v>480</v>
      </c>
      <c r="C269" s="3" t="s">
        <v>194</v>
      </c>
      <c r="D269" s="3" t="s">
        <v>31</v>
      </c>
      <c r="E269" s="3" t="s">
        <v>32</v>
      </c>
      <c r="F269" s="12">
        <v>44561</v>
      </c>
      <c r="G269" s="3">
        <f t="shared" si="40"/>
        <v>2021</v>
      </c>
      <c r="H269" s="3" t="str">
        <f t="shared" si="41"/>
        <v>Diciembre</v>
      </c>
      <c r="I269" s="3" t="str">
        <f t="shared" si="42"/>
        <v>2021-2</v>
      </c>
      <c r="J269" s="3">
        <v>2</v>
      </c>
      <c r="K269" s="3"/>
      <c r="L269" s="11">
        <v>40937</v>
      </c>
      <c r="M269" s="3"/>
      <c r="N269" s="3"/>
      <c r="O269" s="3" t="s">
        <v>35</v>
      </c>
      <c r="P269" s="3" t="s">
        <v>35</v>
      </c>
      <c r="Q269" s="3" t="str">
        <f t="shared" si="43"/>
        <v>274-2021-12-31</v>
      </c>
      <c r="R269" s="3">
        <v>0</v>
      </c>
      <c r="S269" s="3">
        <v>0</v>
      </c>
      <c r="T269" s="3" t="s">
        <v>31</v>
      </c>
      <c r="U269" s="3" t="s">
        <v>37</v>
      </c>
      <c r="V269" s="3" t="s">
        <v>194</v>
      </c>
      <c r="W269" s="3" t="s">
        <v>38</v>
      </c>
      <c r="X269" s="3" t="s">
        <v>39</v>
      </c>
      <c r="Y269" s="3" t="s">
        <v>40</v>
      </c>
      <c r="Z269" s="3" t="s">
        <v>41</v>
      </c>
      <c r="AA269" s="3" t="s">
        <v>42</v>
      </c>
      <c r="AB269" s="3" t="s">
        <v>78</v>
      </c>
      <c r="AC269" s="3" t="s">
        <v>31</v>
      </c>
      <c r="AD269" s="3">
        <v>0</v>
      </c>
    </row>
    <row r="270" spans="1:30" x14ac:dyDescent="0.3">
      <c r="A270" s="3">
        <v>274</v>
      </c>
      <c r="B270" s="3" t="s">
        <v>480</v>
      </c>
      <c r="C270" s="3" t="s">
        <v>194</v>
      </c>
      <c r="D270" s="3" t="s">
        <v>31</v>
      </c>
      <c r="E270" s="3" t="s">
        <v>32</v>
      </c>
      <c r="F270" s="12">
        <v>44561</v>
      </c>
      <c r="G270" s="3">
        <f t="shared" si="40"/>
        <v>2021</v>
      </c>
      <c r="H270" s="3" t="str">
        <f t="shared" si="41"/>
        <v>Diciembre</v>
      </c>
      <c r="I270" s="3" t="str">
        <f t="shared" si="42"/>
        <v>2021-2</v>
      </c>
      <c r="J270" s="3"/>
      <c r="K270" s="3"/>
      <c r="L270" s="11">
        <v>40937</v>
      </c>
      <c r="M270" s="3"/>
      <c r="N270" s="3"/>
      <c r="O270" s="3" t="s">
        <v>35</v>
      </c>
      <c r="P270" s="3" t="s">
        <v>35</v>
      </c>
      <c r="Q270" s="3" t="str">
        <f t="shared" si="43"/>
        <v>274-2021-12-31</v>
      </c>
      <c r="R270" s="3">
        <v>0</v>
      </c>
      <c r="S270" s="3">
        <v>0</v>
      </c>
      <c r="T270" s="3" t="s">
        <v>443</v>
      </c>
      <c r="U270" s="3" t="s">
        <v>37</v>
      </c>
      <c r="V270" s="3" t="s">
        <v>194</v>
      </c>
      <c r="W270" s="3" t="s">
        <v>38</v>
      </c>
      <c r="X270" s="3" t="s">
        <v>39</v>
      </c>
      <c r="Y270" s="3" t="s">
        <v>40</v>
      </c>
      <c r="Z270" s="3" t="s">
        <v>41</v>
      </c>
      <c r="AA270" s="3" t="s">
        <v>42</v>
      </c>
      <c r="AB270" s="3" t="s">
        <v>78</v>
      </c>
      <c r="AC270" s="3" t="s">
        <v>31</v>
      </c>
      <c r="AD270" s="3">
        <v>0</v>
      </c>
    </row>
    <row r="271" spans="1:30" x14ac:dyDescent="0.3">
      <c r="A271" s="3">
        <v>274</v>
      </c>
      <c r="B271" s="3" t="s">
        <v>480</v>
      </c>
      <c r="C271" s="3" t="s">
        <v>194</v>
      </c>
      <c r="D271" s="3" t="s">
        <v>31</v>
      </c>
      <c r="E271" s="3" t="s">
        <v>32</v>
      </c>
      <c r="F271" s="12">
        <v>44742</v>
      </c>
      <c r="G271" s="3">
        <v>2022</v>
      </c>
      <c r="H271" s="3" t="s">
        <v>33</v>
      </c>
      <c r="I271" s="3" t="s">
        <v>34</v>
      </c>
      <c r="J271" s="3">
        <v>1</v>
      </c>
      <c r="K271" s="3">
        <v>39623</v>
      </c>
      <c r="L271" s="3">
        <v>40000</v>
      </c>
      <c r="M271" s="3">
        <f>+L271/K271</f>
        <v>1.0095146758195996</v>
      </c>
      <c r="N271" s="3">
        <f>+L271/K271</f>
        <v>1.0095146758195996</v>
      </c>
      <c r="O271" s="3" t="s">
        <v>35</v>
      </c>
      <c r="P271" s="3" t="s">
        <v>35</v>
      </c>
      <c r="Q271" s="3" t="str">
        <f t="shared" si="43"/>
        <v>274-2022-06-30</v>
      </c>
      <c r="R271" s="3">
        <v>0</v>
      </c>
      <c r="S271" s="3">
        <v>0</v>
      </c>
      <c r="T271" s="3" t="s">
        <v>31</v>
      </c>
      <c r="U271" s="3" t="s">
        <v>37</v>
      </c>
      <c r="V271" s="3" t="s">
        <v>194</v>
      </c>
      <c r="W271" s="3" t="s">
        <v>38</v>
      </c>
      <c r="X271" s="3" t="s">
        <v>39</v>
      </c>
      <c r="Y271" s="3" t="s">
        <v>40</v>
      </c>
      <c r="Z271" s="3" t="s">
        <v>41</v>
      </c>
      <c r="AA271" s="3" t="s">
        <v>42</v>
      </c>
      <c r="AB271" s="3" t="s">
        <v>78</v>
      </c>
      <c r="AC271" s="3" t="s">
        <v>31</v>
      </c>
      <c r="AD271" s="3">
        <v>0</v>
      </c>
    </row>
    <row r="272" spans="1:30" x14ac:dyDescent="0.3">
      <c r="A272" s="3">
        <v>274</v>
      </c>
      <c r="B272" s="3" t="s">
        <v>480</v>
      </c>
      <c r="C272" s="3" t="s">
        <v>194</v>
      </c>
      <c r="D272" s="3" t="s">
        <v>31</v>
      </c>
      <c r="E272" s="3" t="s">
        <v>32</v>
      </c>
      <c r="F272" s="12">
        <v>44926</v>
      </c>
      <c r="G272" s="3">
        <v>2022</v>
      </c>
      <c r="H272" s="3" t="s">
        <v>44</v>
      </c>
      <c r="I272" s="3" t="s">
        <v>45</v>
      </c>
      <c r="J272" s="3">
        <v>2</v>
      </c>
      <c r="K272" s="3">
        <v>39817</v>
      </c>
      <c r="L272" s="3">
        <v>40663</v>
      </c>
      <c r="M272" s="3">
        <f t="shared" ref="M272:M282" si="44">+L272/K272</f>
        <v>1.0212472059673003</v>
      </c>
      <c r="N272" s="3">
        <f t="shared" ref="N272:N282" si="45">+L272/K272</f>
        <v>1.0212472059673003</v>
      </c>
      <c r="O272" s="3" t="s">
        <v>35</v>
      </c>
      <c r="P272" s="3" t="s">
        <v>35</v>
      </c>
      <c r="Q272" s="3" t="str">
        <f t="shared" si="43"/>
        <v>274-2022-12-31</v>
      </c>
      <c r="R272" s="3">
        <v>0</v>
      </c>
      <c r="S272" s="3">
        <v>0</v>
      </c>
      <c r="T272" s="3" t="s">
        <v>31</v>
      </c>
      <c r="U272" s="3" t="s">
        <v>37</v>
      </c>
      <c r="V272" s="3" t="s">
        <v>194</v>
      </c>
      <c r="W272" s="3" t="s">
        <v>38</v>
      </c>
      <c r="X272" s="3" t="s">
        <v>39</v>
      </c>
      <c r="Y272" s="3" t="s">
        <v>40</v>
      </c>
      <c r="Z272" s="3" t="s">
        <v>41</v>
      </c>
      <c r="AA272" s="3" t="s">
        <v>42</v>
      </c>
      <c r="AB272" s="3" t="s">
        <v>78</v>
      </c>
      <c r="AC272" s="3" t="s">
        <v>31</v>
      </c>
      <c r="AD272" s="3">
        <v>0</v>
      </c>
    </row>
    <row r="273" spans="1:30" x14ac:dyDescent="0.3">
      <c r="A273" s="3">
        <v>274</v>
      </c>
      <c r="B273" s="3" t="s">
        <v>480</v>
      </c>
      <c r="C273" s="3" t="s">
        <v>194</v>
      </c>
      <c r="D273" s="3" t="s">
        <v>31</v>
      </c>
      <c r="E273" s="3" t="s">
        <v>32</v>
      </c>
      <c r="F273" s="12">
        <v>44926</v>
      </c>
      <c r="G273" s="3">
        <v>2022</v>
      </c>
      <c r="H273" s="3" t="s">
        <v>44</v>
      </c>
      <c r="I273" s="3" t="s">
        <v>45</v>
      </c>
      <c r="J273" s="3"/>
      <c r="K273" s="3">
        <v>39817</v>
      </c>
      <c r="L273" s="3">
        <v>40663</v>
      </c>
      <c r="M273" s="3">
        <f t="shared" si="44"/>
        <v>1.0212472059673003</v>
      </c>
      <c r="N273" s="3">
        <f t="shared" si="45"/>
        <v>1.0212472059673003</v>
      </c>
      <c r="O273" s="3" t="s">
        <v>35</v>
      </c>
      <c r="P273" s="3" t="s">
        <v>35</v>
      </c>
      <c r="Q273" s="3" t="str">
        <f t="shared" si="43"/>
        <v>274-2022-12-31</v>
      </c>
      <c r="R273" s="3">
        <v>0</v>
      </c>
      <c r="S273" s="3">
        <v>0</v>
      </c>
      <c r="T273" s="3" t="s">
        <v>443</v>
      </c>
      <c r="U273" s="3" t="s">
        <v>37</v>
      </c>
      <c r="V273" s="3" t="s">
        <v>194</v>
      </c>
      <c r="W273" s="3" t="s">
        <v>38</v>
      </c>
      <c r="X273" s="3" t="s">
        <v>39</v>
      </c>
      <c r="Y273" s="3" t="s">
        <v>40</v>
      </c>
      <c r="Z273" s="3" t="s">
        <v>41</v>
      </c>
      <c r="AA273" s="3" t="s">
        <v>42</v>
      </c>
      <c r="AB273" s="3" t="s">
        <v>78</v>
      </c>
      <c r="AC273" s="3" t="s">
        <v>31</v>
      </c>
      <c r="AD273" s="3">
        <v>0</v>
      </c>
    </row>
    <row r="274" spans="1:30" x14ac:dyDescent="0.3">
      <c r="A274" s="3">
        <v>274</v>
      </c>
      <c r="B274" s="3" t="s">
        <v>480</v>
      </c>
      <c r="C274" s="3" t="s">
        <v>194</v>
      </c>
      <c r="D274" s="3" t="s">
        <v>31</v>
      </c>
      <c r="E274" s="3" t="s">
        <v>32</v>
      </c>
      <c r="F274" s="12">
        <v>45107</v>
      </c>
      <c r="G274" s="3">
        <v>2023</v>
      </c>
      <c r="H274" s="3" t="s">
        <v>33</v>
      </c>
      <c r="I274" s="3" t="s">
        <v>47</v>
      </c>
      <c r="J274" s="3">
        <v>1</v>
      </c>
      <c r="K274" s="3">
        <v>40047</v>
      </c>
      <c r="L274" s="3">
        <v>39091</v>
      </c>
      <c r="M274" s="3">
        <f t="shared" si="44"/>
        <v>0.97612804954178845</v>
      </c>
      <c r="N274" s="3">
        <f t="shared" si="45"/>
        <v>0.97612804954178845</v>
      </c>
      <c r="O274" s="3" t="s">
        <v>35</v>
      </c>
      <c r="P274" s="3" t="s">
        <v>35</v>
      </c>
      <c r="Q274" s="3" t="str">
        <f t="shared" si="43"/>
        <v>274-2023-06-30</v>
      </c>
      <c r="R274" s="3">
        <v>0</v>
      </c>
      <c r="S274" s="3">
        <v>0</v>
      </c>
      <c r="T274" s="3" t="s">
        <v>31</v>
      </c>
      <c r="U274" s="3" t="s">
        <v>37</v>
      </c>
      <c r="V274" s="3" t="s">
        <v>194</v>
      </c>
      <c r="W274" s="3" t="s">
        <v>38</v>
      </c>
      <c r="X274" s="3" t="s">
        <v>39</v>
      </c>
      <c r="Y274" s="3" t="s">
        <v>40</v>
      </c>
      <c r="Z274" s="3" t="s">
        <v>41</v>
      </c>
      <c r="AA274" s="3" t="s">
        <v>42</v>
      </c>
      <c r="AB274" s="3" t="s">
        <v>78</v>
      </c>
      <c r="AC274" s="3" t="s">
        <v>31</v>
      </c>
      <c r="AD274" s="3">
        <v>0</v>
      </c>
    </row>
    <row r="275" spans="1:30" x14ac:dyDescent="0.3">
      <c r="A275" s="3">
        <v>274</v>
      </c>
      <c r="B275" s="3" t="s">
        <v>480</v>
      </c>
      <c r="C275" s="3" t="s">
        <v>194</v>
      </c>
      <c r="D275" s="3" t="s">
        <v>31</v>
      </c>
      <c r="E275" s="3" t="s">
        <v>32</v>
      </c>
      <c r="F275" s="12">
        <v>45291</v>
      </c>
      <c r="G275" s="3">
        <v>2023</v>
      </c>
      <c r="H275" s="3" t="s">
        <v>44</v>
      </c>
      <c r="I275" s="3" t="s">
        <v>49</v>
      </c>
      <c r="J275" s="3">
        <v>2</v>
      </c>
      <c r="K275" s="3">
        <v>41811</v>
      </c>
      <c r="L275" s="3">
        <v>40771</v>
      </c>
      <c r="M275" s="3">
        <f t="shared" si="44"/>
        <v>0.97512616297146681</v>
      </c>
      <c r="N275" s="3">
        <f t="shared" si="45"/>
        <v>0.97512616297146681</v>
      </c>
      <c r="O275" s="3" t="s">
        <v>35</v>
      </c>
      <c r="P275" s="3" t="s">
        <v>35</v>
      </c>
      <c r="Q275" s="3" t="str">
        <f t="shared" si="43"/>
        <v>274-2023-12-31</v>
      </c>
      <c r="R275" s="3">
        <v>0</v>
      </c>
      <c r="S275" s="3">
        <v>0</v>
      </c>
      <c r="T275" s="3" t="s">
        <v>31</v>
      </c>
      <c r="U275" s="3" t="s">
        <v>37</v>
      </c>
      <c r="V275" s="3" t="s">
        <v>194</v>
      </c>
      <c r="W275" s="3" t="s">
        <v>38</v>
      </c>
      <c r="X275" s="3" t="s">
        <v>39</v>
      </c>
      <c r="Y275" s="3" t="s">
        <v>40</v>
      </c>
      <c r="Z275" s="3" t="s">
        <v>41</v>
      </c>
      <c r="AA275" s="3" t="s">
        <v>42</v>
      </c>
      <c r="AB275" s="3" t="s">
        <v>78</v>
      </c>
      <c r="AC275" s="3" t="s">
        <v>31</v>
      </c>
      <c r="AD275" s="3">
        <v>0</v>
      </c>
    </row>
    <row r="276" spans="1:30" x14ac:dyDescent="0.3">
      <c r="A276" s="3">
        <v>274</v>
      </c>
      <c r="B276" s="3" t="s">
        <v>480</v>
      </c>
      <c r="C276" s="3" t="s">
        <v>194</v>
      </c>
      <c r="D276" s="3" t="s">
        <v>31</v>
      </c>
      <c r="E276" s="3" t="s">
        <v>32</v>
      </c>
      <c r="F276" s="12">
        <v>45291</v>
      </c>
      <c r="G276" s="3">
        <v>2023</v>
      </c>
      <c r="H276" s="3" t="s">
        <v>44</v>
      </c>
      <c r="I276" s="3" t="s">
        <v>49</v>
      </c>
      <c r="J276" s="3"/>
      <c r="K276" s="3">
        <v>41811</v>
      </c>
      <c r="L276" s="3">
        <v>40770</v>
      </c>
      <c r="M276" s="3">
        <f t="shared" si="44"/>
        <v>0.97510224582047789</v>
      </c>
      <c r="N276" s="3">
        <f t="shared" si="45"/>
        <v>0.97510224582047789</v>
      </c>
      <c r="O276" s="3" t="s">
        <v>35</v>
      </c>
      <c r="P276" s="3" t="s">
        <v>35</v>
      </c>
      <c r="Q276" s="3" t="str">
        <f t="shared" si="43"/>
        <v>274-2023-12-31</v>
      </c>
      <c r="R276" s="3">
        <v>0</v>
      </c>
      <c r="S276" s="3">
        <v>0</v>
      </c>
      <c r="T276" s="3" t="s">
        <v>443</v>
      </c>
      <c r="U276" s="3" t="s">
        <v>37</v>
      </c>
      <c r="V276" s="3" t="s">
        <v>194</v>
      </c>
      <c r="W276" s="3" t="s">
        <v>38</v>
      </c>
      <c r="X276" s="3" t="s">
        <v>39</v>
      </c>
      <c r="Y276" s="3" t="s">
        <v>40</v>
      </c>
      <c r="Z276" s="3" t="s">
        <v>41</v>
      </c>
      <c r="AA276" s="3" t="s">
        <v>42</v>
      </c>
      <c r="AB276" s="3" t="s">
        <v>78</v>
      </c>
      <c r="AC276" s="3" t="s">
        <v>31</v>
      </c>
      <c r="AD276" s="3">
        <v>0</v>
      </c>
    </row>
    <row r="277" spans="1:30" x14ac:dyDescent="0.3">
      <c r="A277" s="3">
        <v>274</v>
      </c>
      <c r="B277" s="3" t="s">
        <v>480</v>
      </c>
      <c r="C277" s="3" t="s">
        <v>194</v>
      </c>
      <c r="D277" s="3" t="s">
        <v>31</v>
      </c>
      <c r="E277" s="3" t="s">
        <v>32</v>
      </c>
      <c r="F277" s="12">
        <v>45473</v>
      </c>
      <c r="G277" s="3">
        <v>2024</v>
      </c>
      <c r="H277" s="3" t="s">
        <v>33</v>
      </c>
      <c r="I277" s="3" t="s">
        <v>51</v>
      </c>
      <c r="J277" s="3">
        <v>1</v>
      </c>
      <c r="K277" s="3">
        <v>38813</v>
      </c>
      <c r="L277" s="3">
        <v>39598</v>
      </c>
      <c r="M277" s="3">
        <f t="shared" si="44"/>
        <v>1.0202251822842863</v>
      </c>
      <c r="N277" s="3">
        <f t="shared" si="45"/>
        <v>1.0202251822842863</v>
      </c>
      <c r="O277" s="3" t="s">
        <v>35</v>
      </c>
      <c r="P277" s="3" t="s">
        <v>35</v>
      </c>
      <c r="Q277" s="3" t="str">
        <f t="shared" si="43"/>
        <v>274-2024-06-30</v>
      </c>
      <c r="R277" s="3">
        <v>0</v>
      </c>
      <c r="S277" s="3">
        <v>0</v>
      </c>
      <c r="T277" s="3" t="s">
        <v>31</v>
      </c>
      <c r="U277" s="3" t="s">
        <v>37</v>
      </c>
      <c r="V277" s="3" t="s">
        <v>194</v>
      </c>
      <c r="W277" s="3" t="s">
        <v>38</v>
      </c>
      <c r="X277" s="3" t="s">
        <v>39</v>
      </c>
      <c r="Y277" s="3" t="s">
        <v>40</v>
      </c>
      <c r="Z277" s="3" t="s">
        <v>41</v>
      </c>
      <c r="AA277" s="3" t="s">
        <v>42</v>
      </c>
      <c r="AB277" s="3" t="s">
        <v>78</v>
      </c>
      <c r="AC277" s="3" t="s">
        <v>31</v>
      </c>
      <c r="AD277" s="3">
        <v>0</v>
      </c>
    </row>
    <row r="278" spans="1:30" x14ac:dyDescent="0.3">
      <c r="A278" s="3">
        <v>274</v>
      </c>
      <c r="B278" s="3" t="s">
        <v>480</v>
      </c>
      <c r="C278" s="3" t="s">
        <v>194</v>
      </c>
      <c r="D278" s="3" t="s">
        <v>31</v>
      </c>
      <c r="E278" s="3" t="s">
        <v>32</v>
      </c>
      <c r="F278" s="12">
        <v>45657</v>
      </c>
      <c r="G278" s="3">
        <v>2024</v>
      </c>
      <c r="H278" s="3" t="s">
        <v>44</v>
      </c>
      <c r="I278" s="3" t="s">
        <v>53</v>
      </c>
      <c r="J278" s="3">
        <v>2</v>
      </c>
      <c r="K278" s="3">
        <v>40441</v>
      </c>
      <c r="L278" s="3">
        <v>41436</v>
      </c>
      <c r="M278" s="3">
        <f t="shared" si="44"/>
        <v>1.0246037437254272</v>
      </c>
      <c r="N278" s="3">
        <f t="shared" si="45"/>
        <v>1.0246037437254272</v>
      </c>
      <c r="O278" s="3" t="s">
        <v>35</v>
      </c>
      <c r="P278" s="3" t="s">
        <v>35</v>
      </c>
      <c r="Q278" s="3" t="str">
        <f t="shared" si="43"/>
        <v>274-2024-12-31</v>
      </c>
      <c r="R278" s="3">
        <v>0</v>
      </c>
      <c r="S278" s="3">
        <v>0</v>
      </c>
      <c r="T278" s="3" t="s">
        <v>31</v>
      </c>
      <c r="U278" s="3" t="s">
        <v>37</v>
      </c>
      <c r="V278" s="3" t="s">
        <v>194</v>
      </c>
      <c r="W278" s="3" t="s">
        <v>38</v>
      </c>
      <c r="X278" s="3" t="s">
        <v>39</v>
      </c>
      <c r="Y278" s="3" t="s">
        <v>40</v>
      </c>
      <c r="Z278" s="3" t="s">
        <v>41</v>
      </c>
      <c r="AA278" s="3" t="s">
        <v>42</v>
      </c>
      <c r="AB278" s="3" t="s">
        <v>78</v>
      </c>
      <c r="AC278" s="3" t="s">
        <v>31</v>
      </c>
      <c r="AD278" s="3">
        <v>0</v>
      </c>
    </row>
    <row r="279" spans="1:30" x14ac:dyDescent="0.3">
      <c r="A279" s="3">
        <v>274</v>
      </c>
      <c r="B279" s="3" t="s">
        <v>480</v>
      </c>
      <c r="C279" s="3" t="s">
        <v>194</v>
      </c>
      <c r="D279" s="3" t="s">
        <v>31</v>
      </c>
      <c r="E279" s="3" t="s">
        <v>32</v>
      </c>
      <c r="F279" s="12">
        <v>45657</v>
      </c>
      <c r="G279" s="3">
        <v>2024</v>
      </c>
      <c r="H279" s="3" t="s">
        <v>44</v>
      </c>
      <c r="I279" s="3" t="s">
        <v>53</v>
      </c>
      <c r="J279" s="3"/>
      <c r="K279" s="3">
        <v>40441.334115206948</v>
      </c>
      <c r="L279" s="3">
        <v>41436</v>
      </c>
      <c r="M279" s="3">
        <f t="shared" si="44"/>
        <v>1.0245952787304076</v>
      </c>
      <c r="N279" s="3">
        <f t="shared" si="45"/>
        <v>1.0245952787304076</v>
      </c>
      <c r="O279" s="3" t="s">
        <v>35</v>
      </c>
      <c r="P279" s="3" t="s">
        <v>35</v>
      </c>
      <c r="Q279" s="3" t="str">
        <f t="shared" si="43"/>
        <v>274-2024-12-31</v>
      </c>
      <c r="R279" s="3">
        <v>0</v>
      </c>
      <c r="S279" s="3">
        <v>0</v>
      </c>
      <c r="T279" s="3" t="s">
        <v>443</v>
      </c>
      <c r="U279" s="3" t="s">
        <v>37</v>
      </c>
      <c r="V279" s="3" t="s">
        <v>194</v>
      </c>
      <c r="W279" s="3" t="s">
        <v>38</v>
      </c>
      <c r="X279" s="3" t="s">
        <v>39</v>
      </c>
      <c r="Y279" s="3" t="s">
        <v>40</v>
      </c>
      <c r="Z279" s="3" t="s">
        <v>41</v>
      </c>
      <c r="AA279" s="3" t="s">
        <v>42</v>
      </c>
      <c r="AB279" s="3" t="s">
        <v>78</v>
      </c>
      <c r="AC279" s="3" t="s">
        <v>31</v>
      </c>
      <c r="AD279" s="3">
        <v>0</v>
      </c>
    </row>
    <row r="280" spans="1:30" x14ac:dyDescent="0.3">
      <c r="A280" s="3">
        <v>274</v>
      </c>
      <c r="B280" s="3" t="s">
        <v>480</v>
      </c>
      <c r="C280" s="3" t="s">
        <v>194</v>
      </c>
      <c r="D280" s="3" t="s">
        <v>31</v>
      </c>
      <c r="E280" s="3" t="s">
        <v>32</v>
      </c>
      <c r="F280" s="12">
        <v>45838</v>
      </c>
      <c r="G280" s="3">
        <v>2025</v>
      </c>
      <c r="H280" s="3" t="s">
        <v>33</v>
      </c>
      <c r="I280" s="3" t="s">
        <v>404</v>
      </c>
      <c r="J280" s="3">
        <v>1</v>
      </c>
      <c r="K280" s="3">
        <v>40026</v>
      </c>
      <c r="L280" s="3">
        <v>42364</v>
      </c>
      <c r="M280" s="3">
        <f t="shared" si="44"/>
        <v>1.0584120321790835</v>
      </c>
      <c r="N280" s="3">
        <f t="shared" si="45"/>
        <v>1.0584120321790835</v>
      </c>
      <c r="O280" s="3" t="s">
        <v>35</v>
      </c>
      <c r="P280" s="3" t="s">
        <v>35</v>
      </c>
      <c r="Q280" s="3" t="str">
        <f t="shared" si="43"/>
        <v>274-2025-06-30</v>
      </c>
      <c r="R280" s="3">
        <v>0</v>
      </c>
      <c r="S280" s="3">
        <v>0</v>
      </c>
      <c r="T280" s="3" t="s">
        <v>31</v>
      </c>
      <c r="U280" s="3" t="s">
        <v>37</v>
      </c>
      <c r="V280" s="3" t="s">
        <v>194</v>
      </c>
      <c r="W280" s="3" t="s">
        <v>38</v>
      </c>
      <c r="X280" s="3" t="s">
        <v>39</v>
      </c>
      <c r="Y280" s="3" t="s">
        <v>40</v>
      </c>
      <c r="Z280" s="3" t="s">
        <v>41</v>
      </c>
      <c r="AA280" s="3" t="s">
        <v>42</v>
      </c>
      <c r="AB280" s="3" t="s">
        <v>78</v>
      </c>
      <c r="AC280" s="3" t="s">
        <v>31</v>
      </c>
      <c r="AD280" s="3">
        <v>0</v>
      </c>
    </row>
    <row r="281" spans="1:30" x14ac:dyDescent="0.3">
      <c r="A281" s="3">
        <v>274</v>
      </c>
      <c r="B281" s="3" t="s">
        <v>480</v>
      </c>
      <c r="C281" s="3" t="s">
        <v>194</v>
      </c>
      <c r="D281" s="3" t="s">
        <v>31</v>
      </c>
      <c r="E281" s="3" t="s">
        <v>32</v>
      </c>
      <c r="F281" s="12">
        <v>46022</v>
      </c>
      <c r="G281" s="3">
        <v>2025</v>
      </c>
      <c r="H281" s="3" t="str">
        <f>PROPER(TEXT(F281,"mmmm"))</f>
        <v>Diciembre</v>
      </c>
      <c r="I281" s="3" t="s">
        <v>465</v>
      </c>
      <c r="J281" s="3">
        <v>2</v>
      </c>
      <c r="K281" s="3">
        <v>44737</v>
      </c>
      <c r="L281" s="11">
        <v>45646</v>
      </c>
      <c r="M281" s="3">
        <f t="shared" si="44"/>
        <v>1.02031875181617</v>
      </c>
      <c r="N281" s="3">
        <f t="shared" si="45"/>
        <v>1.02031875181617</v>
      </c>
      <c r="O281" s="3" t="s">
        <v>35</v>
      </c>
      <c r="P281" s="3" t="s">
        <v>35</v>
      </c>
      <c r="Q281" s="3" t="str">
        <f t="shared" si="43"/>
        <v>274-2025-12-31</v>
      </c>
      <c r="R281" s="3">
        <v>0</v>
      </c>
      <c r="S281" s="3">
        <v>0</v>
      </c>
      <c r="T281" s="3" t="s">
        <v>31</v>
      </c>
      <c r="U281" s="3" t="s">
        <v>37</v>
      </c>
      <c r="V281" s="3" t="s">
        <v>194</v>
      </c>
      <c r="W281" s="3" t="s">
        <v>38</v>
      </c>
      <c r="X281" s="3" t="s">
        <v>39</v>
      </c>
      <c r="Y281" s="3" t="s">
        <v>40</v>
      </c>
      <c r="Z281" s="3" t="s">
        <v>41</v>
      </c>
      <c r="AA281" s="3" t="s">
        <v>42</v>
      </c>
      <c r="AB281" s="3" t="s">
        <v>78</v>
      </c>
      <c r="AC281" s="3" t="s">
        <v>31</v>
      </c>
      <c r="AD281" s="3">
        <v>0</v>
      </c>
    </row>
    <row r="282" spans="1:30" x14ac:dyDescent="0.3">
      <c r="A282" s="3">
        <v>274</v>
      </c>
      <c r="B282" s="3" t="s">
        <v>480</v>
      </c>
      <c r="C282" s="3" t="s">
        <v>194</v>
      </c>
      <c r="D282" s="3" t="s">
        <v>31</v>
      </c>
      <c r="E282" s="3" t="s">
        <v>32</v>
      </c>
      <c r="F282" s="12">
        <v>46022</v>
      </c>
      <c r="G282" s="3">
        <f>YEAR(F282)</f>
        <v>2025</v>
      </c>
      <c r="H282" s="3" t="str">
        <f>PROPER(TEXT(F282,"mmmm"))</f>
        <v>Diciembre</v>
      </c>
      <c r="I282" s="3" t="str">
        <f>IF(H282="Junio",G282&amp;"-1",G282&amp;"-2")</f>
        <v>2025-2</v>
      </c>
      <c r="J282" s="3"/>
      <c r="K282" s="3">
        <v>44737</v>
      </c>
      <c r="L282" s="11">
        <v>45646</v>
      </c>
      <c r="M282" s="3">
        <f t="shared" si="44"/>
        <v>1.02031875181617</v>
      </c>
      <c r="N282" s="3">
        <f t="shared" si="45"/>
        <v>1.02031875181617</v>
      </c>
      <c r="O282" s="3" t="s">
        <v>35</v>
      </c>
      <c r="P282" s="3" t="s">
        <v>35</v>
      </c>
      <c r="Q282" s="3" t="str">
        <f t="shared" si="43"/>
        <v>274-2025-12-31</v>
      </c>
      <c r="R282" s="3">
        <v>0</v>
      </c>
      <c r="S282" s="3">
        <v>0</v>
      </c>
      <c r="T282" s="3" t="s">
        <v>443</v>
      </c>
      <c r="U282" s="3" t="s">
        <v>37</v>
      </c>
      <c r="V282" s="3" t="s">
        <v>194</v>
      </c>
      <c r="W282" s="3" t="s">
        <v>38</v>
      </c>
      <c r="X282" s="3" t="s">
        <v>39</v>
      </c>
      <c r="Y282" s="3" t="s">
        <v>40</v>
      </c>
      <c r="Z282" s="3" t="s">
        <v>41</v>
      </c>
      <c r="AA282" s="3" t="s">
        <v>42</v>
      </c>
      <c r="AB282" s="3" t="s">
        <v>78</v>
      </c>
      <c r="AC282" s="3" t="s">
        <v>31</v>
      </c>
      <c r="AD282" s="3">
        <v>0</v>
      </c>
    </row>
    <row r="283" spans="1:30" x14ac:dyDescent="0.3">
      <c r="A283" s="3">
        <v>276</v>
      </c>
      <c r="B283" s="3" t="s">
        <v>201</v>
      </c>
      <c r="C283" s="3" t="s">
        <v>202</v>
      </c>
      <c r="D283" s="3" t="s">
        <v>31</v>
      </c>
      <c r="E283" s="3" t="s">
        <v>171</v>
      </c>
      <c r="F283" s="12">
        <v>44742</v>
      </c>
      <c r="G283" s="3">
        <v>2022</v>
      </c>
      <c r="H283" s="3" t="s">
        <v>33</v>
      </c>
      <c r="I283" s="3" t="s">
        <v>34</v>
      </c>
      <c r="J283" s="3">
        <v>1</v>
      </c>
      <c r="K283" s="3">
        <v>93</v>
      </c>
      <c r="L283" s="3">
        <v>106</v>
      </c>
      <c r="M283" s="3">
        <f>+K283/L283</f>
        <v>0.87735849056603776</v>
      </c>
      <c r="N283" s="3">
        <f>+K283/L283</f>
        <v>0.87735849056603776</v>
      </c>
      <c r="O283" s="3" t="s">
        <v>35</v>
      </c>
      <c r="P283" s="3" t="s">
        <v>245</v>
      </c>
      <c r="Q283" s="3" t="str">
        <f t="shared" si="43"/>
        <v>276-2022-06-30</v>
      </c>
      <c r="R283" s="3">
        <v>0</v>
      </c>
      <c r="S283" s="3">
        <v>0</v>
      </c>
      <c r="T283" s="3" t="s">
        <v>31</v>
      </c>
      <c r="U283" s="3" t="s">
        <v>37</v>
      </c>
      <c r="V283" s="3" t="s">
        <v>202</v>
      </c>
      <c r="W283" s="3" t="s">
        <v>73</v>
      </c>
      <c r="X283" s="3" t="s">
        <v>74</v>
      </c>
      <c r="Y283" s="3" t="s">
        <v>585</v>
      </c>
      <c r="Z283" s="3" t="s">
        <v>86</v>
      </c>
      <c r="AA283" s="3" t="s">
        <v>204</v>
      </c>
      <c r="AB283" s="3" t="s">
        <v>65</v>
      </c>
      <c r="AC283" s="3" t="s">
        <v>31</v>
      </c>
      <c r="AD283" s="3">
        <v>0</v>
      </c>
    </row>
    <row r="284" spans="1:30" x14ac:dyDescent="0.3">
      <c r="A284" s="3">
        <v>276</v>
      </c>
      <c r="B284" s="3" t="s">
        <v>201</v>
      </c>
      <c r="C284" s="3" t="s">
        <v>202</v>
      </c>
      <c r="D284" s="3" t="s">
        <v>31</v>
      </c>
      <c r="E284" s="3" t="s">
        <v>171</v>
      </c>
      <c r="F284" s="12">
        <v>44926</v>
      </c>
      <c r="G284" s="3">
        <v>2022</v>
      </c>
      <c r="H284" s="3" t="s">
        <v>44</v>
      </c>
      <c r="I284" s="3" t="s">
        <v>45</v>
      </c>
      <c r="J284" s="3">
        <v>2</v>
      </c>
      <c r="K284" s="3">
        <v>88</v>
      </c>
      <c r="L284" s="3">
        <v>88</v>
      </c>
      <c r="M284" s="3">
        <f t="shared" ref="M284:M293" si="46">+K284/L284</f>
        <v>1</v>
      </c>
      <c r="N284" s="3">
        <f t="shared" ref="N284:N293" si="47">+K284/L284</f>
        <v>1</v>
      </c>
      <c r="O284" s="3" t="s">
        <v>35</v>
      </c>
      <c r="P284" s="3" t="s">
        <v>245</v>
      </c>
      <c r="Q284" s="3" t="str">
        <f t="shared" si="43"/>
        <v>276-2022-12-31</v>
      </c>
      <c r="R284" s="3">
        <v>0</v>
      </c>
      <c r="S284" s="3">
        <v>0</v>
      </c>
      <c r="T284" s="3" t="s">
        <v>31</v>
      </c>
      <c r="U284" s="3" t="s">
        <v>37</v>
      </c>
      <c r="V284" s="3" t="s">
        <v>202</v>
      </c>
      <c r="W284" s="3" t="s">
        <v>73</v>
      </c>
      <c r="X284" s="3" t="s">
        <v>74</v>
      </c>
      <c r="Y284" s="3" t="s">
        <v>585</v>
      </c>
      <c r="Z284" s="3" t="s">
        <v>86</v>
      </c>
      <c r="AA284" s="3" t="s">
        <v>204</v>
      </c>
      <c r="AB284" s="3" t="s">
        <v>65</v>
      </c>
      <c r="AC284" s="3" t="s">
        <v>31</v>
      </c>
      <c r="AD284" s="3">
        <v>0</v>
      </c>
    </row>
    <row r="285" spans="1:30" x14ac:dyDescent="0.3">
      <c r="A285" s="3">
        <v>276</v>
      </c>
      <c r="B285" s="3" t="s">
        <v>201</v>
      </c>
      <c r="C285" s="3" t="s">
        <v>202</v>
      </c>
      <c r="D285" s="3" t="s">
        <v>31</v>
      </c>
      <c r="E285" s="3" t="s">
        <v>171</v>
      </c>
      <c r="F285" s="12">
        <v>44926</v>
      </c>
      <c r="G285" s="3">
        <v>2022</v>
      </c>
      <c r="H285" s="3" t="s">
        <v>44</v>
      </c>
      <c r="I285" s="3" t="s">
        <v>45</v>
      </c>
      <c r="J285" s="3"/>
      <c r="K285" s="3">
        <v>88</v>
      </c>
      <c r="L285" s="3">
        <v>88</v>
      </c>
      <c r="M285" s="3">
        <f t="shared" si="46"/>
        <v>1</v>
      </c>
      <c r="N285" s="3">
        <f t="shared" si="47"/>
        <v>1</v>
      </c>
      <c r="O285" s="3" t="s">
        <v>35</v>
      </c>
      <c r="P285" s="3" t="s">
        <v>35</v>
      </c>
      <c r="Q285" s="3" t="str">
        <f t="shared" si="43"/>
        <v>276-2022-12-31</v>
      </c>
      <c r="R285" s="3">
        <v>0</v>
      </c>
      <c r="S285" s="3">
        <v>0</v>
      </c>
      <c r="T285" s="3" t="s">
        <v>443</v>
      </c>
      <c r="U285" s="3" t="s">
        <v>37</v>
      </c>
      <c r="V285" s="3" t="s">
        <v>202</v>
      </c>
      <c r="W285" s="3" t="s">
        <v>73</v>
      </c>
      <c r="X285" s="3" t="s">
        <v>74</v>
      </c>
      <c r="Y285" s="3" t="s">
        <v>585</v>
      </c>
      <c r="Z285" s="3" t="s">
        <v>86</v>
      </c>
      <c r="AA285" s="3" t="s">
        <v>204</v>
      </c>
      <c r="AB285" s="3" t="s">
        <v>65</v>
      </c>
      <c r="AC285" s="3" t="s">
        <v>31</v>
      </c>
      <c r="AD285" s="3">
        <v>0</v>
      </c>
    </row>
    <row r="286" spans="1:30" x14ac:dyDescent="0.3">
      <c r="A286" s="3">
        <v>276</v>
      </c>
      <c r="B286" s="3" t="s">
        <v>201</v>
      </c>
      <c r="C286" s="3" t="s">
        <v>202</v>
      </c>
      <c r="D286" s="3" t="s">
        <v>31</v>
      </c>
      <c r="E286" s="3" t="s">
        <v>171</v>
      </c>
      <c r="F286" s="12">
        <v>45107</v>
      </c>
      <c r="G286" s="3">
        <v>2023</v>
      </c>
      <c r="H286" s="3" t="s">
        <v>33</v>
      </c>
      <c r="I286" s="3" t="s">
        <v>47</v>
      </c>
      <c r="J286" s="3">
        <v>1</v>
      </c>
      <c r="K286" s="3">
        <v>85</v>
      </c>
      <c r="L286" s="3">
        <v>89.99</v>
      </c>
      <c r="M286" s="3">
        <f t="shared" si="46"/>
        <v>0.94454939437715302</v>
      </c>
      <c r="N286" s="3">
        <f t="shared" si="47"/>
        <v>0.94454939437715302</v>
      </c>
      <c r="O286" s="3" t="s">
        <v>35</v>
      </c>
      <c r="P286" s="3" t="s">
        <v>245</v>
      </c>
      <c r="Q286" s="3" t="str">
        <f t="shared" si="43"/>
        <v>276-2023-06-30</v>
      </c>
      <c r="R286" s="3">
        <v>0</v>
      </c>
      <c r="S286" s="3">
        <v>0</v>
      </c>
      <c r="T286" s="3" t="s">
        <v>31</v>
      </c>
      <c r="U286" s="3" t="s">
        <v>37</v>
      </c>
      <c r="V286" s="3" t="s">
        <v>202</v>
      </c>
      <c r="W286" s="3" t="s">
        <v>73</v>
      </c>
      <c r="X286" s="3" t="s">
        <v>74</v>
      </c>
      <c r="Y286" s="3" t="s">
        <v>585</v>
      </c>
      <c r="Z286" s="3" t="s">
        <v>86</v>
      </c>
      <c r="AA286" s="3" t="s">
        <v>204</v>
      </c>
      <c r="AB286" s="3" t="s">
        <v>65</v>
      </c>
      <c r="AC286" s="3" t="s">
        <v>31</v>
      </c>
      <c r="AD286" s="3">
        <v>0</v>
      </c>
    </row>
    <row r="287" spans="1:30" x14ac:dyDescent="0.3">
      <c r="A287" s="3">
        <v>276</v>
      </c>
      <c r="B287" s="3" t="s">
        <v>201</v>
      </c>
      <c r="C287" s="3" t="s">
        <v>202</v>
      </c>
      <c r="D287" s="3" t="s">
        <v>31</v>
      </c>
      <c r="E287" s="3" t="s">
        <v>171</v>
      </c>
      <c r="F287" s="12">
        <v>45291</v>
      </c>
      <c r="G287" s="3">
        <v>2023</v>
      </c>
      <c r="H287" s="3" t="s">
        <v>44</v>
      </c>
      <c r="I287" s="3" t="s">
        <v>49</v>
      </c>
      <c r="J287" s="3">
        <v>2</v>
      </c>
      <c r="K287" s="3">
        <v>85</v>
      </c>
      <c r="L287" s="3">
        <v>84.5</v>
      </c>
      <c r="M287" s="3">
        <f t="shared" si="46"/>
        <v>1.0059171597633136</v>
      </c>
      <c r="N287" s="3">
        <f t="shared" si="47"/>
        <v>1.0059171597633136</v>
      </c>
      <c r="O287" s="3" t="s">
        <v>35</v>
      </c>
      <c r="P287" s="3" t="s">
        <v>245</v>
      </c>
      <c r="Q287" s="3" t="str">
        <f t="shared" si="43"/>
        <v>276-2023-12-31</v>
      </c>
      <c r="R287" s="3">
        <v>0</v>
      </c>
      <c r="S287" s="3">
        <v>0</v>
      </c>
      <c r="T287" s="3" t="s">
        <v>31</v>
      </c>
      <c r="U287" s="3" t="s">
        <v>37</v>
      </c>
      <c r="V287" s="3" t="s">
        <v>202</v>
      </c>
      <c r="W287" s="3" t="s">
        <v>73</v>
      </c>
      <c r="X287" s="3" t="s">
        <v>74</v>
      </c>
      <c r="Y287" s="3" t="s">
        <v>585</v>
      </c>
      <c r="Z287" s="3" t="s">
        <v>86</v>
      </c>
      <c r="AA287" s="3" t="s">
        <v>204</v>
      </c>
      <c r="AB287" s="3" t="s">
        <v>65</v>
      </c>
      <c r="AC287" s="3" t="s">
        <v>31</v>
      </c>
      <c r="AD287" s="3">
        <v>0</v>
      </c>
    </row>
    <row r="288" spans="1:30" x14ac:dyDescent="0.3">
      <c r="A288" s="3">
        <v>276</v>
      </c>
      <c r="B288" s="3" t="s">
        <v>201</v>
      </c>
      <c r="C288" s="3" t="s">
        <v>202</v>
      </c>
      <c r="D288" s="3" t="s">
        <v>31</v>
      </c>
      <c r="E288" s="3" t="s">
        <v>171</v>
      </c>
      <c r="F288" s="12">
        <v>45291</v>
      </c>
      <c r="G288" s="3">
        <v>2023</v>
      </c>
      <c r="H288" s="3" t="s">
        <v>44</v>
      </c>
      <c r="I288" s="3" t="s">
        <v>49</v>
      </c>
      <c r="J288" s="3"/>
      <c r="K288" s="3">
        <v>85</v>
      </c>
      <c r="L288" s="3">
        <v>84.5</v>
      </c>
      <c r="M288" s="3">
        <f t="shared" si="46"/>
        <v>1.0059171597633136</v>
      </c>
      <c r="N288" s="3">
        <f t="shared" si="47"/>
        <v>1.0059171597633136</v>
      </c>
      <c r="O288" s="3" t="s">
        <v>35</v>
      </c>
      <c r="P288" s="3" t="s">
        <v>245</v>
      </c>
      <c r="Q288" s="3" t="str">
        <f t="shared" si="43"/>
        <v>276-2023-12-31</v>
      </c>
      <c r="R288" s="3">
        <v>0</v>
      </c>
      <c r="S288" s="3">
        <v>1</v>
      </c>
      <c r="T288" s="3" t="s">
        <v>443</v>
      </c>
      <c r="U288" s="3" t="s">
        <v>37</v>
      </c>
      <c r="V288" s="3" t="s">
        <v>202</v>
      </c>
      <c r="W288" s="3" t="s">
        <v>73</v>
      </c>
      <c r="X288" s="3" t="s">
        <v>74</v>
      </c>
      <c r="Y288" s="3" t="s">
        <v>585</v>
      </c>
      <c r="Z288" s="3" t="s">
        <v>86</v>
      </c>
      <c r="AA288" s="3" t="s">
        <v>204</v>
      </c>
      <c r="AB288" s="3" t="s">
        <v>65</v>
      </c>
      <c r="AC288" s="3" t="s">
        <v>31</v>
      </c>
      <c r="AD288" s="3">
        <v>0</v>
      </c>
    </row>
    <row r="289" spans="1:30" x14ac:dyDescent="0.3">
      <c r="A289" s="3">
        <v>276</v>
      </c>
      <c r="B289" s="3" t="s">
        <v>201</v>
      </c>
      <c r="C289" s="3" t="s">
        <v>202</v>
      </c>
      <c r="D289" s="3" t="s">
        <v>31</v>
      </c>
      <c r="E289" s="3" t="s">
        <v>171</v>
      </c>
      <c r="F289" s="12">
        <v>45473</v>
      </c>
      <c r="G289" s="3">
        <v>2024</v>
      </c>
      <c r="H289" s="3" t="s">
        <v>33</v>
      </c>
      <c r="I289" s="3" t="s">
        <v>51</v>
      </c>
      <c r="J289" s="3">
        <v>1</v>
      </c>
      <c r="K289" s="3">
        <v>75</v>
      </c>
      <c r="L289" s="3">
        <v>83.65</v>
      </c>
      <c r="M289" s="3">
        <f t="shared" si="46"/>
        <v>0.89659294680215174</v>
      </c>
      <c r="N289" s="3">
        <f t="shared" si="47"/>
        <v>0.89659294680215174</v>
      </c>
      <c r="O289" s="3" t="s">
        <v>35</v>
      </c>
      <c r="P289" s="3" t="s">
        <v>245</v>
      </c>
      <c r="Q289" s="3" t="str">
        <f t="shared" si="43"/>
        <v>276-2024-06-30</v>
      </c>
      <c r="R289" s="3">
        <v>1</v>
      </c>
      <c r="S289" s="3">
        <v>1</v>
      </c>
      <c r="T289" s="3" t="s">
        <v>31</v>
      </c>
      <c r="U289" s="3" t="s">
        <v>37</v>
      </c>
      <c r="V289" s="3" t="s">
        <v>202</v>
      </c>
      <c r="W289" s="3" t="s">
        <v>73</v>
      </c>
      <c r="X289" s="3" t="s">
        <v>74</v>
      </c>
      <c r="Y289" s="3" t="s">
        <v>585</v>
      </c>
      <c r="Z289" s="3" t="s">
        <v>86</v>
      </c>
      <c r="AA289" s="3" t="s">
        <v>204</v>
      </c>
      <c r="AB289" s="3" t="s">
        <v>65</v>
      </c>
      <c r="AC289" s="3" t="s">
        <v>31</v>
      </c>
      <c r="AD289" s="3">
        <v>0</v>
      </c>
    </row>
    <row r="290" spans="1:30" x14ac:dyDescent="0.3">
      <c r="A290" s="3">
        <v>276</v>
      </c>
      <c r="B290" s="3" t="s">
        <v>201</v>
      </c>
      <c r="C290" s="3" t="s">
        <v>202</v>
      </c>
      <c r="D290" s="3" t="s">
        <v>31</v>
      </c>
      <c r="E290" s="3" t="s">
        <v>171</v>
      </c>
      <c r="F290" s="12">
        <v>45657</v>
      </c>
      <c r="G290" s="3">
        <v>2024</v>
      </c>
      <c r="H290" s="3" t="s">
        <v>44</v>
      </c>
      <c r="I290" s="3" t="s">
        <v>53</v>
      </c>
      <c r="J290" s="3">
        <v>2</v>
      </c>
      <c r="K290" s="3">
        <v>75</v>
      </c>
      <c r="L290" s="3">
        <v>82.68</v>
      </c>
      <c r="M290" s="3">
        <f t="shared" si="46"/>
        <v>0.90711175616835982</v>
      </c>
      <c r="N290" s="3">
        <f t="shared" si="47"/>
        <v>0.90711175616835982</v>
      </c>
      <c r="O290" s="3" t="s">
        <v>35</v>
      </c>
      <c r="P290" s="3" t="s">
        <v>245</v>
      </c>
      <c r="Q290" s="3" t="str">
        <f t="shared" si="43"/>
        <v>276-2024-12-31</v>
      </c>
      <c r="R290" s="3">
        <v>0</v>
      </c>
      <c r="S290" s="3">
        <v>0</v>
      </c>
      <c r="T290" s="3" t="s">
        <v>31</v>
      </c>
      <c r="U290" s="3" t="s">
        <v>37</v>
      </c>
      <c r="V290" s="3" t="s">
        <v>202</v>
      </c>
      <c r="W290" s="3" t="s">
        <v>73</v>
      </c>
      <c r="X290" s="3" t="s">
        <v>74</v>
      </c>
      <c r="Y290" s="3" t="s">
        <v>585</v>
      </c>
      <c r="Z290" s="3" t="s">
        <v>86</v>
      </c>
      <c r="AA290" s="3" t="s">
        <v>204</v>
      </c>
      <c r="AB290" s="3" t="s">
        <v>65</v>
      </c>
      <c r="AC290" s="3" t="s">
        <v>31</v>
      </c>
      <c r="AD290" s="3">
        <v>0</v>
      </c>
    </row>
    <row r="291" spans="1:30" x14ac:dyDescent="0.3">
      <c r="A291" s="3">
        <v>276</v>
      </c>
      <c r="B291" s="3" t="s">
        <v>201</v>
      </c>
      <c r="C291" s="3" t="s">
        <v>202</v>
      </c>
      <c r="D291" s="3" t="s">
        <v>31</v>
      </c>
      <c r="E291" s="3" t="s">
        <v>171</v>
      </c>
      <c r="F291" s="12">
        <v>45657</v>
      </c>
      <c r="G291" s="3">
        <v>2024</v>
      </c>
      <c r="H291" s="3" t="s">
        <v>44</v>
      </c>
      <c r="I291" s="3" t="s">
        <v>53</v>
      </c>
      <c r="J291" s="3"/>
      <c r="K291" s="3">
        <v>75</v>
      </c>
      <c r="L291" s="3">
        <v>82.68</v>
      </c>
      <c r="M291" s="3">
        <f t="shared" si="46"/>
        <v>0.90711175616835982</v>
      </c>
      <c r="N291" s="3">
        <f t="shared" si="47"/>
        <v>0.90711175616835982</v>
      </c>
      <c r="O291" s="3" t="s">
        <v>35</v>
      </c>
      <c r="P291" s="3" t="s">
        <v>245</v>
      </c>
      <c r="Q291" s="3" t="str">
        <f t="shared" si="43"/>
        <v>276-2024-12-31</v>
      </c>
      <c r="R291" s="3">
        <v>0</v>
      </c>
      <c r="S291" s="3">
        <v>1</v>
      </c>
      <c r="T291" s="3" t="s">
        <v>443</v>
      </c>
      <c r="U291" s="3" t="s">
        <v>37</v>
      </c>
      <c r="V291" s="3" t="s">
        <v>202</v>
      </c>
      <c r="W291" s="3" t="s">
        <v>73</v>
      </c>
      <c r="X291" s="3" t="s">
        <v>74</v>
      </c>
      <c r="Y291" s="3" t="s">
        <v>585</v>
      </c>
      <c r="Z291" s="3" t="s">
        <v>86</v>
      </c>
      <c r="AA291" s="3" t="s">
        <v>204</v>
      </c>
      <c r="AB291" s="3" t="s">
        <v>65</v>
      </c>
      <c r="AC291" s="3" t="s">
        <v>31</v>
      </c>
      <c r="AD291" s="3">
        <v>0</v>
      </c>
    </row>
    <row r="292" spans="1:30" x14ac:dyDescent="0.3">
      <c r="A292" s="3">
        <v>276</v>
      </c>
      <c r="B292" s="3" t="s">
        <v>201</v>
      </c>
      <c r="C292" s="3" t="s">
        <v>202</v>
      </c>
      <c r="D292" s="3" t="s">
        <v>31</v>
      </c>
      <c r="E292" s="3" t="s">
        <v>171</v>
      </c>
      <c r="F292" s="12">
        <v>45838</v>
      </c>
      <c r="G292" s="3">
        <v>2025</v>
      </c>
      <c r="H292" s="3" t="s">
        <v>33</v>
      </c>
      <c r="I292" s="3" t="s">
        <v>404</v>
      </c>
      <c r="J292" s="3">
        <v>1</v>
      </c>
      <c r="K292" s="3">
        <v>81</v>
      </c>
      <c r="L292" s="3">
        <v>84.18</v>
      </c>
      <c r="M292" s="3">
        <f t="shared" si="46"/>
        <v>0.96222380612972191</v>
      </c>
      <c r="N292" s="3">
        <f t="shared" si="47"/>
        <v>0.96222380612972191</v>
      </c>
      <c r="O292" s="3" t="s">
        <v>35</v>
      </c>
      <c r="P292" s="3" t="s">
        <v>245</v>
      </c>
      <c r="Q292" s="3" t="str">
        <f t="shared" si="43"/>
        <v>276-2025-06-30</v>
      </c>
      <c r="R292" s="3">
        <v>0</v>
      </c>
      <c r="S292" s="3">
        <v>1</v>
      </c>
      <c r="T292" s="3" t="s">
        <v>31</v>
      </c>
      <c r="U292" s="3" t="s">
        <v>37</v>
      </c>
      <c r="V292" s="3" t="s">
        <v>202</v>
      </c>
      <c r="W292" s="3" t="s">
        <v>73</v>
      </c>
      <c r="X292" s="3" t="s">
        <v>74</v>
      </c>
      <c r="Y292" s="3" t="s">
        <v>585</v>
      </c>
      <c r="Z292" s="3" t="s">
        <v>86</v>
      </c>
      <c r="AA292" s="3" t="s">
        <v>204</v>
      </c>
      <c r="AB292" s="3" t="s">
        <v>65</v>
      </c>
      <c r="AC292" s="3" t="s">
        <v>31</v>
      </c>
      <c r="AD292" s="3">
        <v>0</v>
      </c>
    </row>
    <row r="293" spans="1:30" x14ac:dyDescent="0.3">
      <c r="A293" s="3">
        <v>276</v>
      </c>
      <c r="B293" s="3" t="s">
        <v>201</v>
      </c>
      <c r="C293" s="3" t="s">
        <v>202</v>
      </c>
      <c r="D293" s="3" t="s">
        <v>31</v>
      </c>
      <c r="E293" s="3" t="s">
        <v>171</v>
      </c>
      <c r="F293" s="12">
        <v>46022</v>
      </c>
      <c r="G293" s="3">
        <v>2025</v>
      </c>
      <c r="H293" s="3" t="s">
        <v>44</v>
      </c>
      <c r="I293" s="3" t="s">
        <v>465</v>
      </c>
      <c r="J293" s="3">
        <v>2</v>
      </c>
      <c r="K293" s="3">
        <v>81</v>
      </c>
      <c r="L293" s="3">
        <v>82.81</v>
      </c>
      <c r="M293" s="3">
        <f t="shared" si="46"/>
        <v>0.97814273638449456</v>
      </c>
      <c r="N293" s="3">
        <f t="shared" si="47"/>
        <v>0.97814273638449456</v>
      </c>
      <c r="O293" s="3" t="s">
        <v>35</v>
      </c>
      <c r="P293" s="3" t="s">
        <v>245</v>
      </c>
      <c r="Q293" s="3" t="str">
        <f t="shared" si="43"/>
        <v>276-2025-12-31</v>
      </c>
      <c r="R293" s="3">
        <v>0</v>
      </c>
      <c r="S293" s="3">
        <v>1</v>
      </c>
      <c r="T293" s="3" t="s">
        <v>31</v>
      </c>
      <c r="U293" s="3" t="s">
        <v>37</v>
      </c>
      <c r="V293" s="3" t="s">
        <v>202</v>
      </c>
      <c r="W293" s="3" t="s">
        <v>73</v>
      </c>
      <c r="X293" s="3" t="s">
        <v>74</v>
      </c>
      <c r="Y293" s="3" t="s">
        <v>585</v>
      </c>
      <c r="Z293" s="3" t="s">
        <v>86</v>
      </c>
      <c r="AA293" s="3" t="s">
        <v>204</v>
      </c>
      <c r="AB293" s="3" t="s">
        <v>65</v>
      </c>
      <c r="AC293" s="3" t="s">
        <v>31</v>
      </c>
      <c r="AD293" s="3">
        <v>0</v>
      </c>
    </row>
    <row r="294" spans="1:30" x14ac:dyDescent="0.3">
      <c r="A294" s="3">
        <v>277</v>
      </c>
      <c r="B294" s="3" t="s">
        <v>210</v>
      </c>
      <c r="C294" s="3" t="s">
        <v>202</v>
      </c>
      <c r="D294" s="3" t="s">
        <v>31</v>
      </c>
      <c r="E294" s="3" t="s">
        <v>171</v>
      </c>
      <c r="F294" s="12">
        <v>45107</v>
      </c>
      <c r="G294" s="3">
        <v>2023</v>
      </c>
      <c r="H294" s="3" t="s">
        <v>33</v>
      </c>
      <c r="I294" s="3" t="s">
        <v>47</v>
      </c>
      <c r="J294" s="3">
        <v>1</v>
      </c>
      <c r="K294" s="3">
        <v>85</v>
      </c>
      <c r="L294" s="3">
        <v>76.48</v>
      </c>
      <c r="M294" s="3">
        <f>+K294/L294</f>
        <v>1.1114016736401673</v>
      </c>
      <c r="N294" s="3">
        <f>+K294/L294</f>
        <v>1.1114016736401673</v>
      </c>
      <c r="O294" s="3" t="s">
        <v>35</v>
      </c>
      <c r="P294" s="3" t="s">
        <v>245</v>
      </c>
      <c r="Q294" s="3" t="str">
        <f t="shared" si="43"/>
        <v>277-2023-06-30</v>
      </c>
      <c r="R294" s="3">
        <v>1</v>
      </c>
      <c r="S294" s="3">
        <v>1</v>
      </c>
      <c r="T294" s="3" t="s">
        <v>31</v>
      </c>
      <c r="U294" s="3" t="s">
        <v>37</v>
      </c>
      <c r="V294" s="3" t="s">
        <v>202</v>
      </c>
      <c r="W294" s="3" t="s">
        <v>73</v>
      </c>
      <c r="X294" s="3" t="s">
        <v>74</v>
      </c>
      <c r="Y294" s="3" t="s">
        <v>585</v>
      </c>
      <c r="Z294" s="3" t="s">
        <v>86</v>
      </c>
      <c r="AA294" s="3" t="s">
        <v>204</v>
      </c>
      <c r="AB294" s="3" t="s">
        <v>65</v>
      </c>
      <c r="AC294" s="3" t="s">
        <v>31</v>
      </c>
      <c r="AD294" s="3">
        <v>0</v>
      </c>
    </row>
    <row r="295" spans="1:30" x14ac:dyDescent="0.3">
      <c r="A295" s="3">
        <v>277</v>
      </c>
      <c r="B295" s="3" t="s">
        <v>210</v>
      </c>
      <c r="C295" s="3" t="s">
        <v>202</v>
      </c>
      <c r="D295" s="3" t="s">
        <v>31</v>
      </c>
      <c r="E295" s="3" t="s">
        <v>171</v>
      </c>
      <c r="F295" s="12">
        <v>45291</v>
      </c>
      <c r="G295" s="3">
        <v>2023</v>
      </c>
      <c r="H295" s="3" t="s">
        <v>44</v>
      </c>
      <c r="I295" s="3" t="s">
        <v>49</v>
      </c>
      <c r="J295" s="3">
        <v>2</v>
      </c>
      <c r="K295" s="3">
        <v>85</v>
      </c>
      <c r="L295" s="3">
        <v>73.290000000000006</v>
      </c>
      <c r="M295" s="3">
        <f t="shared" ref="M295:M301" si="48">+K295/L295</f>
        <v>1.1597762314094691</v>
      </c>
      <c r="N295" s="3">
        <f t="shared" ref="N295:N301" si="49">+K295/L295</f>
        <v>1.1597762314094691</v>
      </c>
      <c r="O295" s="3" t="s">
        <v>35</v>
      </c>
      <c r="P295" s="3" t="s">
        <v>245</v>
      </c>
      <c r="Q295" s="3" t="str">
        <f t="shared" si="43"/>
        <v>277-2023-12-31</v>
      </c>
      <c r="R295" s="3">
        <v>1</v>
      </c>
      <c r="S295" s="3">
        <v>1</v>
      </c>
      <c r="T295" s="3" t="s">
        <v>31</v>
      </c>
      <c r="U295" s="3" t="s">
        <v>37</v>
      </c>
      <c r="V295" s="3" t="s">
        <v>202</v>
      </c>
      <c r="W295" s="3" t="s">
        <v>73</v>
      </c>
      <c r="X295" s="3" t="s">
        <v>74</v>
      </c>
      <c r="Y295" s="3" t="s">
        <v>585</v>
      </c>
      <c r="Z295" s="3" t="s">
        <v>86</v>
      </c>
      <c r="AA295" s="3" t="s">
        <v>204</v>
      </c>
      <c r="AB295" s="3" t="s">
        <v>65</v>
      </c>
      <c r="AC295" s="3" t="s">
        <v>31</v>
      </c>
      <c r="AD295" s="3">
        <v>0</v>
      </c>
    </row>
    <row r="296" spans="1:30" x14ac:dyDescent="0.3">
      <c r="A296" s="3">
        <v>277</v>
      </c>
      <c r="B296" s="3" t="s">
        <v>210</v>
      </c>
      <c r="C296" s="3" t="s">
        <v>202</v>
      </c>
      <c r="D296" s="3" t="s">
        <v>31</v>
      </c>
      <c r="E296" s="3" t="s">
        <v>171</v>
      </c>
      <c r="F296" s="12">
        <v>45291</v>
      </c>
      <c r="G296" s="3">
        <v>2023</v>
      </c>
      <c r="H296" s="3" t="s">
        <v>44</v>
      </c>
      <c r="I296" s="3" t="s">
        <v>49</v>
      </c>
      <c r="J296" s="3"/>
      <c r="K296" s="3">
        <v>85</v>
      </c>
      <c r="L296" s="3">
        <v>73.290000000000006</v>
      </c>
      <c r="M296" s="3">
        <f t="shared" si="48"/>
        <v>1.1597762314094691</v>
      </c>
      <c r="N296" s="3">
        <f t="shared" si="49"/>
        <v>1.1597762314094691</v>
      </c>
      <c r="O296" s="3" t="s">
        <v>35</v>
      </c>
      <c r="P296" s="3" t="s">
        <v>245</v>
      </c>
      <c r="Q296" s="3" t="str">
        <f t="shared" si="43"/>
        <v>277-2023-12-31</v>
      </c>
      <c r="R296" s="3">
        <v>1</v>
      </c>
      <c r="S296" s="3">
        <v>1</v>
      </c>
      <c r="T296" s="3" t="s">
        <v>443</v>
      </c>
      <c r="U296" s="3" t="s">
        <v>37</v>
      </c>
      <c r="V296" s="3" t="s">
        <v>202</v>
      </c>
      <c r="W296" s="3" t="s">
        <v>73</v>
      </c>
      <c r="X296" s="3" t="s">
        <v>74</v>
      </c>
      <c r="Y296" s="3" t="s">
        <v>585</v>
      </c>
      <c r="Z296" s="3" t="s">
        <v>86</v>
      </c>
      <c r="AA296" s="3" t="s">
        <v>204</v>
      </c>
      <c r="AB296" s="3" t="s">
        <v>65</v>
      </c>
      <c r="AC296" s="3" t="s">
        <v>31</v>
      </c>
      <c r="AD296" s="3">
        <v>0</v>
      </c>
    </row>
    <row r="297" spans="1:30" x14ac:dyDescent="0.3">
      <c r="A297" s="3">
        <v>277</v>
      </c>
      <c r="B297" s="3" t="s">
        <v>210</v>
      </c>
      <c r="C297" s="3" t="s">
        <v>202</v>
      </c>
      <c r="D297" s="3" t="s">
        <v>31</v>
      </c>
      <c r="E297" s="3" t="s">
        <v>171</v>
      </c>
      <c r="F297" s="12">
        <v>45473</v>
      </c>
      <c r="G297" s="3">
        <v>2024</v>
      </c>
      <c r="H297" s="3" t="s">
        <v>33</v>
      </c>
      <c r="I297" s="3" t="s">
        <v>51</v>
      </c>
      <c r="J297" s="3">
        <v>1</v>
      </c>
      <c r="K297" s="3">
        <v>73</v>
      </c>
      <c r="L297" s="3">
        <v>71.180000000000007</v>
      </c>
      <c r="M297" s="3">
        <f t="shared" si="48"/>
        <v>1.0255689800505758</v>
      </c>
      <c r="N297" s="3">
        <f t="shared" si="49"/>
        <v>1.0255689800505758</v>
      </c>
      <c r="O297" s="3" t="s">
        <v>35</v>
      </c>
      <c r="P297" s="3" t="s">
        <v>245</v>
      </c>
      <c r="Q297" s="3" t="str">
        <f t="shared" si="43"/>
        <v>277-2024-06-30</v>
      </c>
      <c r="R297" s="3">
        <v>1</v>
      </c>
      <c r="S297" s="3">
        <v>1</v>
      </c>
      <c r="T297" s="3" t="s">
        <v>31</v>
      </c>
      <c r="U297" s="3" t="s">
        <v>37</v>
      </c>
      <c r="V297" s="3" t="s">
        <v>202</v>
      </c>
      <c r="W297" s="3" t="s">
        <v>73</v>
      </c>
      <c r="X297" s="3" t="s">
        <v>74</v>
      </c>
      <c r="Y297" s="3" t="s">
        <v>585</v>
      </c>
      <c r="Z297" s="3" t="s">
        <v>86</v>
      </c>
      <c r="AA297" s="3" t="s">
        <v>204</v>
      </c>
      <c r="AB297" s="3" t="s">
        <v>65</v>
      </c>
      <c r="AC297" s="3" t="s">
        <v>31</v>
      </c>
      <c r="AD297" s="3">
        <v>0</v>
      </c>
    </row>
    <row r="298" spans="1:30" x14ac:dyDescent="0.3">
      <c r="A298" s="3">
        <v>277</v>
      </c>
      <c r="B298" s="3" t="s">
        <v>210</v>
      </c>
      <c r="C298" s="3" t="s">
        <v>202</v>
      </c>
      <c r="D298" s="3" t="s">
        <v>31</v>
      </c>
      <c r="E298" s="3" t="s">
        <v>171</v>
      </c>
      <c r="F298" s="12">
        <v>45657</v>
      </c>
      <c r="G298" s="3">
        <v>2024</v>
      </c>
      <c r="H298" s="3" t="s">
        <v>44</v>
      </c>
      <c r="I298" s="3" t="s">
        <v>53</v>
      </c>
      <c r="J298" s="3">
        <v>2</v>
      </c>
      <c r="K298" s="3">
        <v>73</v>
      </c>
      <c r="L298" s="3">
        <v>71.239999999999995</v>
      </c>
      <c r="M298" s="3">
        <f t="shared" si="48"/>
        <v>1.0247052217855139</v>
      </c>
      <c r="N298" s="3">
        <f t="shared" si="49"/>
        <v>1.0247052217855139</v>
      </c>
      <c r="O298" s="3" t="s">
        <v>35</v>
      </c>
      <c r="P298" s="3" t="s">
        <v>245</v>
      </c>
      <c r="Q298" s="3" t="str">
        <f t="shared" si="43"/>
        <v>277-2024-12-31</v>
      </c>
      <c r="R298" s="3">
        <v>0</v>
      </c>
      <c r="S298" s="3">
        <v>0</v>
      </c>
      <c r="T298" s="3" t="s">
        <v>31</v>
      </c>
      <c r="U298" s="3" t="s">
        <v>37</v>
      </c>
      <c r="V298" s="3" t="s">
        <v>202</v>
      </c>
      <c r="W298" s="3" t="s">
        <v>73</v>
      </c>
      <c r="X298" s="3" t="s">
        <v>74</v>
      </c>
      <c r="Y298" s="3" t="s">
        <v>585</v>
      </c>
      <c r="Z298" s="3" t="s">
        <v>86</v>
      </c>
      <c r="AA298" s="3" t="s">
        <v>204</v>
      </c>
      <c r="AB298" s="3" t="s">
        <v>65</v>
      </c>
      <c r="AC298" s="3" t="s">
        <v>31</v>
      </c>
      <c r="AD298" s="3">
        <v>0</v>
      </c>
    </row>
    <row r="299" spans="1:30" x14ac:dyDescent="0.3">
      <c r="A299" s="3">
        <v>277</v>
      </c>
      <c r="B299" s="3" t="s">
        <v>210</v>
      </c>
      <c r="C299" s="3" t="s">
        <v>202</v>
      </c>
      <c r="D299" s="3" t="s">
        <v>31</v>
      </c>
      <c r="E299" s="3" t="s">
        <v>171</v>
      </c>
      <c r="F299" s="12">
        <v>45657</v>
      </c>
      <c r="G299" s="3">
        <v>2024</v>
      </c>
      <c r="H299" s="3" t="s">
        <v>44</v>
      </c>
      <c r="I299" s="3" t="s">
        <v>53</v>
      </c>
      <c r="J299" s="3"/>
      <c r="K299" s="3">
        <v>73</v>
      </c>
      <c r="L299" s="3">
        <v>71.239999999999995</v>
      </c>
      <c r="M299" s="3">
        <f t="shared" si="48"/>
        <v>1.0247052217855139</v>
      </c>
      <c r="N299" s="3">
        <f t="shared" si="49"/>
        <v>1.0247052217855139</v>
      </c>
      <c r="O299" s="3" t="s">
        <v>35</v>
      </c>
      <c r="P299" s="3" t="s">
        <v>245</v>
      </c>
      <c r="Q299" s="3" t="str">
        <f t="shared" si="43"/>
        <v>277-2024-12-31</v>
      </c>
      <c r="R299" s="3">
        <v>1</v>
      </c>
      <c r="S299" s="3">
        <v>1</v>
      </c>
      <c r="T299" s="3" t="s">
        <v>443</v>
      </c>
      <c r="U299" s="3" t="s">
        <v>37</v>
      </c>
      <c r="V299" s="3" t="s">
        <v>202</v>
      </c>
      <c r="W299" s="3" t="s">
        <v>73</v>
      </c>
      <c r="X299" s="3" t="s">
        <v>74</v>
      </c>
      <c r="Y299" s="3" t="s">
        <v>585</v>
      </c>
      <c r="Z299" s="3" t="s">
        <v>86</v>
      </c>
      <c r="AA299" s="3" t="s">
        <v>204</v>
      </c>
      <c r="AB299" s="3" t="s">
        <v>65</v>
      </c>
      <c r="AC299" s="3" t="s">
        <v>31</v>
      </c>
      <c r="AD299" s="3">
        <v>0</v>
      </c>
    </row>
    <row r="300" spans="1:30" x14ac:dyDescent="0.3">
      <c r="A300" s="3">
        <v>277</v>
      </c>
      <c r="B300" s="3" t="s">
        <v>210</v>
      </c>
      <c r="C300" s="3" t="s">
        <v>202</v>
      </c>
      <c r="D300" s="3" t="s">
        <v>31</v>
      </c>
      <c r="E300" s="3" t="s">
        <v>171</v>
      </c>
      <c r="F300" s="12">
        <v>45838</v>
      </c>
      <c r="G300" s="3">
        <v>2025</v>
      </c>
      <c r="H300" s="3" t="s">
        <v>33</v>
      </c>
      <c r="I300" s="3" t="s">
        <v>404</v>
      </c>
      <c r="J300" s="3">
        <v>1</v>
      </c>
      <c r="K300" s="3">
        <v>71</v>
      </c>
      <c r="L300" s="3">
        <v>69.39</v>
      </c>
      <c r="M300" s="3">
        <f t="shared" si="48"/>
        <v>1.0232021905173656</v>
      </c>
      <c r="N300" s="3">
        <f t="shared" si="49"/>
        <v>1.0232021905173656</v>
      </c>
      <c r="O300" s="3" t="s">
        <v>35</v>
      </c>
      <c r="P300" s="3" t="s">
        <v>245</v>
      </c>
      <c r="Q300" s="3" t="str">
        <f t="shared" si="43"/>
        <v>277-2025-06-30</v>
      </c>
      <c r="R300" s="3">
        <v>1</v>
      </c>
      <c r="S300" s="3">
        <v>1</v>
      </c>
      <c r="T300" s="3" t="s">
        <v>31</v>
      </c>
      <c r="U300" s="3" t="s">
        <v>37</v>
      </c>
      <c r="V300" s="3" t="s">
        <v>202</v>
      </c>
      <c r="W300" s="3" t="s">
        <v>73</v>
      </c>
      <c r="X300" s="3" t="s">
        <v>74</v>
      </c>
      <c r="Y300" s="3" t="s">
        <v>585</v>
      </c>
      <c r="Z300" s="3" t="s">
        <v>86</v>
      </c>
      <c r="AA300" s="3" t="s">
        <v>204</v>
      </c>
      <c r="AB300" s="3" t="s">
        <v>65</v>
      </c>
      <c r="AC300" s="3" t="s">
        <v>31</v>
      </c>
      <c r="AD300" s="3">
        <v>0</v>
      </c>
    </row>
    <row r="301" spans="1:30" x14ac:dyDescent="0.3">
      <c r="A301" s="3">
        <v>277</v>
      </c>
      <c r="B301" s="3" t="s">
        <v>210</v>
      </c>
      <c r="C301" s="3" t="s">
        <v>202</v>
      </c>
      <c r="D301" s="3" t="s">
        <v>31</v>
      </c>
      <c r="E301" s="3" t="s">
        <v>171</v>
      </c>
      <c r="F301" s="12">
        <v>46022</v>
      </c>
      <c r="G301" s="3">
        <v>2025</v>
      </c>
      <c r="H301" s="3" t="s">
        <v>44</v>
      </c>
      <c r="I301" s="3" t="s">
        <v>465</v>
      </c>
      <c r="J301" s="3">
        <v>2</v>
      </c>
      <c r="K301" s="3">
        <v>71</v>
      </c>
      <c r="L301" s="3">
        <v>68.400000000000006</v>
      </c>
      <c r="M301" s="3">
        <f t="shared" si="48"/>
        <v>1.0380116959064327</v>
      </c>
      <c r="N301" s="3">
        <f t="shared" si="49"/>
        <v>1.0380116959064327</v>
      </c>
      <c r="O301" s="3" t="s">
        <v>35</v>
      </c>
      <c r="P301" s="3" t="s">
        <v>245</v>
      </c>
      <c r="Q301" s="3" t="str">
        <f t="shared" si="43"/>
        <v>277-2025-12-31</v>
      </c>
      <c r="R301" s="3">
        <v>1</v>
      </c>
      <c r="S301" s="3">
        <v>1</v>
      </c>
      <c r="T301" s="3" t="s">
        <v>31</v>
      </c>
      <c r="U301" s="3" t="s">
        <v>37</v>
      </c>
      <c r="V301" s="3" t="s">
        <v>202</v>
      </c>
      <c r="W301" s="3" t="s">
        <v>73</v>
      </c>
      <c r="X301" s="3" t="s">
        <v>74</v>
      </c>
      <c r="Y301" s="3" t="s">
        <v>585</v>
      </c>
      <c r="Z301" s="3" t="s">
        <v>86</v>
      </c>
      <c r="AA301" s="3" t="s">
        <v>204</v>
      </c>
      <c r="AB301" s="3" t="s">
        <v>65</v>
      </c>
      <c r="AC301" s="3" t="s">
        <v>31</v>
      </c>
      <c r="AD301" s="3">
        <v>0</v>
      </c>
    </row>
    <row r="302" spans="1:30" x14ac:dyDescent="0.3">
      <c r="A302" s="3">
        <v>323</v>
      </c>
      <c r="B302" s="3" t="s">
        <v>215</v>
      </c>
      <c r="C302" s="3" t="s">
        <v>216</v>
      </c>
      <c r="D302" s="3" t="s">
        <v>31</v>
      </c>
      <c r="E302" s="3" t="s">
        <v>32</v>
      </c>
      <c r="F302" s="12">
        <v>44926</v>
      </c>
      <c r="G302" s="3">
        <v>2022</v>
      </c>
      <c r="H302" s="3" t="s">
        <v>44</v>
      </c>
      <c r="I302" s="3" t="s">
        <v>45</v>
      </c>
      <c r="J302" s="3">
        <v>2</v>
      </c>
      <c r="K302" s="3">
        <v>3</v>
      </c>
      <c r="L302" s="3">
        <v>3</v>
      </c>
      <c r="M302" s="3">
        <v>1</v>
      </c>
      <c r="N302" s="3">
        <v>1</v>
      </c>
      <c r="O302" s="3"/>
      <c r="P302" s="3"/>
      <c r="Q302" s="3" t="str">
        <f t="shared" si="43"/>
        <v>323-2022-12-31</v>
      </c>
      <c r="R302" s="3">
        <v>0</v>
      </c>
      <c r="S302" s="3">
        <v>0</v>
      </c>
      <c r="T302" s="3" t="s">
        <v>31</v>
      </c>
      <c r="U302" s="3" t="s">
        <v>37</v>
      </c>
      <c r="V302" s="3" t="s">
        <v>216</v>
      </c>
      <c r="W302" s="3" t="s">
        <v>73</v>
      </c>
      <c r="X302" s="3" t="s">
        <v>218</v>
      </c>
      <c r="Y302" s="3" t="s">
        <v>219</v>
      </c>
      <c r="Z302" s="3" t="s">
        <v>86</v>
      </c>
      <c r="AA302" s="3" t="s">
        <v>87</v>
      </c>
      <c r="AB302" s="3" t="s">
        <v>78</v>
      </c>
      <c r="AC302" s="3" t="s">
        <v>66</v>
      </c>
      <c r="AD302" s="3">
        <v>0</v>
      </c>
    </row>
    <row r="303" spans="1:30" x14ac:dyDescent="0.3">
      <c r="A303" s="3">
        <v>323</v>
      </c>
      <c r="B303" s="3" t="s">
        <v>215</v>
      </c>
      <c r="C303" s="3" t="s">
        <v>216</v>
      </c>
      <c r="D303" s="3" t="s">
        <v>31</v>
      </c>
      <c r="E303" s="3" t="s">
        <v>32</v>
      </c>
      <c r="F303" s="12">
        <v>44926</v>
      </c>
      <c r="G303" s="3">
        <v>2022</v>
      </c>
      <c r="H303" s="3" t="s">
        <v>44</v>
      </c>
      <c r="I303" s="3" t="s">
        <v>45</v>
      </c>
      <c r="J303" s="3"/>
      <c r="K303" s="3">
        <v>3</v>
      </c>
      <c r="L303" s="3">
        <v>3</v>
      </c>
      <c r="M303" s="3">
        <v>1</v>
      </c>
      <c r="N303" s="3">
        <v>1</v>
      </c>
      <c r="O303" s="3" t="s">
        <v>35</v>
      </c>
      <c r="P303" s="3" t="s">
        <v>35</v>
      </c>
      <c r="Q303" s="3" t="str">
        <f t="shared" si="43"/>
        <v>323-2022-12-31</v>
      </c>
      <c r="R303" s="3">
        <v>0</v>
      </c>
      <c r="S303" s="3">
        <v>0</v>
      </c>
      <c r="T303" s="3" t="s">
        <v>443</v>
      </c>
      <c r="U303" s="3" t="s">
        <v>37</v>
      </c>
      <c r="V303" s="3" t="s">
        <v>216</v>
      </c>
      <c r="W303" s="3" t="s">
        <v>73</v>
      </c>
      <c r="X303" s="3" t="s">
        <v>218</v>
      </c>
      <c r="Y303" s="3" t="s">
        <v>219</v>
      </c>
      <c r="Z303" s="3" t="s">
        <v>86</v>
      </c>
      <c r="AA303" s="3" t="s">
        <v>87</v>
      </c>
      <c r="AB303" s="3" t="s">
        <v>78</v>
      </c>
      <c r="AC303" s="3" t="s">
        <v>66</v>
      </c>
      <c r="AD303" s="3">
        <v>0</v>
      </c>
    </row>
    <row r="304" spans="1:30" x14ac:dyDescent="0.3">
      <c r="A304" s="3">
        <v>323</v>
      </c>
      <c r="B304" s="3" t="s">
        <v>215</v>
      </c>
      <c r="C304" s="3" t="s">
        <v>216</v>
      </c>
      <c r="D304" s="3" t="s">
        <v>31</v>
      </c>
      <c r="E304" s="3" t="s">
        <v>32</v>
      </c>
      <c r="F304" s="12">
        <v>45107</v>
      </c>
      <c r="G304" s="3">
        <v>2023</v>
      </c>
      <c r="H304" s="3" t="s">
        <v>33</v>
      </c>
      <c r="I304" s="3" t="s">
        <v>47</v>
      </c>
      <c r="J304" s="3">
        <v>1</v>
      </c>
      <c r="K304" s="3">
        <v>2</v>
      </c>
      <c r="L304" s="3">
        <v>2</v>
      </c>
      <c r="M304" s="3">
        <v>1</v>
      </c>
      <c r="N304" s="3">
        <v>1</v>
      </c>
      <c r="O304" s="3"/>
      <c r="P304" s="3"/>
      <c r="Q304" s="3" t="str">
        <f t="shared" si="43"/>
        <v>323-2023-06-30</v>
      </c>
      <c r="R304" s="3">
        <v>0</v>
      </c>
      <c r="S304" s="3">
        <v>0</v>
      </c>
      <c r="T304" s="3" t="s">
        <v>31</v>
      </c>
      <c r="U304" s="3" t="s">
        <v>37</v>
      </c>
      <c r="V304" s="3" t="s">
        <v>216</v>
      </c>
      <c r="W304" s="3" t="s">
        <v>73</v>
      </c>
      <c r="X304" s="3" t="s">
        <v>218</v>
      </c>
      <c r="Y304" s="3" t="s">
        <v>219</v>
      </c>
      <c r="Z304" s="3" t="s">
        <v>86</v>
      </c>
      <c r="AA304" s="3" t="s">
        <v>87</v>
      </c>
      <c r="AB304" s="3" t="s">
        <v>78</v>
      </c>
      <c r="AC304" s="3" t="s">
        <v>66</v>
      </c>
      <c r="AD304" s="3">
        <v>0</v>
      </c>
    </row>
    <row r="305" spans="1:30" x14ac:dyDescent="0.3">
      <c r="A305" s="3">
        <v>323</v>
      </c>
      <c r="B305" s="3" t="s">
        <v>215</v>
      </c>
      <c r="C305" s="3" t="s">
        <v>216</v>
      </c>
      <c r="D305" s="3" t="s">
        <v>31</v>
      </c>
      <c r="E305" s="3" t="s">
        <v>32</v>
      </c>
      <c r="F305" s="12">
        <v>45291</v>
      </c>
      <c r="G305" s="3">
        <v>2023</v>
      </c>
      <c r="H305" s="3" t="s">
        <v>44</v>
      </c>
      <c r="I305" s="3" t="s">
        <v>49</v>
      </c>
      <c r="J305" s="3">
        <v>2</v>
      </c>
      <c r="K305" s="3">
        <v>6</v>
      </c>
      <c r="L305" s="3">
        <v>6</v>
      </c>
      <c r="M305" s="3">
        <v>1</v>
      </c>
      <c r="N305" s="3">
        <v>1</v>
      </c>
      <c r="O305" s="3"/>
      <c r="P305" s="3"/>
      <c r="Q305" s="3" t="str">
        <f t="shared" si="43"/>
        <v>323-2023-12-31</v>
      </c>
      <c r="R305" s="3">
        <v>0</v>
      </c>
      <c r="S305" s="3">
        <v>0</v>
      </c>
      <c r="T305" s="3" t="s">
        <v>31</v>
      </c>
      <c r="U305" s="3" t="s">
        <v>37</v>
      </c>
      <c r="V305" s="3" t="s">
        <v>216</v>
      </c>
      <c r="W305" s="3" t="s">
        <v>73</v>
      </c>
      <c r="X305" s="3" t="s">
        <v>218</v>
      </c>
      <c r="Y305" s="3" t="s">
        <v>219</v>
      </c>
      <c r="Z305" s="3" t="s">
        <v>86</v>
      </c>
      <c r="AA305" s="3" t="s">
        <v>87</v>
      </c>
      <c r="AB305" s="3" t="s">
        <v>78</v>
      </c>
      <c r="AC305" s="3" t="s">
        <v>66</v>
      </c>
      <c r="AD305" s="3">
        <v>0</v>
      </c>
    </row>
    <row r="306" spans="1:30" x14ac:dyDescent="0.3">
      <c r="A306" s="3">
        <v>323</v>
      </c>
      <c r="B306" s="3" t="s">
        <v>215</v>
      </c>
      <c r="C306" s="3" t="s">
        <v>216</v>
      </c>
      <c r="D306" s="3" t="s">
        <v>31</v>
      </c>
      <c r="E306" s="3" t="s">
        <v>32</v>
      </c>
      <c r="F306" s="12">
        <v>45291</v>
      </c>
      <c r="G306" s="3">
        <v>2023</v>
      </c>
      <c r="H306" s="3" t="s">
        <v>44</v>
      </c>
      <c r="I306" s="3" t="s">
        <v>49</v>
      </c>
      <c r="J306" s="3"/>
      <c r="K306" s="3">
        <v>8</v>
      </c>
      <c r="L306" s="3">
        <v>8</v>
      </c>
      <c r="M306" s="3">
        <v>1</v>
      </c>
      <c r="N306" s="3">
        <v>1</v>
      </c>
      <c r="O306" s="3" t="s">
        <v>35</v>
      </c>
      <c r="P306" s="3" t="s">
        <v>35</v>
      </c>
      <c r="Q306" s="3" t="str">
        <f t="shared" si="43"/>
        <v>323-2023-12-31</v>
      </c>
      <c r="R306" s="3">
        <v>0</v>
      </c>
      <c r="S306" s="3">
        <v>0</v>
      </c>
      <c r="T306" s="3" t="s">
        <v>443</v>
      </c>
      <c r="U306" s="3" t="s">
        <v>37</v>
      </c>
      <c r="V306" s="3" t="s">
        <v>216</v>
      </c>
      <c r="W306" s="3" t="s">
        <v>73</v>
      </c>
      <c r="X306" s="3" t="s">
        <v>218</v>
      </c>
      <c r="Y306" s="3" t="s">
        <v>219</v>
      </c>
      <c r="Z306" s="3" t="s">
        <v>86</v>
      </c>
      <c r="AA306" s="3" t="s">
        <v>87</v>
      </c>
      <c r="AB306" s="3" t="s">
        <v>78</v>
      </c>
      <c r="AC306" s="3" t="s">
        <v>66</v>
      </c>
      <c r="AD306" s="3">
        <v>0</v>
      </c>
    </row>
    <row r="307" spans="1:30" x14ac:dyDescent="0.3">
      <c r="A307" s="3">
        <v>323</v>
      </c>
      <c r="B307" s="3" t="s">
        <v>215</v>
      </c>
      <c r="C307" s="3" t="s">
        <v>216</v>
      </c>
      <c r="D307" s="3" t="s">
        <v>31</v>
      </c>
      <c r="E307" s="3" t="s">
        <v>32</v>
      </c>
      <c r="F307" s="12">
        <v>45473</v>
      </c>
      <c r="G307" s="3">
        <v>2024</v>
      </c>
      <c r="H307" s="3" t="s">
        <v>33</v>
      </c>
      <c r="I307" s="3" t="s">
        <v>51</v>
      </c>
      <c r="J307" s="3">
        <v>1</v>
      </c>
      <c r="K307" s="3">
        <v>3</v>
      </c>
      <c r="L307" s="3">
        <v>3</v>
      </c>
      <c r="M307" s="3">
        <v>1</v>
      </c>
      <c r="N307" s="3">
        <v>1</v>
      </c>
      <c r="O307" s="3"/>
      <c r="P307" s="3"/>
      <c r="Q307" s="3" t="str">
        <f t="shared" si="43"/>
        <v>323-2024-06-30</v>
      </c>
      <c r="R307" s="3">
        <v>0</v>
      </c>
      <c r="S307" s="3">
        <v>0</v>
      </c>
      <c r="T307" s="3" t="s">
        <v>31</v>
      </c>
      <c r="U307" s="3" t="s">
        <v>37</v>
      </c>
      <c r="V307" s="3" t="s">
        <v>216</v>
      </c>
      <c r="W307" s="3" t="s">
        <v>73</v>
      </c>
      <c r="X307" s="3" t="s">
        <v>218</v>
      </c>
      <c r="Y307" s="3" t="s">
        <v>219</v>
      </c>
      <c r="Z307" s="3" t="s">
        <v>86</v>
      </c>
      <c r="AA307" s="3" t="s">
        <v>87</v>
      </c>
      <c r="AB307" s="3" t="s">
        <v>78</v>
      </c>
      <c r="AC307" s="3" t="s">
        <v>66</v>
      </c>
      <c r="AD307" s="3">
        <v>0</v>
      </c>
    </row>
    <row r="308" spans="1:30" x14ac:dyDescent="0.3">
      <c r="A308" s="3">
        <v>323</v>
      </c>
      <c r="B308" s="3" t="s">
        <v>215</v>
      </c>
      <c r="C308" s="3" t="s">
        <v>216</v>
      </c>
      <c r="D308" s="3" t="s">
        <v>31</v>
      </c>
      <c r="E308" s="3" t="s">
        <v>32</v>
      </c>
      <c r="F308" s="12">
        <v>45657</v>
      </c>
      <c r="G308" s="3">
        <v>2024</v>
      </c>
      <c r="H308" s="3" t="s">
        <v>44</v>
      </c>
      <c r="I308" s="3" t="s">
        <v>53</v>
      </c>
      <c r="J308" s="3">
        <v>2</v>
      </c>
      <c r="K308" s="3">
        <v>0</v>
      </c>
      <c r="L308" s="3">
        <v>0</v>
      </c>
      <c r="M308" s="3"/>
      <c r="N308" s="3"/>
      <c r="O308" s="3"/>
      <c r="P308" s="3"/>
      <c r="Q308" s="3" t="str">
        <f t="shared" si="43"/>
        <v>323-2024-12-31</v>
      </c>
      <c r="R308" s="3">
        <v>0</v>
      </c>
      <c r="S308" s="3">
        <v>0</v>
      </c>
      <c r="T308" s="3" t="s">
        <v>31</v>
      </c>
      <c r="U308" s="3" t="s">
        <v>37</v>
      </c>
      <c r="V308" s="3" t="s">
        <v>216</v>
      </c>
      <c r="W308" s="3" t="s">
        <v>73</v>
      </c>
      <c r="X308" s="3" t="s">
        <v>218</v>
      </c>
      <c r="Y308" s="3" t="s">
        <v>219</v>
      </c>
      <c r="Z308" s="3" t="s">
        <v>86</v>
      </c>
      <c r="AA308" s="3" t="s">
        <v>87</v>
      </c>
      <c r="AB308" s="3" t="s">
        <v>78</v>
      </c>
      <c r="AC308" s="3" t="s">
        <v>66</v>
      </c>
      <c r="AD308" s="3">
        <v>0</v>
      </c>
    </row>
    <row r="309" spans="1:30" x14ac:dyDescent="0.3">
      <c r="A309" s="3">
        <v>323</v>
      </c>
      <c r="B309" s="3" t="s">
        <v>215</v>
      </c>
      <c r="C309" s="3" t="s">
        <v>216</v>
      </c>
      <c r="D309" s="3" t="s">
        <v>31</v>
      </c>
      <c r="E309" s="3" t="s">
        <v>32</v>
      </c>
      <c r="F309" s="12">
        <v>45657</v>
      </c>
      <c r="G309" s="3">
        <v>2024</v>
      </c>
      <c r="H309" s="3" t="s">
        <v>44</v>
      </c>
      <c r="I309" s="3" t="s">
        <v>53</v>
      </c>
      <c r="J309" s="3"/>
      <c r="K309" s="3">
        <v>3</v>
      </c>
      <c r="L309" s="3">
        <v>3</v>
      </c>
      <c r="M309" s="3">
        <v>1</v>
      </c>
      <c r="N309" s="3">
        <v>1</v>
      </c>
      <c r="O309" s="3" t="s">
        <v>35</v>
      </c>
      <c r="P309" s="3" t="s">
        <v>35</v>
      </c>
      <c r="Q309" s="3" t="str">
        <f t="shared" si="43"/>
        <v>323-2024-12-31</v>
      </c>
      <c r="R309" s="3">
        <v>0</v>
      </c>
      <c r="S309" s="3">
        <v>0</v>
      </c>
      <c r="T309" s="3" t="s">
        <v>443</v>
      </c>
      <c r="U309" s="3" t="s">
        <v>37</v>
      </c>
      <c r="V309" s="3" t="s">
        <v>216</v>
      </c>
      <c r="W309" s="3" t="s">
        <v>73</v>
      </c>
      <c r="X309" s="3" t="s">
        <v>218</v>
      </c>
      <c r="Y309" s="3" t="s">
        <v>219</v>
      </c>
      <c r="Z309" s="3" t="s">
        <v>86</v>
      </c>
      <c r="AA309" s="3" t="s">
        <v>87</v>
      </c>
      <c r="AB309" s="3" t="s">
        <v>78</v>
      </c>
      <c r="AC309" s="3" t="s">
        <v>66</v>
      </c>
      <c r="AD309" s="3">
        <v>0</v>
      </c>
    </row>
    <row r="310" spans="1:30" x14ac:dyDescent="0.3">
      <c r="A310" s="3">
        <v>323</v>
      </c>
      <c r="B310" s="3" t="s">
        <v>215</v>
      </c>
      <c r="C310" s="3" t="s">
        <v>216</v>
      </c>
      <c r="D310" s="3" t="s">
        <v>31</v>
      </c>
      <c r="E310" s="3" t="s">
        <v>32</v>
      </c>
      <c r="F310" s="12">
        <v>45838</v>
      </c>
      <c r="G310" s="3">
        <v>2025</v>
      </c>
      <c r="H310" s="3" t="s">
        <v>33</v>
      </c>
      <c r="I310" s="3" t="s">
        <v>404</v>
      </c>
      <c r="J310" s="3">
        <v>1</v>
      </c>
      <c r="K310" s="3">
        <v>1</v>
      </c>
      <c r="L310" s="3">
        <v>1</v>
      </c>
      <c r="M310" s="3">
        <v>1</v>
      </c>
      <c r="N310" s="3">
        <v>1</v>
      </c>
      <c r="O310" s="3" t="s">
        <v>35</v>
      </c>
      <c r="P310" s="3" t="s">
        <v>35</v>
      </c>
      <c r="Q310" s="3" t="str">
        <f t="shared" si="43"/>
        <v>323-2025-06-30</v>
      </c>
      <c r="R310" s="3">
        <v>0</v>
      </c>
      <c r="S310" s="3">
        <v>0</v>
      </c>
      <c r="T310" s="3" t="s">
        <v>31</v>
      </c>
      <c r="U310" s="3" t="s">
        <v>37</v>
      </c>
      <c r="V310" s="3" t="s">
        <v>216</v>
      </c>
      <c r="W310" s="3" t="s">
        <v>73</v>
      </c>
      <c r="X310" s="3" t="s">
        <v>218</v>
      </c>
      <c r="Y310" s="3" t="s">
        <v>219</v>
      </c>
      <c r="Z310" s="3" t="s">
        <v>86</v>
      </c>
      <c r="AA310" s="3" t="s">
        <v>87</v>
      </c>
      <c r="AB310" s="3" t="s">
        <v>78</v>
      </c>
      <c r="AC310" s="3" t="s">
        <v>66</v>
      </c>
      <c r="AD310" s="3">
        <v>0</v>
      </c>
    </row>
    <row r="311" spans="1:30" x14ac:dyDescent="0.3">
      <c r="A311" s="3">
        <v>323</v>
      </c>
      <c r="B311" s="3" t="s">
        <v>215</v>
      </c>
      <c r="C311" s="3" t="s">
        <v>216</v>
      </c>
      <c r="D311" s="3" t="s">
        <v>31</v>
      </c>
      <c r="E311" s="3" t="s">
        <v>32</v>
      </c>
      <c r="F311" s="12">
        <v>45838</v>
      </c>
      <c r="G311" s="3">
        <v>2025</v>
      </c>
      <c r="H311" s="3" t="s">
        <v>33</v>
      </c>
      <c r="I311" s="3" t="s">
        <v>404</v>
      </c>
      <c r="J311" s="3"/>
      <c r="K311" s="3">
        <v>1</v>
      </c>
      <c r="L311" s="3">
        <v>1</v>
      </c>
      <c r="M311" s="3">
        <v>1</v>
      </c>
      <c r="N311" s="3">
        <v>1</v>
      </c>
      <c r="O311" s="3" t="s">
        <v>35</v>
      </c>
      <c r="P311" s="3" t="s">
        <v>35</v>
      </c>
      <c r="Q311" s="3" t="str">
        <f t="shared" si="43"/>
        <v>323-2025-06-30</v>
      </c>
      <c r="R311" s="3">
        <v>0</v>
      </c>
      <c r="S311" s="3">
        <v>0</v>
      </c>
      <c r="T311" s="3" t="s">
        <v>443</v>
      </c>
      <c r="U311" s="3" t="s">
        <v>37</v>
      </c>
      <c r="V311" s="3" t="s">
        <v>216</v>
      </c>
      <c r="W311" s="3" t="s">
        <v>73</v>
      </c>
      <c r="X311" s="3" t="s">
        <v>218</v>
      </c>
      <c r="Y311" s="3" t="s">
        <v>219</v>
      </c>
      <c r="Z311" s="3" t="s">
        <v>86</v>
      </c>
      <c r="AA311" s="3" t="s">
        <v>87</v>
      </c>
      <c r="AB311" s="3" t="s">
        <v>78</v>
      </c>
      <c r="AC311" s="3" t="s">
        <v>66</v>
      </c>
      <c r="AD311" s="3">
        <v>0</v>
      </c>
    </row>
    <row r="312" spans="1:30" x14ac:dyDescent="0.3">
      <c r="A312" s="3">
        <v>325</v>
      </c>
      <c r="B312" s="3" t="s">
        <v>224</v>
      </c>
      <c r="C312" s="3" t="s">
        <v>216</v>
      </c>
      <c r="D312" s="3" t="s">
        <v>31</v>
      </c>
      <c r="E312" s="3" t="s">
        <v>32</v>
      </c>
      <c r="F312" s="12">
        <v>44742</v>
      </c>
      <c r="G312" s="3">
        <v>2022</v>
      </c>
      <c r="H312" s="3" t="s">
        <v>33</v>
      </c>
      <c r="I312" s="3" t="s">
        <v>34</v>
      </c>
      <c r="J312" s="3">
        <v>1</v>
      </c>
      <c r="K312" s="3">
        <v>3</v>
      </c>
      <c r="L312" s="3">
        <v>3</v>
      </c>
      <c r="M312" s="3">
        <v>1</v>
      </c>
      <c r="N312" s="3">
        <v>1</v>
      </c>
      <c r="O312" s="3" t="s">
        <v>35</v>
      </c>
      <c r="P312" s="3" t="s">
        <v>35</v>
      </c>
      <c r="Q312" s="3" t="str">
        <f t="shared" si="43"/>
        <v>325-2022-06-30</v>
      </c>
      <c r="R312" s="3">
        <v>0</v>
      </c>
      <c r="S312" s="3">
        <v>0</v>
      </c>
      <c r="T312" s="3" t="s">
        <v>31</v>
      </c>
      <c r="U312" s="3" t="s">
        <v>37</v>
      </c>
      <c r="V312" s="3" t="s">
        <v>216</v>
      </c>
      <c r="W312" s="3" t="s">
        <v>73</v>
      </c>
      <c r="X312" s="3" t="s">
        <v>218</v>
      </c>
      <c r="Y312" s="3" t="s">
        <v>219</v>
      </c>
      <c r="Z312" s="3" t="s">
        <v>86</v>
      </c>
      <c r="AA312" s="3" t="s">
        <v>87</v>
      </c>
      <c r="AB312" s="3" t="s">
        <v>78</v>
      </c>
      <c r="AC312" s="3" t="s">
        <v>66</v>
      </c>
      <c r="AD312" s="3">
        <v>0</v>
      </c>
    </row>
    <row r="313" spans="1:30" x14ac:dyDescent="0.3">
      <c r="A313" s="3">
        <v>325</v>
      </c>
      <c r="B313" s="3" t="s">
        <v>224</v>
      </c>
      <c r="C313" s="3" t="s">
        <v>216</v>
      </c>
      <c r="D313" s="3" t="s">
        <v>31</v>
      </c>
      <c r="E313" s="3" t="s">
        <v>32</v>
      </c>
      <c r="F313" s="12">
        <v>44926</v>
      </c>
      <c r="G313" s="3">
        <v>2022</v>
      </c>
      <c r="H313" s="3" t="s">
        <v>44</v>
      </c>
      <c r="I313" s="3" t="s">
        <v>45</v>
      </c>
      <c r="J313" s="3">
        <v>2</v>
      </c>
      <c r="K313" s="3">
        <v>3</v>
      </c>
      <c r="L313" s="3">
        <v>3</v>
      </c>
      <c r="M313" s="3">
        <v>1</v>
      </c>
      <c r="N313" s="3">
        <v>1</v>
      </c>
      <c r="O313" s="3" t="s">
        <v>35</v>
      </c>
      <c r="P313" s="3" t="s">
        <v>35</v>
      </c>
      <c r="Q313" s="3" t="str">
        <f t="shared" si="43"/>
        <v>325-2022-12-31</v>
      </c>
      <c r="R313" s="3">
        <v>0</v>
      </c>
      <c r="S313" s="3">
        <v>0</v>
      </c>
      <c r="T313" s="3" t="s">
        <v>31</v>
      </c>
      <c r="U313" s="3" t="s">
        <v>37</v>
      </c>
      <c r="V313" s="3" t="s">
        <v>216</v>
      </c>
      <c r="W313" s="3" t="s">
        <v>73</v>
      </c>
      <c r="X313" s="3" t="s">
        <v>218</v>
      </c>
      <c r="Y313" s="3" t="s">
        <v>219</v>
      </c>
      <c r="Z313" s="3" t="s">
        <v>86</v>
      </c>
      <c r="AA313" s="3" t="s">
        <v>87</v>
      </c>
      <c r="AB313" s="3" t="s">
        <v>78</v>
      </c>
      <c r="AC313" s="3" t="s">
        <v>66</v>
      </c>
      <c r="AD313" s="3">
        <v>0</v>
      </c>
    </row>
    <row r="314" spans="1:30" x14ac:dyDescent="0.3">
      <c r="A314" s="3">
        <v>325</v>
      </c>
      <c r="B314" s="3" t="s">
        <v>224</v>
      </c>
      <c r="C314" s="3" t="s">
        <v>216</v>
      </c>
      <c r="D314" s="3" t="s">
        <v>31</v>
      </c>
      <c r="E314" s="3" t="s">
        <v>32</v>
      </c>
      <c r="F314" s="12">
        <v>44926</v>
      </c>
      <c r="G314" s="3">
        <v>2022</v>
      </c>
      <c r="H314" s="3" t="s">
        <v>44</v>
      </c>
      <c r="I314" s="3" t="s">
        <v>45</v>
      </c>
      <c r="J314" s="3"/>
      <c r="K314" s="3">
        <v>6</v>
      </c>
      <c r="L314" s="3">
        <v>6</v>
      </c>
      <c r="M314" s="3">
        <v>1</v>
      </c>
      <c r="N314" s="3">
        <v>1</v>
      </c>
      <c r="O314" s="3" t="s">
        <v>35</v>
      </c>
      <c r="P314" s="3" t="s">
        <v>35</v>
      </c>
      <c r="Q314" s="3" t="str">
        <f t="shared" si="43"/>
        <v>325-2022-12-31</v>
      </c>
      <c r="R314" s="3">
        <v>0</v>
      </c>
      <c r="S314" s="3">
        <v>0</v>
      </c>
      <c r="T314" s="3" t="s">
        <v>443</v>
      </c>
      <c r="U314" s="3" t="s">
        <v>37</v>
      </c>
      <c r="V314" s="3" t="s">
        <v>216</v>
      </c>
      <c r="W314" s="3" t="s">
        <v>73</v>
      </c>
      <c r="X314" s="3" t="s">
        <v>218</v>
      </c>
      <c r="Y314" s="3" t="s">
        <v>219</v>
      </c>
      <c r="Z314" s="3" t="s">
        <v>86</v>
      </c>
      <c r="AA314" s="3" t="s">
        <v>87</v>
      </c>
      <c r="AB314" s="3" t="s">
        <v>78</v>
      </c>
      <c r="AC314" s="3" t="s">
        <v>66</v>
      </c>
      <c r="AD314" s="3">
        <v>0</v>
      </c>
    </row>
    <row r="315" spans="1:30" x14ac:dyDescent="0.3">
      <c r="A315" s="3">
        <v>325</v>
      </c>
      <c r="B315" s="3" t="s">
        <v>224</v>
      </c>
      <c r="C315" s="3" t="s">
        <v>216</v>
      </c>
      <c r="D315" s="3" t="s">
        <v>31</v>
      </c>
      <c r="E315" s="3" t="s">
        <v>32</v>
      </c>
      <c r="F315" s="12">
        <v>45107</v>
      </c>
      <c r="G315" s="3">
        <v>2023</v>
      </c>
      <c r="H315" s="3" t="s">
        <v>33</v>
      </c>
      <c r="I315" s="3" t="s">
        <v>47</v>
      </c>
      <c r="J315" s="3">
        <v>1</v>
      </c>
      <c r="K315" s="3">
        <v>1</v>
      </c>
      <c r="L315" s="3">
        <v>1</v>
      </c>
      <c r="M315" s="3">
        <v>1</v>
      </c>
      <c r="N315" s="3">
        <v>1</v>
      </c>
      <c r="O315" s="3" t="s">
        <v>35</v>
      </c>
      <c r="P315" s="3" t="s">
        <v>35</v>
      </c>
      <c r="Q315" s="3" t="str">
        <f t="shared" si="43"/>
        <v>325-2023-06-30</v>
      </c>
      <c r="R315" s="3">
        <v>0</v>
      </c>
      <c r="S315" s="3">
        <v>0</v>
      </c>
      <c r="T315" s="3" t="s">
        <v>31</v>
      </c>
      <c r="U315" s="3" t="s">
        <v>37</v>
      </c>
      <c r="V315" s="3" t="s">
        <v>216</v>
      </c>
      <c r="W315" s="3" t="s">
        <v>73</v>
      </c>
      <c r="X315" s="3" t="s">
        <v>218</v>
      </c>
      <c r="Y315" s="3" t="s">
        <v>219</v>
      </c>
      <c r="Z315" s="3" t="s">
        <v>86</v>
      </c>
      <c r="AA315" s="3" t="s">
        <v>87</v>
      </c>
      <c r="AB315" s="3" t="s">
        <v>78</v>
      </c>
      <c r="AC315" s="3" t="s">
        <v>66</v>
      </c>
      <c r="AD315" s="3">
        <v>0</v>
      </c>
    </row>
    <row r="316" spans="1:30" x14ac:dyDescent="0.3">
      <c r="A316" s="3">
        <v>325</v>
      </c>
      <c r="B316" s="3" t="s">
        <v>224</v>
      </c>
      <c r="C316" s="3" t="s">
        <v>216</v>
      </c>
      <c r="D316" s="3" t="s">
        <v>31</v>
      </c>
      <c r="E316" s="3" t="s">
        <v>32</v>
      </c>
      <c r="F316" s="12">
        <v>45291</v>
      </c>
      <c r="G316" s="3">
        <v>2023</v>
      </c>
      <c r="H316" s="3" t="s">
        <v>44</v>
      </c>
      <c r="I316" s="3" t="s">
        <v>49</v>
      </c>
      <c r="J316" s="3">
        <v>2</v>
      </c>
      <c r="K316" s="3">
        <v>0</v>
      </c>
      <c r="L316" s="3">
        <v>0</v>
      </c>
      <c r="M316" s="3"/>
      <c r="N316" s="3"/>
      <c r="O316" s="3"/>
      <c r="P316" s="3"/>
      <c r="Q316" s="3" t="str">
        <f t="shared" si="43"/>
        <v>325-2023-12-31</v>
      </c>
      <c r="R316" s="3">
        <v>0</v>
      </c>
      <c r="S316" s="3">
        <v>0</v>
      </c>
      <c r="T316" s="3" t="s">
        <v>31</v>
      </c>
      <c r="U316" s="3" t="s">
        <v>37</v>
      </c>
      <c r="V316" s="3" t="s">
        <v>216</v>
      </c>
      <c r="W316" s="3" t="s">
        <v>73</v>
      </c>
      <c r="X316" s="3" t="s">
        <v>218</v>
      </c>
      <c r="Y316" s="3" t="s">
        <v>219</v>
      </c>
      <c r="Z316" s="3" t="s">
        <v>86</v>
      </c>
      <c r="AA316" s="3" t="s">
        <v>87</v>
      </c>
      <c r="AB316" s="3" t="s">
        <v>78</v>
      </c>
      <c r="AC316" s="3" t="s">
        <v>66</v>
      </c>
      <c r="AD316" s="3">
        <v>0</v>
      </c>
    </row>
    <row r="317" spans="1:30" x14ac:dyDescent="0.3">
      <c r="A317" s="3">
        <v>325</v>
      </c>
      <c r="B317" s="3" t="s">
        <v>224</v>
      </c>
      <c r="C317" s="3" t="s">
        <v>216</v>
      </c>
      <c r="D317" s="3" t="s">
        <v>31</v>
      </c>
      <c r="E317" s="3" t="s">
        <v>32</v>
      </c>
      <c r="F317" s="12">
        <v>45291</v>
      </c>
      <c r="G317" s="3">
        <v>2023</v>
      </c>
      <c r="H317" s="3" t="s">
        <v>44</v>
      </c>
      <c r="I317" s="3" t="s">
        <v>49</v>
      </c>
      <c r="J317" s="3"/>
      <c r="K317" s="3">
        <v>1</v>
      </c>
      <c r="L317" s="3">
        <v>1</v>
      </c>
      <c r="M317" s="3">
        <v>1</v>
      </c>
      <c r="N317" s="3">
        <v>1</v>
      </c>
      <c r="O317" s="3" t="s">
        <v>35</v>
      </c>
      <c r="P317" s="3" t="s">
        <v>35</v>
      </c>
      <c r="Q317" s="3" t="str">
        <f t="shared" si="43"/>
        <v>325-2023-12-31</v>
      </c>
      <c r="R317" s="3">
        <v>0</v>
      </c>
      <c r="S317" s="3">
        <v>0</v>
      </c>
      <c r="T317" s="3" t="s">
        <v>443</v>
      </c>
      <c r="U317" s="3" t="s">
        <v>37</v>
      </c>
      <c r="V317" s="3" t="s">
        <v>216</v>
      </c>
      <c r="W317" s="3" t="s">
        <v>73</v>
      </c>
      <c r="X317" s="3" t="s">
        <v>218</v>
      </c>
      <c r="Y317" s="3" t="s">
        <v>219</v>
      </c>
      <c r="Z317" s="3" t="s">
        <v>86</v>
      </c>
      <c r="AA317" s="3" t="s">
        <v>87</v>
      </c>
      <c r="AB317" s="3" t="s">
        <v>78</v>
      </c>
      <c r="AC317" s="3" t="s">
        <v>66</v>
      </c>
      <c r="AD317" s="3">
        <v>0</v>
      </c>
    </row>
    <row r="318" spans="1:30" x14ac:dyDescent="0.3">
      <c r="A318" s="3">
        <v>325</v>
      </c>
      <c r="B318" s="3" t="s">
        <v>224</v>
      </c>
      <c r="C318" s="3" t="s">
        <v>216</v>
      </c>
      <c r="D318" s="3" t="s">
        <v>31</v>
      </c>
      <c r="E318" s="3" t="s">
        <v>32</v>
      </c>
      <c r="F318" s="12">
        <v>45473</v>
      </c>
      <c r="G318" s="3">
        <v>2024</v>
      </c>
      <c r="H318" s="3" t="s">
        <v>33</v>
      </c>
      <c r="I318" s="3" t="s">
        <v>51</v>
      </c>
      <c r="J318" s="3">
        <v>1</v>
      </c>
      <c r="K318" s="3">
        <v>5</v>
      </c>
      <c r="L318" s="3">
        <v>5</v>
      </c>
      <c r="M318" s="3">
        <v>1</v>
      </c>
      <c r="N318" s="3">
        <v>1</v>
      </c>
      <c r="O318" s="3" t="s">
        <v>35</v>
      </c>
      <c r="P318" s="3" t="s">
        <v>35</v>
      </c>
      <c r="Q318" s="3" t="str">
        <f t="shared" si="43"/>
        <v>325-2024-06-30</v>
      </c>
      <c r="R318" s="3">
        <v>0</v>
      </c>
      <c r="S318" s="3">
        <v>0</v>
      </c>
      <c r="T318" s="3" t="s">
        <v>31</v>
      </c>
      <c r="U318" s="3" t="s">
        <v>37</v>
      </c>
      <c r="V318" s="3" t="s">
        <v>216</v>
      </c>
      <c r="W318" s="3" t="s">
        <v>73</v>
      </c>
      <c r="X318" s="3" t="s">
        <v>218</v>
      </c>
      <c r="Y318" s="3" t="s">
        <v>219</v>
      </c>
      <c r="Z318" s="3" t="s">
        <v>86</v>
      </c>
      <c r="AA318" s="3" t="s">
        <v>87</v>
      </c>
      <c r="AB318" s="3" t="s">
        <v>78</v>
      </c>
      <c r="AC318" s="3" t="s">
        <v>66</v>
      </c>
      <c r="AD318" s="3">
        <v>0</v>
      </c>
    </row>
    <row r="319" spans="1:30" x14ac:dyDescent="0.3">
      <c r="A319" s="3">
        <v>325</v>
      </c>
      <c r="B319" s="3" t="s">
        <v>224</v>
      </c>
      <c r="C319" s="3" t="s">
        <v>216</v>
      </c>
      <c r="D319" s="3" t="s">
        <v>31</v>
      </c>
      <c r="E319" s="3" t="s">
        <v>32</v>
      </c>
      <c r="F319" s="12">
        <v>45657</v>
      </c>
      <c r="G319" s="3">
        <v>2024</v>
      </c>
      <c r="H319" s="3" t="s">
        <v>44</v>
      </c>
      <c r="I319" s="3" t="s">
        <v>53</v>
      </c>
      <c r="J319" s="3">
        <v>2</v>
      </c>
      <c r="K319" s="3">
        <v>3</v>
      </c>
      <c r="L319" s="3">
        <v>3</v>
      </c>
      <c r="M319" s="3">
        <v>1</v>
      </c>
      <c r="N319" s="3">
        <v>1</v>
      </c>
      <c r="O319" s="3" t="s">
        <v>35</v>
      </c>
      <c r="P319" s="3" t="s">
        <v>35</v>
      </c>
      <c r="Q319" s="3" t="str">
        <f t="shared" si="43"/>
        <v>325-2024-12-31</v>
      </c>
      <c r="R319" s="3">
        <v>0</v>
      </c>
      <c r="S319" s="3">
        <v>0</v>
      </c>
      <c r="T319" s="3" t="s">
        <v>31</v>
      </c>
      <c r="U319" s="3" t="s">
        <v>37</v>
      </c>
      <c r="V319" s="3" t="s">
        <v>216</v>
      </c>
      <c r="W319" s="3" t="s">
        <v>73</v>
      </c>
      <c r="X319" s="3" t="s">
        <v>218</v>
      </c>
      <c r="Y319" s="3" t="s">
        <v>219</v>
      </c>
      <c r="Z319" s="3" t="s">
        <v>86</v>
      </c>
      <c r="AA319" s="3" t="s">
        <v>87</v>
      </c>
      <c r="AB319" s="3" t="s">
        <v>78</v>
      </c>
      <c r="AC319" s="3" t="s">
        <v>66</v>
      </c>
      <c r="AD319" s="3">
        <v>0</v>
      </c>
    </row>
    <row r="320" spans="1:30" x14ac:dyDescent="0.3">
      <c r="A320" s="3">
        <v>325</v>
      </c>
      <c r="B320" s="3" t="s">
        <v>224</v>
      </c>
      <c r="C320" s="3" t="s">
        <v>216</v>
      </c>
      <c r="D320" s="3" t="s">
        <v>31</v>
      </c>
      <c r="E320" s="3" t="s">
        <v>32</v>
      </c>
      <c r="F320" s="12">
        <v>45657</v>
      </c>
      <c r="G320" s="3">
        <v>2024</v>
      </c>
      <c r="H320" s="3" t="s">
        <v>44</v>
      </c>
      <c r="I320" s="3" t="s">
        <v>53</v>
      </c>
      <c r="J320" s="3"/>
      <c r="K320" s="3">
        <v>8</v>
      </c>
      <c r="L320" s="3">
        <v>8</v>
      </c>
      <c r="M320" s="3">
        <v>1</v>
      </c>
      <c r="N320" s="3">
        <v>1</v>
      </c>
      <c r="O320" s="3" t="s">
        <v>35</v>
      </c>
      <c r="P320" s="3" t="s">
        <v>35</v>
      </c>
      <c r="Q320" s="3" t="str">
        <f t="shared" si="43"/>
        <v>325-2024-12-31</v>
      </c>
      <c r="R320" s="3">
        <v>0</v>
      </c>
      <c r="S320" s="3">
        <v>0</v>
      </c>
      <c r="T320" s="3" t="s">
        <v>443</v>
      </c>
      <c r="U320" s="3" t="s">
        <v>37</v>
      </c>
      <c r="V320" s="3" t="s">
        <v>216</v>
      </c>
      <c r="W320" s="3" t="s">
        <v>73</v>
      </c>
      <c r="X320" s="3" t="s">
        <v>218</v>
      </c>
      <c r="Y320" s="3" t="s">
        <v>219</v>
      </c>
      <c r="Z320" s="3" t="s">
        <v>86</v>
      </c>
      <c r="AA320" s="3" t="s">
        <v>87</v>
      </c>
      <c r="AB320" s="3" t="s">
        <v>78</v>
      </c>
      <c r="AC320" s="3" t="s">
        <v>66</v>
      </c>
      <c r="AD320" s="3">
        <v>0</v>
      </c>
    </row>
    <row r="321" spans="1:30" x14ac:dyDescent="0.3">
      <c r="A321" s="3">
        <v>325</v>
      </c>
      <c r="B321" s="3" t="s">
        <v>224</v>
      </c>
      <c r="C321" s="3" t="s">
        <v>216</v>
      </c>
      <c r="D321" s="3" t="s">
        <v>31</v>
      </c>
      <c r="E321" s="3" t="s">
        <v>32</v>
      </c>
      <c r="F321" s="12">
        <v>45838</v>
      </c>
      <c r="G321" s="3">
        <v>2025</v>
      </c>
      <c r="H321" s="3" t="s">
        <v>33</v>
      </c>
      <c r="I321" s="3" t="s">
        <v>404</v>
      </c>
      <c r="J321" s="3">
        <v>1</v>
      </c>
      <c r="K321" s="3">
        <v>8</v>
      </c>
      <c r="L321" s="3">
        <v>8</v>
      </c>
      <c r="M321" s="3">
        <v>1</v>
      </c>
      <c r="N321" s="3">
        <v>1</v>
      </c>
      <c r="O321" s="3" t="s">
        <v>35</v>
      </c>
      <c r="P321" s="3" t="s">
        <v>35</v>
      </c>
      <c r="Q321" s="3" t="str">
        <f t="shared" si="43"/>
        <v>325-2025-06-30</v>
      </c>
      <c r="R321" s="3">
        <v>0</v>
      </c>
      <c r="S321" s="3">
        <v>0</v>
      </c>
      <c r="T321" s="3" t="s">
        <v>31</v>
      </c>
      <c r="U321" s="3" t="s">
        <v>37</v>
      </c>
      <c r="V321" s="3" t="s">
        <v>216</v>
      </c>
      <c r="W321" s="3" t="s">
        <v>73</v>
      </c>
      <c r="X321" s="3" t="s">
        <v>218</v>
      </c>
      <c r="Y321" s="3" t="s">
        <v>219</v>
      </c>
      <c r="Z321" s="3" t="s">
        <v>86</v>
      </c>
      <c r="AA321" s="3" t="s">
        <v>87</v>
      </c>
      <c r="AB321" s="3" t="s">
        <v>78</v>
      </c>
      <c r="AC321" s="3" t="s">
        <v>66</v>
      </c>
      <c r="AD321" s="3">
        <v>0</v>
      </c>
    </row>
    <row r="322" spans="1:30" x14ac:dyDescent="0.3">
      <c r="A322" s="3">
        <v>325</v>
      </c>
      <c r="B322" s="3" t="s">
        <v>224</v>
      </c>
      <c r="C322" s="3" t="s">
        <v>216</v>
      </c>
      <c r="D322" s="3" t="s">
        <v>31</v>
      </c>
      <c r="E322" s="3" t="s">
        <v>32</v>
      </c>
      <c r="F322" s="12">
        <v>45838</v>
      </c>
      <c r="G322" s="3">
        <v>2025</v>
      </c>
      <c r="H322" s="3" t="s">
        <v>33</v>
      </c>
      <c r="I322" s="3" t="s">
        <v>404</v>
      </c>
      <c r="J322" s="3"/>
      <c r="K322" s="3">
        <v>8</v>
      </c>
      <c r="L322" s="3">
        <v>8</v>
      </c>
      <c r="M322" s="3">
        <v>1</v>
      </c>
      <c r="N322" s="3">
        <v>1</v>
      </c>
      <c r="O322" s="3" t="s">
        <v>35</v>
      </c>
      <c r="P322" s="3" t="s">
        <v>35</v>
      </c>
      <c r="Q322" s="3" t="str">
        <f t="shared" si="43"/>
        <v>325-2025-06-30</v>
      </c>
      <c r="R322" s="3">
        <v>0</v>
      </c>
      <c r="S322" s="3">
        <v>0</v>
      </c>
      <c r="T322" s="3" t="s">
        <v>443</v>
      </c>
      <c r="U322" s="3" t="s">
        <v>37</v>
      </c>
      <c r="V322" s="3" t="s">
        <v>216</v>
      </c>
      <c r="W322" s="3" t="s">
        <v>73</v>
      </c>
      <c r="X322" s="3" t="s">
        <v>218</v>
      </c>
      <c r="Y322" s="3" t="s">
        <v>219</v>
      </c>
      <c r="Z322" s="3" t="s">
        <v>86</v>
      </c>
      <c r="AA322" s="3" t="s">
        <v>87</v>
      </c>
      <c r="AB322" s="3" t="s">
        <v>78</v>
      </c>
      <c r="AC322" s="3" t="s">
        <v>66</v>
      </c>
      <c r="AD322" s="3">
        <v>0</v>
      </c>
    </row>
    <row r="323" spans="1:30" x14ac:dyDescent="0.3">
      <c r="A323" s="3">
        <v>331</v>
      </c>
      <c r="B323" s="3" t="s">
        <v>231</v>
      </c>
      <c r="C323" s="3" t="s">
        <v>232</v>
      </c>
      <c r="D323" s="3" t="s">
        <v>66</v>
      </c>
      <c r="E323" s="3" t="s">
        <v>32</v>
      </c>
      <c r="F323" s="12">
        <v>45291</v>
      </c>
      <c r="G323" s="3">
        <v>2023</v>
      </c>
      <c r="H323" s="3" t="s">
        <v>44</v>
      </c>
      <c r="I323" s="3" t="s">
        <v>49</v>
      </c>
      <c r="J323" s="3">
        <v>2</v>
      </c>
      <c r="K323" s="3">
        <v>0</v>
      </c>
      <c r="L323" s="3">
        <v>81</v>
      </c>
      <c r="M323" s="3"/>
      <c r="N323" s="3"/>
      <c r="O323" s="3" t="s">
        <v>233</v>
      </c>
      <c r="P323" s="3" t="s">
        <v>58</v>
      </c>
      <c r="Q323" s="3" t="str">
        <f t="shared" ref="Q323:Q386" si="50">A323&amp;"-"&amp;YEAR(F323)&amp;"-"&amp;IF(LEN(MONTH(F323))=1,"0"&amp;MONTH(F323),MONTH(F323))&amp;"-"&amp;IF(LEN(DAY(F323))=1,"0"&amp;DAY(F323),DAY(F323))</f>
        <v>331-2023-12-31</v>
      </c>
      <c r="R323" s="3">
        <v>0</v>
      </c>
      <c r="S323" s="3">
        <v>0</v>
      </c>
      <c r="T323" s="3" t="s">
        <v>31</v>
      </c>
      <c r="U323" s="3" t="s">
        <v>37</v>
      </c>
      <c r="V323" s="3" t="s">
        <v>232</v>
      </c>
      <c r="W323" s="3" t="s">
        <v>145</v>
      </c>
      <c r="X323" s="3" t="s">
        <v>179</v>
      </c>
      <c r="Y323" s="3" t="s">
        <v>235</v>
      </c>
      <c r="Z323" s="3" t="s">
        <v>236</v>
      </c>
      <c r="AA323" s="3" t="s">
        <v>237</v>
      </c>
      <c r="AB323" s="3" t="s">
        <v>43</v>
      </c>
      <c r="AC323" s="3" t="s">
        <v>66</v>
      </c>
      <c r="AD323" s="3">
        <v>0</v>
      </c>
    </row>
    <row r="324" spans="1:30" x14ac:dyDescent="0.3">
      <c r="A324" s="3">
        <v>331</v>
      </c>
      <c r="B324" s="3" t="s">
        <v>231</v>
      </c>
      <c r="C324" s="3" t="s">
        <v>232</v>
      </c>
      <c r="D324" s="3" t="s">
        <v>66</v>
      </c>
      <c r="E324" s="3" t="s">
        <v>32</v>
      </c>
      <c r="F324" s="12">
        <v>45291</v>
      </c>
      <c r="G324" s="3">
        <v>2023</v>
      </c>
      <c r="H324" s="3" t="s">
        <v>44</v>
      </c>
      <c r="I324" s="3" t="s">
        <v>49</v>
      </c>
      <c r="J324" s="3"/>
      <c r="K324" s="3"/>
      <c r="L324" s="3">
        <v>81</v>
      </c>
      <c r="M324" s="3"/>
      <c r="N324" s="3"/>
      <c r="O324" s="3" t="s">
        <v>429</v>
      </c>
      <c r="P324" s="3" t="s">
        <v>58</v>
      </c>
      <c r="Q324" s="3" t="str">
        <f t="shared" si="50"/>
        <v>331-2023-12-31</v>
      </c>
      <c r="R324" s="3">
        <v>0</v>
      </c>
      <c r="S324" s="3">
        <v>0</v>
      </c>
      <c r="T324" s="3" t="s">
        <v>443</v>
      </c>
      <c r="U324" s="3" t="s">
        <v>37</v>
      </c>
      <c r="V324" s="3" t="s">
        <v>232</v>
      </c>
      <c r="W324" s="3" t="s">
        <v>145</v>
      </c>
      <c r="X324" s="3" t="s">
        <v>179</v>
      </c>
      <c r="Y324" s="3" t="s">
        <v>235</v>
      </c>
      <c r="Z324" s="3" t="s">
        <v>236</v>
      </c>
      <c r="AA324" s="3" t="s">
        <v>237</v>
      </c>
      <c r="AB324" s="3" t="s">
        <v>43</v>
      </c>
      <c r="AC324" s="3" t="s">
        <v>66</v>
      </c>
      <c r="AD324" s="3">
        <v>0</v>
      </c>
    </row>
    <row r="325" spans="1:30" x14ac:dyDescent="0.3">
      <c r="A325" s="3">
        <v>331</v>
      </c>
      <c r="B325" s="3" t="s">
        <v>231</v>
      </c>
      <c r="C325" s="3" t="s">
        <v>232</v>
      </c>
      <c r="D325" s="3" t="s">
        <v>66</v>
      </c>
      <c r="E325" s="3" t="s">
        <v>32</v>
      </c>
      <c r="F325" s="12">
        <v>45657</v>
      </c>
      <c r="G325" s="3">
        <v>2024</v>
      </c>
      <c r="H325" s="3" t="s">
        <v>44</v>
      </c>
      <c r="I325" s="3" t="s">
        <v>53</v>
      </c>
      <c r="J325" s="3">
        <v>2</v>
      </c>
      <c r="K325" s="3">
        <v>0</v>
      </c>
      <c r="L325" s="3">
        <v>82</v>
      </c>
      <c r="M325" s="3"/>
      <c r="N325" s="3"/>
      <c r="O325" s="3" t="s">
        <v>233</v>
      </c>
      <c r="P325" s="3" t="s">
        <v>58</v>
      </c>
      <c r="Q325" s="3" t="str">
        <f t="shared" si="50"/>
        <v>331-2024-12-31</v>
      </c>
      <c r="R325" s="3">
        <v>0</v>
      </c>
      <c r="S325" s="3">
        <v>0</v>
      </c>
      <c r="T325" s="3" t="s">
        <v>31</v>
      </c>
      <c r="U325" s="3" t="s">
        <v>37</v>
      </c>
      <c r="V325" s="3" t="s">
        <v>232</v>
      </c>
      <c r="W325" s="3" t="s">
        <v>145</v>
      </c>
      <c r="X325" s="3" t="s">
        <v>179</v>
      </c>
      <c r="Y325" s="3" t="s">
        <v>235</v>
      </c>
      <c r="Z325" s="3" t="s">
        <v>236</v>
      </c>
      <c r="AA325" s="3" t="s">
        <v>237</v>
      </c>
      <c r="AB325" s="3" t="s">
        <v>43</v>
      </c>
      <c r="AC325" s="3" t="s">
        <v>66</v>
      </c>
      <c r="AD325" s="3">
        <v>0</v>
      </c>
    </row>
    <row r="326" spans="1:30" x14ac:dyDescent="0.3">
      <c r="A326" s="3">
        <v>331</v>
      </c>
      <c r="B326" s="3" t="s">
        <v>231</v>
      </c>
      <c r="C326" s="3" t="s">
        <v>232</v>
      </c>
      <c r="D326" s="3" t="s">
        <v>66</v>
      </c>
      <c r="E326" s="3" t="s">
        <v>32</v>
      </c>
      <c r="F326" s="12">
        <v>45657</v>
      </c>
      <c r="G326" s="3">
        <v>2024</v>
      </c>
      <c r="H326" s="3" t="s">
        <v>44</v>
      </c>
      <c r="I326" s="3" t="s">
        <v>53</v>
      </c>
      <c r="J326" s="3"/>
      <c r="K326" s="3"/>
      <c r="L326" s="3">
        <v>82</v>
      </c>
      <c r="M326" s="3"/>
      <c r="N326" s="3"/>
      <c r="O326" s="3" t="s">
        <v>429</v>
      </c>
      <c r="P326" s="3" t="s">
        <v>58</v>
      </c>
      <c r="Q326" s="3" t="str">
        <f t="shared" si="50"/>
        <v>331-2024-12-31</v>
      </c>
      <c r="R326" s="3">
        <v>0</v>
      </c>
      <c r="S326" s="3">
        <v>0</v>
      </c>
      <c r="T326" s="3" t="s">
        <v>443</v>
      </c>
      <c r="U326" s="3" t="s">
        <v>37</v>
      </c>
      <c r="V326" s="3" t="s">
        <v>232</v>
      </c>
      <c r="W326" s="3" t="s">
        <v>145</v>
      </c>
      <c r="X326" s="3" t="s">
        <v>179</v>
      </c>
      <c r="Y326" s="3" t="s">
        <v>235</v>
      </c>
      <c r="Z326" s="3" t="s">
        <v>236</v>
      </c>
      <c r="AA326" s="3" t="s">
        <v>237</v>
      </c>
      <c r="AB326" s="3" t="s">
        <v>43</v>
      </c>
      <c r="AC326" s="3" t="s">
        <v>66</v>
      </c>
      <c r="AD326" s="3">
        <v>0</v>
      </c>
    </row>
    <row r="327" spans="1:30" x14ac:dyDescent="0.3">
      <c r="A327" s="3">
        <v>331</v>
      </c>
      <c r="B327" s="3" t="s">
        <v>231</v>
      </c>
      <c r="C327" s="3" t="s">
        <v>232</v>
      </c>
      <c r="D327" s="3" t="s">
        <v>66</v>
      </c>
      <c r="E327" s="3" t="s">
        <v>32</v>
      </c>
      <c r="F327" s="12">
        <v>45838</v>
      </c>
      <c r="G327" s="3">
        <v>2025</v>
      </c>
      <c r="H327" s="3" t="s">
        <v>33</v>
      </c>
      <c r="I327" s="3" t="s">
        <v>404</v>
      </c>
      <c r="J327" s="3">
        <v>1</v>
      </c>
      <c r="K327" s="3"/>
      <c r="L327" s="3">
        <v>82</v>
      </c>
      <c r="M327" s="3"/>
      <c r="N327" s="3"/>
      <c r="O327" s="3" t="s">
        <v>429</v>
      </c>
      <c r="P327" s="3" t="s">
        <v>58</v>
      </c>
      <c r="Q327" s="3" t="str">
        <f t="shared" si="50"/>
        <v>331-2025-06-30</v>
      </c>
      <c r="R327" s="3">
        <v>0</v>
      </c>
      <c r="S327" s="3">
        <v>0</v>
      </c>
      <c r="T327" s="3" t="s">
        <v>31</v>
      </c>
      <c r="U327" s="3" t="s">
        <v>37</v>
      </c>
      <c r="V327" s="3" t="s">
        <v>232</v>
      </c>
      <c r="W327" s="3" t="s">
        <v>145</v>
      </c>
      <c r="X327" s="3" t="s">
        <v>179</v>
      </c>
      <c r="Y327" s="3" t="s">
        <v>235</v>
      </c>
      <c r="Z327" s="3" t="s">
        <v>236</v>
      </c>
      <c r="AA327" s="3" t="s">
        <v>237</v>
      </c>
      <c r="AB327" s="3" t="s">
        <v>43</v>
      </c>
      <c r="AC327" s="3" t="s">
        <v>66</v>
      </c>
      <c r="AD327" s="3">
        <v>0</v>
      </c>
    </row>
    <row r="328" spans="1:30" x14ac:dyDescent="0.3">
      <c r="A328" s="3">
        <v>331</v>
      </c>
      <c r="B328" s="3" t="s">
        <v>231</v>
      </c>
      <c r="C328" s="3" t="s">
        <v>232</v>
      </c>
      <c r="D328" s="3" t="s">
        <v>66</v>
      </c>
      <c r="E328" s="3" t="s">
        <v>32</v>
      </c>
      <c r="F328" s="12">
        <v>45838</v>
      </c>
      <c r="G328" s="3">
        <v>2025</v>
      </c>
      <c r="H328" s="3" t="s">
        <v>33</v>
      </c>
      <c r="I328" s="3" t="s">
        <v>404</v>
      </c>
      <c r="J328" s="3"/>
      <c r="K328" s="3"/>
      <c r="L328" s="3">
        <v>82</v>
      </c>
      <c r="M328" s="3"/>
      <c r="N328" s="3"/>
      <c r="O328" s="3" t="s">
        <v>429</v>
      </c>
      <c r="P328" s="3" t="s">
        <v>58</v>
      </c>
      <c r="Q328" s="3" t="str">
        <f t="shared" si="50"/>
        <v>331-2025-06-30</v>
      </c>
      <c r="R328" s="3">
        <v>0</v>
      </c>
      <c r="S328" s="3">
        <v>0</v>
      </c>
      <c r="T328" s="3" t="s">
        <v>443</v>
      </c>
      <c r="U328" s="3" t="s">
        <v>37</v>
      </c>
      <c r="V328" s="3" t="s">
        <v>232</v>
      </c>
      <c r="W328" s="3" t="s">
        <v>145</v>
      </c>
      <c r="X328" s="3" t="s">
        <v>179</v>
      </c>
      <c r="Y328" s="3" t="s">
        <v>235</v>
      </c>
      <c r="Z328" s="3" t="s">
        <v>236</v>
      </c>
      <c r="AA328" s="3" t="s">
        <v>237</v>
      </c>
      <c r="AB328" s="3" t="s">
        <v>43</v>
      </c>
      <c r="AC328" s="3" t="s">
        <v>66</v>
      </c>
      <c r="AD328" s="3">
        <v>0</v>
      </c>
    </row>
    <row r="329" spans="1:30" x14ac:dyDescent="0.3">
      <c r="A329" s="3">
        <v>332</v>
      </c>
      <c r="B329" s="3" t="s">
        <v>239</v>
      </c>
      <c r="C329" s="3" t="s">
        <v>130</v>
      </c>
      <c r="D329" s="3" t="s">
        <v>31</v>
      </c>
      <c r="E329" s="3" t="s">
        <v>171</v>
      </c>
      <c r="F329" s="12">
        <v>44742</v>
      </c>
      <c r="G329" s="3">
        <v>2022</v>
      </c>
      <c r="H329" s="3" t="s">
        <v>33</v>
      </c>
      <c r="I329" s="3" t="s">
        <v>34</v>
      </c>
      <c r="J329" s="3">
        <v>1</v>
      </c>
      <c r="K329" s="3">
        <v>1.6</v>
      </c>
      <c r="L329" s="3">
        <v>1.8</v>
      </c>
      <c r="M329" s="3">
        <v>0.88888888888888895</v>
      </c>
      <c r="N329" s="3">
        <v>0.88888888888888895</v>
      </c>
      <c r="O329" s="3"/>
      <c r="P329" s="3"/>
      <c r="Q329" s="3" t="str">
        <f t="shared" si="50"/>
        <v>332-2022-06-30</v>
      </c>
      <c r="R329" s="3">
        <v>1</v>
      </c>
      <c r="S329" s="3">
        <v>1</v>
      </c>
      <c r="T329" s="3" t="s">
        <v>31</v>
      </c>
      <c r="U329" s="3" t="s">
        <v>37</v>
      </c>
      <c r="V329" s="3" t="s">
        <v>130</v>
      </c>
      <c r="W329" s="3" t="s">
        <v>60</v>
      </c>
      <c r="X329" s="3" t="s">
        <v>100</v>
      </c>
      <c r="Y329" s="3" t="s">
        <v>586</v>
      </c>
      <c r="Z329" s="3" t="s">
        <v>134</v>
      </c>
      <c r="AA329" s="3" t="s">
        <v>135</v>
      </c>
      <c r="AB329" s="3" t="s">
        <v>65</v>
      </c>
      <c r="AC329" s="3" t="s">
        <v>66</v>
      </c>
      <c r="AD329" s="3">
        <v>0</v>
      </c>
    </row>
    <row r="330" spans="1:30" x14ac:dyDescent="0.3">
      <c r="A330" s="3">
        <v>332</v>
      </c>
      <c r="B330" s="3" t="s">
        <v>239</v>
      </c>
      <c r="C330" s="3" t="s">
        <v>130</v>
      </c>
      <c r="D330" s="3" t="s">
        <v>31</v>
      </c>
      <c r="E330" s="3" t="s">
        <v>171</v>
      </c>
      <c r="F330" s="12">
        <v>44926</v>
      </c>
      <c r="G330" s="3">
        <v>2022</v>
      </c>
      <c r="H330" s="3" t="s">
        <v>44</v>
      </c>
      <c r="I330" s="3" t="s">
        <v>45</v>
      </c>
      <c r="J330" s="3">
        <v>2</v>
      </c>
      <c r="K330" s="3">
        <v>1.6</v>
      </c>
      <c r="L330" s="3">
        <v>1.75</v>
      </c>
      <c r="M330" s="3">
        <v>0.91428571428571437</v>
      </c>
      <c r="N330" s="3">
        <v>0.91428571428571437</v>
      </c>
      <c r="O330" s="3"/>
      <c r="P330" s="3"/>
      <c r="Q330" s="3" t="str">
        <f t="shared" si="50"/>
        <v>332-2022-12-31</v>
      </c>
      <c r="R330" s="3">
        <v>1</v>
      </c>
      <c r="S330" s="3">
        <v>1</v>
      </c>
      <c r="T330" s="3" t="s">
        <v>31</v>
      </c>
      <c r="U330" s="3" t="s">
        <v>37</v>
      </c>
      <c r="V330" s="3" t="s">
        <v>130</v>
      </c>
      <c r="W330" s="3" t="s">
        <v>60</v>
      </c>
      <c r="X330" s="3" t="s">
        <v>100</v>
      </c>
      <c r="Y330" s="3" t="s">
        <v>586</v>
      </c>
      <c r="Z330" s="3" t="s">
        <v>134</v>
      </c>
      <c r="AA330" s="3" t="s">
        <v>135</v>
      </c>
      <c r="AB330" s="3" t="s">
        <v>65</v>
      </c>
      <c r="AC330" s="3" t="s">
        <v>66</v>
      </c>
      <c r="AD330" s="3">
        <v>0</v>
      </c>
    </row>
    <row r="331" spans="1:30" x14ac:dyDescent="0.3">
      <c r="A331" s="3">
        <v>332</v>
      </c>
      <c r="B331" s="3" t="s">
        <v>239</v>
      </c>
      <c r="C331" s="3" t="s">
        <v>130</v>
      </c>
      <c r="D331" s="3" t="s">
        <v>31</v>
      </c>
      <c r="E331" s="3" t="s">
        <v>171</v>
      </c>
      <c r="F331" s="12">
        <v>44926</v>
      </c>
      <c r="G331" s="3">
        <v>2022</v>
      </c>
      <c r="H331" s="3" t="s">
        <v>44</v>
      </c>
      <c r="I331" s="3" t="s">
        <v>45</v>
      </c>
      <c r="J331" s="3"/>
      <c r="K331" s="3">
        <v>1.6</v>
      </c>
      <c r="L331" s="3">
        <v>1.75</v>
      </c>
      <c r="M331" s="3">
        <v>0.91428571428571437</v>
      </c>
      <c r="N331" s="3">
        <v>0.91428571428571437</v>
      </c>
      <c r="O331" s="3" t="s">
        <v>245</v>
      </c>
      <c r="P331" s="3" t="s">
        <v>245</v>
      </c>
      <c r="Q331" s="3" t="str">
        <f t="shared" si="50"/>
        <v>332-2022-12-31</v>
      </c>
      <c r="R331" s="3">
        <v>1</v>
      </c>
      <c r="S331" s="3">
        <v>1</v>
      </c>
      <c r="T331" s="3" t="s">
        <v>443</v>
      </c>
      <c r="U331" s="3" t="s">
        <v>37</v>
      </c>
      <c r="V331" s="3" t="s">
        <v>130</v>
      </c>
      <c r="W331" s="3" t="s">
        <v>60</v>
      </c>
      <c r="X331" s="3" t="s">
        <v>100</v>
      </c>
      <c r="Y331" s="3" t="s">
        <v>586</v>
      </c>
      <c r="Z331" s="3" t="s">
        <v>134</v>
      </c>
      <c r="AA331" s="3" t="s">
        <v>135</v>
      </c>
      <c r="AB331" s="3" t="s">
        <v>65</v>
      </c>
      <c r="AC331" s="3" t="s">
        <v>66</v>
      </c>
      <c r="AD331" s="3">
        <v>0</v>
      </c>
    </row>
    <row r="332" spans="1:30" x14ac:dyDescent="0.3">
      <c r="A332" s="3">
        <v>332</v>
      </c>
      <c r="B332" s="3" t="s">
        <v>239</v>
      </c>
      <c r="C332" s="3" t="s">
        <v>130</v>
      </c>
      <c r="D332" s="3" t="s">
        <v>31</v>
      </c>
      <c r="E332" s="3" t="s">
        <v>171</v>
      </c>
      <c r="F332" s="12">
        <v>45107</v>
      </c>
      <c r="G332" s="3">
        <v>2023</v>
      </c>
      <c r="H332" s="3" t="s">
        <v>33</v>
      </c>
      <c r="I332" s="3" t="s">
        <v>47</v>
      </c>
      <c r="J332" s="3">
        <v>1</v>
      </c>
      <c r="K332" s="3">
        <v>1.8</v>
      </c>
      <c r="L332" s="3">
        <v>1.57</v>
      </c>
      <c r="M332" s="3">
        <v>1.1464968152866239</v>
      </c>
      <c r="N332" s="3">
        <v>1.1464968152866239</v>
      </c>
      <c r="O332" s="3"/>
      <c r="P332" s="3"/>
      <c r="Q332" s="3" t="str">
        <f t="shared" si="50"/>
        <v>332-2023-06-30</v>
      </c>
      <c r="R332" s="3">
        <v>1</v>
      </c>
      <c r="S332" s="3">
        <v>1</v>
      </c>
      <c r="T332" s="3" t="s">
        <v>31</v>
      </c>
      <c r="U332" s="3" t="s">
        <v>37</v>
      </c>
      <c r="V332" s="3" t="s">
        <v>130</v>
      </c>
      <c r="W332" s="3" t="s">
        <v>60</v>
      </c>
      <c r="X332" s="3" t="s">
        <v>100</v>
      </c>
      <c r="Y332" s="3" t="s">
        <v>586</v>
      </c>
      <c r="Z332" s="3" t="s">
        <v>134</v>
      </c>
      <c r="AA332" s="3" t="s">
        <v>135</v>
      </c>
      <c r="AB332" s="3" t="s">
        <v>65</v>
      </c>
      <c r="AC332" s="3" t="s">
        <v>66</v>
      </c>
      <c r="AD332" s="3">
        <v>0</v>
      </c>
    </row>
    <row r="333" spans="1:30" x14ac:dyDescent="0.3">
      <c r="A333" s="3">
        <v>332</v>
      </c>
      <c r="B333" s="3" t="s">
        <v>239</v>
      </c>
      <c r="C333" s="3" t="s">
        <v>130</v>
      </c>
      <c r="D333" s="3" t="s">
        <v>31</v>
      </c>
      <c r="E333" s="3" t="s">
        <v>171</v>
      </c>
      <c r="F333" s="12">
        <v>45291</v>
      </c>
      <c r="G333" s="3">
        <v>2023</v>
      </c>
      <c r="H333" s="3" t="s">
        <v>44</v>
      </c>
      <c r="I333" s="3" t="s">
        <v>49</v>
      </c>
      <c r="J333" s="3">
        <v>2</v>
      </c>
      <c r="K333" s="3">
        <v>1.8</v>
      </c>
      <c r="L333" s="3">
        <v>1.3</v>
      </c>
      <c r="M333" s="3">
        <v>1.3</v>
      </c>
      <c r="N333" s="3">
        <v>1.384615384615385</v>
      </c>
      <c r="O333" s="3"/>
      <c r="P333" s="3"/>
      <c r="Q333" s="3" t="str">
        <f t="shared" si="50"/>
        <v>332-2023-12-31</v>
      </c>
      <c r="R333" s="3">
        <v>1</v>
      </c>
      <c r="S333" s="3">
        <v>1</v>
      </c>
      <c r="T333" s="3" t="s">
        <v>31</v>
      </c>
      <c r="U333" s="3" t="s">
        <v>37</v>
      </c>
      <c r="V333" s="3" t="s">
        <v>130</v>
      </c>
      <c r="W333" s="3" t="s">
        <v>60</v>
      </c>
      <c r="X333" s="3" t="s">
        <v>100</v>
      </c>
      <c r="Y333" s="3" t="s">
        <v>586</v>
      </c>
      <c r="Z333" s="3" t="s">
        <v>134</v>
      </c>
      <c r="AA333" s="3" t="s">
        <v>135</v>
      </c>
      <c r="AB333" s="3" t="s">
        <v>65</v>
      </c>
      <c r="AC333" s="3" t="s">
        <v>66</v>
      </c>
      <c r="AD333" s="3">
        <v>0</v>
      </c>
    </row>
    <row r="334" spans="1:30" x14ac:dyDescent="0.3">
      <c r="A334" s="3">
        <v>332</v>
      </c>
      <c r="B334" s="3" t="s">
        <v>239</v>
      </c>
      <c r="C334" s="3" t="s">
        <v>130</v>
      </c>
      <c r="D334" s="3" t="s">
        <v>31</v>
      </c>
      <c r="E334" s="3" t="s">
        <v>171</v>
      </c>
      <c r="F334" s="12">
        <v>45291</v>
      </c>
      <c r="G334" s="3">
        <v>2023</v>
      </c>
      <c r="H334" s="3" t="s">
        <v>44</v>
      </c>
      <c r="I334" s="3" t="s">
        <v>49</v>
      </c>
      <c r="J334" s="3"/>
      <c r="K334" s="3">
        <v>1.8</v>
      </c>
      <c r="L334" s="3">
        <v>1.4</v>
      </c>
      <c r="M334" s="3">
        <v>1.285714285714286</v>
      </c>
      <c r="N334" s="3">
        <v>1.285714285714286</v>
      </c>
      <c r="O334" s="3" t="s">
        <v>245</v>
      </c>
      <c r="P334" s="3" t="s">
        <v>245</v>
      </c>
      <c r="Q334" s="3" t="str">
        <f t="shared" si="50"/>
        <v>332-2023-12-31</v>
      </c>
      <c r="R334" s="3">
        <v>1</v>
      </c>
      <c r="S334" s="3">
        <v>1</v>
      </c>
      <c r="T334" s="3" t="s">
        <v>443</v>
      </c>
      <c r="U334" s="3" t="s">
        <v>37</v>
      </c>
      <c r="V334" s="3" t="s">
        <v>130</v>
      </c>
      <c r="W334" s="3" t="s">
        <v>60</v>
      </c>
      <c r="X334" s="3" t="s">
        <v>100</v>
      </c>
      <c r="Y334" s="3" t="s">
        <v>586</v>
      </c>
      <c r="Z334" s="3" t="s">
        <v>134</v>
      </c>
      <c r="AA334" s="3" t="s">
        <v>135</v>
      </c>
      <c r="AB334" s="3" t="s">
        <v>65</v>
      </c>
      <c r="AC334" s="3" t="s">
        <v>66</v>
      </c>
      <c r="AD334" s="3">
        <v>0</v>
      </c>
    </row>
    <row r="335" spans="1:30" x14ac:dyDescent="0.3">
      <c r="A335" s="3">
        <v>332</v>
      </c>
      <c r="B335" s="3" t="s">
        <v>239</v>
      </c>
      <c r="C335" s="3" t="s">
        <v>130</v>
      </c>
      <c r="D335" s="3" t="s">
        <v>31</v>
      </c>
      <c r="E335" s="3" t="s">
        <v>171</v>
      </c>
      <c r="F335" s="12">
        <v>45473</v>
      </c>
      <c r="G335" s="3">
        <v>2024</v>
      </c>
      <c r="H335" s="3" t="s">
        <v>33</v>
      </c>
      <c r="I335" s="3" t="s">
        <v>51</v>
      </c>
      <c r="J335" s="3">
        <v>1</v>
      </c>
      <c r="K335" s="3">
        <v>1.5</v>
      </c>
      <c r="L335" s="3">
        <v>1.48</v>
      </c>
      <c r="M335" s="3">
        <v>1.013513513513514</v>
      </c>
      <c r="N335" s="3">
        <v>1.013513513513514</v>
      </c>
      <c r="O335" s="3" t="s">
        <v>245</v>
      </c>
      <c r="P335" s="3" t="s">
        <v>245</v>
      </c>
      <c r="Q335" s="3" t="str">
        <f t="shared" si="50"/>
        <v>332-2024-06-30</v>
      </c>
      <c r="R335" s="3">
        <v>1</v>
      </c>
      <c r="S335" s="3">
        <v>1</v>
      </c>
      <c r="T335" s="3" t="s">
        <v>31</v>
      </c>
      <c r="U335" s="3" t="s">
        <v>37</v>
      </c>
      <c r="V335" s="3" t="s">
        <v>130</v>
      </c>
      <c r="W335" s="3" t="s">
        <v>60</v>
      </c>
      <c r="X335" s="3" t="s">
        <v>100</v>
      </c>
      <c r="Y335" s="3" t="s">
        <v>586</v>
      </c>
      <c r="Z335" s="3" t="s">
        <v>134</v>
      </c>
      <c r="AA335" s="3" t="s">
        <v>135</v>
      </c>
      <c r="AB335" s="3" t="s">
        <v>65</v>
      </c>
      <c r="AC335" s="3" t="s">
        <v>66</v>
      </c>
      <c r="AD335" s="3">
        <v>0</v>
      </c>
    </row>
    <row r="336" spans="1:30" x14ac:dyDescent="0.3">
      <c r="A336" s="3">
        <v>332</v>
      </c>
      <c r="B336" s="3" t="s">
        <v>239</v>
      </c>
      <c r="C336" s="3" t="s">
        <v>130</v>
      </c>
      <c r="D336" s="3" t="s">
        <v>31</v>
      </c>
      <c r="E336" s="3" t="s">
        <v>171</v>
      </c>
      <c r="F336" s="12">
        <v>45657</v>
      </c>
      <c r="G336" s="3">
        <v>2024</v>
      </c>
      <c r="H336" s="3" t="s">
        <v>44</v>
      </c>
      <c r="I336" s="3" t="s">
        <v>53</v>
      </c>
      <c r="J336" s="3">
        <v>2</v>
      </c>
      <c r="K336" s="3">
        <v>1.8</v>
      </c>
      <c r="L336" s="3">
        <v>0.82</v>
      </c>
      <c r="M336" s="3">
        <v>0.45555555555555549</v>
      </c>
      <c r="N336" s="3">
        <v>0.45555555555555549</v>
      </c>
      <c r="O336" s="3"/>
      <c r="P336" s="3"/>
      <c r="Q336" s="3" t="str">
        <f t="shared" si="50"/>
        <v>332-2024-12-31</v>
      </c>
      <c r="R336" s="3">
        <v>0</v>
      </c>
      <c r="S336" s="3">
        <v>0</v>
      </c>
      <c r="T336" s="3" t="s">
        <v>31</v>
      </c>
      <c r="U336" s="3" t="s">
        <v>37</v>
      </c>
      <c r="V336" s="3" t="s">
        <v>130</v>
      </c>
      <c r="W336" s="3" t="s">
        <v>60</v>
      </c>
      <c r="X336" s="3" t="s">
        <v>100</v>
      </c>
      <c r="Y336" s="3" t="s">
        <v>586</v>
      </c>
      <c r="Z336" s="3" t="s">
        <v>134</v>
      </c>
      <c r="AA336" s="3" t="s">
        <v>135</v>
      </c>
      <c r="AB336" s="3" t="s">
        <v>65</v>
      </c>
      <c r="AC336" s="3" t="s">
        <v>66</v>
      </c>
      <c r="AD336" s="3">
        <v>0</v>
      </c>
    </row>
    <row r="337" spans="1:30" x14ac:dyDescent="0.3">
      <c r="A337" s="3">
        <v>332</v>
      </c>
      <c r="B337" s="3" t="s">
        <v>239</v>
      </c>
      <c r="C337" s="3" t="s">
        <v>130</v>
      </c>
      <c r="D337" s="3" t="s">
        <v>31</v>
      </c>
      <c r="E337" s="3" t="s">
        <v>171</v>
      </c>
      <c r="F337" s="12">
        <v>45657</v>
      </c>
      <c r="G337" s="3">
        <v>2024</v>
      </c>
      <c r="H337" s="3" t="s">
        <v>44</v>
      </c>
      <c r="I337" s="3" t="s">
        <v>53</v>
      </c>
      <c r="J337" s="3"/>
      <c r="K337" s="3">
        <v>1.5</v>
      </c>
      <c r="L337" s="3">
        <v>1.1499999999999999</v>
      </c>
      <c r="M337" s="3">
        <v>1.3</v>
      </c>
      <c r="N337" s="3">
        <v>1.304347826086957</v>
      </c>
      <c r="O337" s="3" t="s">
        <v>245</v>
      </c>
      <c r="P337" s="3" t="s">
        <v>245</v>
      </c>
      <c r="Q337" s="3" t="str">
        <f t="shared" si="50"/>
        <v>332-2024-12-31</v>
      </c>
      <c r="R337" s="3">
        <v>1</v>
      </c>
      <c r="S337" s="3">
        <v>2</v>
      </c>
      <c r="T337" s="3" t="s">
        <v>443</v>
      </c>
      <c r="U337" s="3" t="s">
        <v>37</v>
      </c>
      <c r="V337" s="3" t="s">
        <v>130</v>
      </c>
      <c r="W337" s="3" t="s">
        <v>60</v>
      </c>
      <c r="X337" s="3" t="s">
        <v>100</v>
      </c>
      <c r="Y337" s="3" t="s">
        <v>586</v>
      </c>
      <c r="Z337" s="3" t="s">
        <v>134</v>
      </c>
      <c r="AA337" s="3" t="s">
        <v>135</v>
      </c>
      <c r="AB337" s="3" t="s">
        <v>65</v>
      </c>
      <c r="AC337" s="3" t="s">
        <v>66</v>
      </c>
      <c r="AD337" s="3">
        <v>0</v>
      </c>
    </row>
    <row r="338" spans="1:30" x14ac:dyDescent="0.3">
      <c r="A338" s="3">
        <v>332</v>
      </c>
      <c r="B338" s="3" t="s">
        <v>239</v>
      </c>
      <c r="C338" s="3" t="s">
        <v>130</v>
      </c>
      <c r="D338" s="3" t="s">
        <v>31</v>
      </c>
      <c r="E338" s="3" t="s">
        <v>171</v>
      </c>
      <c r="F338" s="12">
        <v>45838</v>
      </c>
      <c r="G338" s="3">
        <v>2025</v>
      </c>
      <c r="H338" s="3" t="s">
        <v>33</v>
      </c>
      <c r="I338" s="3" t="s">
        <v>404</v>
      </c>
      <c r="J338" s="3">
        <v>1</v>
      </c>
      <c r="K338" s="3">
        <v>1.4</v>
      </c>
      <c r="L338" s="3">
        <v>0.85</v>
      </c>
      <c r="M338" s="3">
        <v>1.3</v>
      </c>
      <c r="N338" s="3">
        <v>1.6470588235294119</v>
      </c>
      <c r="O338" s="3" t="s">
        <v>245</v>
      </c>
      <c r="P338" s="3" t="s">
        <v>245</v>
      </c>
      <c r="Q338" s="3" t="str">
        <f t="shared" si="50"/>
        <v>332-2025-06-30</v>
      </c>
      <c r="R338" s="3">
        <v>2</v>
      </c>
      <c r="S338" s="3">
        <v>2</v>
      </c>
      <c r="T338" s="3" t="s">
        <v>31</v>
      </c>
      <c r="U338" s="3" t="s">
        <v>37</v>
      </c>
      <c r="V338" s="3" t="s">
        <v>130</v>
      </c>
      <c r="W338" s="3" t="s">
        <v>60</v>
      </c>
      <c r="X338" s="3" t="s">
        <v>100</v>
      </c>
      <c r="Y338" s="3" t="s">
        <v>586</v>
      </c>
      <c r="Z338" s="3" t="s">
        <v>134</v>
      </c>
      <c r="AA338" s="3" t="s">
        <v>135</v>
      </c>
      <c r="AB338" s="3" t="s">
        <v>65</v>
      </c>
      <c r="AC338" s="3" t="s">
        <v>66</v>
      </c>
      <c r="AD338" s="3">
        <v>0</v>
      </c>
    </row>
    <row r="339" spans="1:30" x14ac:dyDescent="0.3">
      <c r="A339" s="3">
        <v>332</v>
      </c>
      <c r="B339" s="3" t="s">
        <v>239</v>
      </c>
      <c r="C339" s="3" t="s">
        <v>130</v>
      </c>
      <c r="D339" s="3" t="s">
        <v>31</v>
      </c>
      <c r="E339" s="3" t="s">
        <v>171</v>
      </c>
      <c r="F339" s="12">
        <v>45838</v>
      </c>
      <c r="G339" s="3">
        <v>2025</v>
      </c>
      <c r="H339" s="3" t="s">
        <v>33</v>
      </c>
      <c r="I339" s="3" t="s">
        <v>404</v>
      </c>
      <c r="J339" s="3"/>
      <c r="K339" s="3">
        <v>1.4</v>
      </c>
      <c r="L339" s="3">
        <v>0.85</v>
      </c>
      <c r="M339" s="3">
        <v>1.3</v>
      </c>
      <c r="N339" s="3">
        <v>1.6470588235294119</v>
      </c>
      <c r="O339" s="3" t="s">
        <v>245</v>
      </c>
      <c r="P339" s="3" t="s">
        <v>245</v>
      </c>
      <c r="Q339" s="3" t="str">
        <f t="shared" si="50"/>
        <v>332-2025-06-30</v>
      </c>
      <c r="R339" s="3">
        <v>2</v>
      </c>
      <c r="S339" s="3">
        <v>2</v>
      </c>
      <c r="T339" s="3" t="s">
        <v>443</v>
      </c>
      <c r="U339" s="3" t="s">
        <v>37</v>
      </c>
      <c r="V339" s="3" t="s">
        <v>130</v>
      </c>
      <c r="W339" s="3" t="s">
        <v>60</v>
      </c>
      <c r="X339" s="3" t="s">
        <v>100</v>
      </c>
      <c r="Y339" s="3" t="s">
        <v>586</v>
      </c>
      <c r="Z339" s="3" t="s">
        <v>134</v>
      </c>
      <c r="AA339" s="3" t="s">
        <v>135</v>
      </c>
      <c r="AB339" s="3" t="s">
        <v>65</v>
      </c>
      <c r="AC339" s="3" t="s">
        <v>66</v>
      </c>
      <c r="AD339" s="3">
        <v>0</v>
      </c>
    </row>
    <row r="340" spans="1:30" x14ac:dyDescent="0.3">
      <c r="A340" s="3">
        <v>334</v>
      </c>
      <c r="B340" s="3" t="s">
        <v>248</v>
      </c>
      <c r="C340" s="3" t="s">
        <v>130</v>
      </c>
      <c r="D340" s="3" t="s">
        <v>66</v>
      </c>
      <c r="E340" s="3" t="s">
        <v>32</v>
      </c>
      <c r="F340" s="12">
        <v>44926</v>
      </c>
      <c r="G340" s="3">
        <v>2022</v>
      </c>
      <c r="H340" s="3" t="s">
        <v>44</v>
      </c>
      <c r="I340" s="3" t="s">
        <v>45</v>
      </c>
      <c r="J340" s="3"/>
      <c r="K340" s="3">
        <v>86</v>
      </c>
      <c r="L340" s="3">
        <v>86</v>
      </c>
      <c r="M340" s="3">
        <v>1</v>
      </c>
      <c r="N340" s="3">
        <v>1</v>
      </c>
      <c r="O340" s="3" t="s">
        <v>35</v>
      </c>
      <c r="P340" s="3" t="s">
        <v>35</v>
      </c>
      <c r="Q340" s="3" t="str">
        <f t="shared" si="50"/>
        <v>334-2022-12-31</v>
      </c>
      <c r="R340" s="3">
        <v>0</v>
      </c>
      <c r="S340" s="3">
        <v>0</v>
      </c>
      <c r="T340" s="3" t="s">
        <v>443</v>
      </c>
      <c r="U340" s="3" t="s">
        <v>37</v>
      </c>
      <c r="V340" s="3" t="s">
        <v>130</v>
      </c>
      <c r="W340" s="3" t="s">
        <v>60</v>
      </c>
      <c r="X340" s="3" t="s">
        <v>100</v>
      </c>
      <c r="Y340" s="3" t="s">
        <v>586</v>
      </c>
      <c r="Z340" s="3" t="s">
        <v>134</v>
      </c>
      <c r="AA340" s="3" t="s">
        <v>250</v>
      </c>
      <c r="AB340" s="3" t="s">
        <v>43</v>
      </c>
      <c r="AC340" s="3" t="s">
        <v>66</v>
      </c>
      <c r="AD340" s="3">
        <v>0</v>
      </c>
    </row>
    <row r="341" spans="1:30" x14ac:dyDescent="0.3">
      <c r="A341" s="3">
        <v>334</v>
      </c>
      <c r="B341" s="3" t="s">
        <v>248</v>
      </c>
      <c r="C341" s="3" t="s">
        <v>130</v>
      </c>
      <c r="D341" s="3" t="s">
        <v>66</v>
      </c>
      <c r="E341" s="3" t="s">
        <v>32</v>
      </c>
      <c r="F341" s="12">
        <v>45291</v>
      </c>
      <c r="G341" s="3">
        <v>2023</v>
      </c>
      <c r="H341" s="3" t="s">
        <v>44</v>
      </c>
      <c r="I341" s="3" t="s">
        <v>49</v>
      </c>
      <c r="J341" s="3">
        <v>2</v>
      </c>
      <c r="K341" s="3">
        <v>88</v>
      </c>
      <c r="L341" s="3">
        <v>88.39</v>
      </c>
      <c r="M341" s="3">
        <v>1.0044318181818179</v>
      </c>
      <c r="N341" s="3">
        <v>1.0044318181818179</v>
      </c>
      <c r="O341" s="3"/>
      <c r="P341" s="3"/>
      <c r="Q341" s="3" t="str">
        <f t="shared" si="50"/>
        <v>334-2023-12-31</v>
      </c>
      <c r="R341" s="3">
        <v>0</v>
      </c>
      <c r="S341" s="3">
        <v>0</v>
      </c>
      <c r="T341" s="3" t="s">
        <v>31</v>
      </c>
      <c r="U341" s="3" t="s">
        <v>37</v>
      </c>
      <c r="V341" s="3" t="s">
        <v>130</v>
      </c>
      <c r="W341" s="3" t="s">
        <v>60</v>
      </c>
      <c r="X341" s="3" t="s">
        <v>100</v>
      </c>
      <c r="Y341" s="3" t="s">
        <v>586</v>
      </c>
      <c r="Z341" s="3" t="s">
        <v>134</v>
      </c>
      <c r="AA341" s="3" t="s">
        <v>250</v>
      </c>
      <c r="AB341" s="3" t="s">
        <v>43</v>
      </c>
      <c r="AC341" s="3" t="s">
        <v>66</v>
      </c>
      <c r="AD341" s="3">
        <v>0</v>
      </c>
    </row>
    <row r="342" spans="1:30" x14ac:dyDescent="0.3">
      <c r="A342" s="3">
        <v>334</v>
      </c>
      <c r="B342" s="3" t="s">
        <v>248</v>
      </c>
      <c r="C342" s="3" t="s">
        <v>130</v>
      </c>
      <c r="D342" s="3" t="s">
        <v>66</v>
      </c>
      <c r="E342" s="3" t="s">
        <v>32</v>
      </c>
      <c r="F342" s="12">
        <v>45291</v>
      </c>
      <c r="G342" s="3">
        <v>2023</v>
      </c>
      <c r="H342" s="3" t="s">
        <v>44</v>
      </c>
      <c r="I342" s="3" t="s">
        <v>49</v>
      </c>
      <c r="J342" s="3"/>
      <c r="K342" s="3">
        <v>88</v>
      </c>
      <c r="L342" s="3">
        <v>88.39</v>
      </c>
      <c r="M342" s="3">
        <v>1.0044318181818179</v>
      </c>
      <c r="N342" s="3">
        <v>1.0044318181818179</v>
      </c>
      <c r="O342" s="3" t="s">
        <v>35</v>
      </c>
      <c r="P342" s="3" t="s">
        <v>245</v>
      </c>
      <c r="Q342" s="3" t="str">
        <f t="shared" si="50"/>
        <v>334-2023-12-31</v>
      </c>
      <c r="R342" s="3">
        <v>0</v>
      </c>
      <c r="S342" s="3">
        <v>1</v>
      </c>
      <c r="T342" s="3" t="s">
        <v>443</v>
      </c>
      <c r="U342" s="3" t="s">
        <v>37</v>
      </c>
      <c r="V342" s="3" t="s">
        <v>130</v>
      </c>
      <c r="W342" s="3" t="s">
        <v>60</v>
      </c>
      <c r="X342" s="3" t="s">
        <v>100</v>
      </c>
      <c r="Y342" s="3" t="s">
        <v>586</v>
      </c>
      <c r="Z342" s="3" t="s">
        <v>134</v>
      </c>
      <c r="AA342" s="3" t="s">
        <v>250</v>
      </c>
      <c r="AB342" s="3" t="s">
        <v>43</v>
      </c>
      <c r="AC342" s="3" t="s">
        <v>66</v>
      </c>
      <c r="AD342" s="3">
        <v>0</v>
      </c>
    </row>
    <row r="343" spans="1:30" x14ac:dyDescent="0.3">
      <c r="A343" s="3">
        <v>334</v>
      </c>
      <c r="B343" s="3" t="s">
        <v>248</v>
      </c>
      <c r="C343" s="3" t="s">
        <v>130</v>
      </c>
      <c r="D343" s="3" t="s">
        <v>66</v>
      </c>
      <c r="E343" s="3" t="s">
        <v>32</v>
      </c>
      <c r="F343" s="12">
        <v>45657</v>
      </c>
      <c r="G343" s="3">
        <v>2024</v>
      </c>
      <c r="H343" s="3" t="s">
        <v>44</v>
      </c>
      <c r="I343" s="3" t="s">
        <v>53</v>
      </c>
      <c r="J343" s="3">
        <v>2</v>
      </c>
      <c r="K343" s="3">
        <v>88</v>
      </c>
      <c r="L343" s="3">
        <v>88.84</v>
      </c>
      <c r="M343" s="3">
        <v>1.009545454545455</v>
      </c>
      <c r="N343" s="3">
        <v>1.009545454545455</v>
      </c>
      <c r="O343" s="3"/>
      <c r="P343" s="3"/>
      <c r="Q343" s="3" t="str">
        <f t="shared" si="50"/>
        <v>334-2024-12-31</v>
      </c>
      <c r="R343" s="3">
        <v>0</v>
      </c>
      <c r="S343" s="3">
        <v>0</v>
      </c>
      <c r="T343" s="3" t="s">
        <v>31</v>
      </c>
      <c r="U343" s="3" t="s">
        <v>37</v>
      </c>
      <c r="V343" s="3" t="s">
        <v>130</v>
      </c>
      <c r="W343" s="3" t="s">
        <v>60</v>
      </c>
      <c r="X343" s="3" t="s">
        <v>100</v>
      </c>
      <c r="Y343" s="3" t="s">
        <v>586</v>
      </c>
      <c r="Z343" s="3" t="s">
        <v>134</v>
      </c>
      <c r="AA343" s="3" t="s">
        <v>250</v>
      </c>
      <c r="AB343" s="3" t="s">
        <v>43</v>
      </c>
      <c r="AC343" s="3" t="s">
        <v>66</v>
      </c>
      <c r="AD343" s="3">
        <v>0</v>
      </c>
    </row>
    <row r="344" spans="1:30" x14ac:dyDescent="0.3">
      <c r="A344" s="3">
        <v>334</v>
      </c>
      <c r="B344" s="3" t="s">
        <v>248</v>
      </c>
      <c r="C344" s="3" t="s">
        <v>130</v>
      </c>
      <c r="D344" s="3" t="s">
        <v>66</v>
      </c>
      <c r="E344" s="3" t="s">
        <v>32</v>
      </c>
      <c r="F344" s="12">
        <v>45657</v>
      </c>
      <c r="G344" s="3">
        <v>2024</v>
      </c>
      <c r="H344" s="3" t="s">
        <v>44</v>
      </c>
      <c r="I344" s="3" t="s">
        <v>53</v>
      </c>
      <c r="J344" s="3"/>
      <c r="K344" s="3">
        <v>88</v>
      </c>
      <c r="L344" s="3">
        <v>88.84</v>
      </c>
      <c r="M344" s="3">
        <v>1.009545454545455</v>
      </c>
      <c r="N344" s="3">
        <v>1.009545454545455</v>
      </c>
      <c r="O344" s="3" t="s">
        <v>35</v>
      </c>
      <c r="P344" s="3" t="s">
        <v>245</v>
      </c>
      <c r="Q344" s="3" t="str">
        <f t="shared" si="50"/>
        <v>334-2024-12-31</v>
      </c>
      <c r="R344" s="3">
        <v>0</v>
      </c>
      <c r="S344" s="3">
        <v>1</v>
      </c>
      <c r="T344" s="3" t="s">
        <v>443</v>
      </c>
      <c r="U344" s="3" t="s">
        <v>37</v>
      </c>
      <c r="V344" s="3" t="s">
        <v>130</v>
      </c>
      <c r="W344" s="3" t="s">
        <v>60</v>
      </c>
      <c r="X344" s="3" t="s">
        <v>100</v>
      </c>
      <c r="Y344" s="3" t="s">
        <v>586</v>
      </c>
      <c r="Z344" s="3" t="s">
        <v>134</v>
      </c>
      <c r="AA344" s="3" t="s">
        <v>250</v>
      </c>
      <c r="AB344" s="3" t="s">
        <v>43</v>
      </c>
      <c r="AC344" s="3" t="s">
        <v>66</v>
      </c>
      <c r="AD344" s="3">
        <v>0</v>
      </c>
    </row>
    <row r="345" spans="1:30" x14ac:dyDescent="0.3">
      <c r="A345" s="3">
        <v>334</v>
      </c>
      <c r="B345" s="3" t="s">
        <v>248</v>
      </c>
      <c r="C345" s="3" t="s">
        <v>130</v>
      </c>
      <c r="D345" s="3" t="s">
        <v>66</v>
      </c>
      <c r="E345" s="3" t="s">
        <v>32</v>
      </c>
      <c r="F345" s="12">
        <v>46022</v>
      </c>
      <c r="G345" s="3">
        <v>2025</v>
      </c>
      <c r="H345" s="3" t="s">
        <v>44</v>
      </c>
      <c r="I345" s="3" t="s">
        <v>465</v>
      </c>
      <c r="J345" s="3">
        <v>2</v>
      </c>
      <c r="K345" s="3">
        <v>89</v>
      </c>
      <c r="L345" s="3">
        <v>89</v>
      </c>
      <c r="M345" s="3">
        <v>1</v>
      </c>
      <c r="N345" s="3">
        <v>1</v>
      </c>
      <c r="O345" s="3" t="s">
        <v>35</v>
      </c>
      <c r="P345" s="3" t="s">
        <v>245</v>
      </c>
      <c r="Q345" s="3" t="str">
        <f t="shared" si="50"/>
        <v>334-2025-12-31</v>
      </c>
      <c r="R345" s="3">
        <v>0</v>
      </c>
      <c r="S345" s="3">
        <v>1</v>
      </c>
      <c r="T345" s="3" t="s">
        <v>31</v>
      </c>
      <c r="U345" s="3" t="s">
        <v>37</v>
      </c>
      <c r="V345" s="3" t="s">
        <v>130</v>
      </c>
      <c r="W345" s="3" t="s">
        <v>60</v>
      </c>
      <c r="X345" s="3" t="s">
        <v>100</v>
      </c>
      <c r="Y345" s="3" t="s">
        <v>586</v>
      </c>
      <c r="Z345" s="3" t="s">
        <v>134</v>
      </c>
      <c r="AA345" s="3" t="s">
        <v>250</v>
      </c>
      <c r="AB345" s="3" t="s">
        <v>43</v>
      </c>
      <c r="AC345" s="3" t="s">
        <v>66</v>
      </c>
      <c r="AD345" s="3">
        <v>0</v>
      </c>
    </row>
    <row r="346" spans="1:30" x14ac:dyDescent="0.3">
      <c r="A346" s="3">
        <v>335</v>
      </c>
      <c r="B346" s="3" t="s">
        <v>252</v>
      </c>
      <c r="C346" s="3" t="s">
        <v>130</v>
      </c>
      <c r="D346" s="3" t="s">
        <v>66</v>
      </c>
      <c r="E346" s="3" t="s">
        <v>32</v>
      </c>
      <c r="F346" s="12">
        <v>45291</v>
      </c>
      <c r="G346" s="3">
        <v>2023</v>
      </c>
      <c r="H346" s="3" t="s">
        <v>44</v>
      </c>
      <c r="I346" s="3" t="s">
        <v>49</v>
      </c>
      <c r="J346" s="3">
        <v>2</v>
      </c>
      <c r="K346" s="3">
        <v>80</v>
      </c>
      <c r="L346" s="3">
        <v>93.85</v>
      </c>
      <c r="M346" s="3">
        <v>1.173125</v>
      </c>
      <c r="N346" s="3">
        <v>1.173125</v>
      </c>
      <c r="O346" s="3" t="s">
        <v>58</v>
      </c>
      <c r="P346" s="3" t="s">
        <v>58</v>
      </c>
      <c r="Q346" s="3" t="str">
        <f t="shared" si="50"/>
        <v>335-2023-12-31</v>
      </c>
      <c r="R346" s="3">
        <v>0</v>
      </c>
      <c r="S346" s="3">
        <v>0</v>
      </c>
      <c r="T346" s="3" t="s">
        <v>31</v>
      </c>
      <c r="U346" s="3" t="s">
        <v>37</v>
      </c>
      <c r="V346" s="3" t="s">
        <v>130</v>
      </c>
      <c r="W346" s="3" t="s">
        <v>60</v>
      </c>
      <c r="X346" s="3" t="s">
        <v>100</v>
      </c>
      <c r="Y346" s="3" t="s">
        <v>586</v>
      </c>
      <c r="Z346" s="3" t="s">
        <v>134</v>
      </c>
      <c r="AA346" s="3" t="s">
        <v>135</v>
      </c>
      <c r="AB346" s="3" t="s">
        <v>43</v>
      </c>
      <c r="AC346" s="3" t="s">
        <v>66</v>
      </c>
      <c r="AD346" s="3">
        <v>0</v>
      </c>
    </row>
    <row r="347" spans="1:30" x14ac:dyDescent="0.3">
      <c r="A347" s="3">
        <v>335</v>
      </c>
      <c r="B347" s="3" t="s">
        <v>252</v>
      </c>
      <c r="C347" s="3" t="s">
        <v>130</v>
      </c>
      <c r="D347" s="3" t="s">
        <v>66</v>
      </c>
      <c r="E347" s="3" t="s">
        <v>32</v>
      </c>
      <c r="F347" s="12">
        <v>45291</v>
      </c>
      <c r="G347" s="3">
        <v>2023</v>
      </c>
      <c r="H347" s="3" t="s">
        <v>44</v>
      </c>
      <c r="I347" s="3" t="s">
        <v>49</v>
      </c>
      <c r="J347" s="3"/>
      <c r="K347" s="3">
        <v>80</v>
      </c>
      <c r="L347" s="3">
        <v>93.85</v>
      </c>
      <c r="M347" s="3">
        <v>1.173125</v>
      </c>
      <c r="N347" s="3">
        <v>1.173125</v>
      </c>
      <c r="O347" s="3" t="s">
        <v>58</v>
      </c>
      <c r="P347" s="3" t="s">
        <v>58</v>
      </c>
      <c r="Q347" s="3" t="str">
        <f t="shared" si="50"/>
        <v>335-2023-12-31</v>
      </c>
      <c r="R347" s="3">
        <v>0</v>
      </c>
      <c r="S347" s="3">
        <v>0</v>
      </c>
      <c r="T347" s="3" t="s">
        <v>443</v>
      </c>
      <c r="U347" s="3" t="s">
        <v>37</v>
      </c>
      <c r="V347" s="3" t="s">
        <v>130</v>
      </c>
      <c r="W347" s="3" t="s">
        <v>60</v>
      </c>
      <c r="X347" s="3" t="s">
        <v>100</v>
      </c>
      <c r="Y347" s="3" t="s">
        <v>586</v>
      </c>
      <c r="Z347" s="3" t="s">
        <v>134</v>
      </c>
      <c r="AA347" s="3" t="s">
        <v>135</v>
      </c>
      <c r="AB347" s="3" t="s">
        <v>43</v>
      </c>
      <c r="AC347" s="3" t="s">
        <v>66</v>
      </c>
      <c r="AD347" s="3">
        <v>0</v>
      </c>
    </row>
    <row r="348" spans="1:30" x14ac:dyDescent="0.3">
      <c r="A348" s="3">
        <v>335</v>
      </c>
      <c r="B348" s="3" t="s">
        <v>252</v>
      </c>
      <c r="C348" s="3" t="s">
        <v>130</v>
      </c>
      <c r="D348" s="3" t="s">
        <v>66</v>
      </c>
      <c r="E348" s="3" t="s">
        <v>32</v>
      </c>
      <c r="F348" s="12">
        <v>45657</v>
      </c>
      <c r="G348" s="3">
        <v>2024</v>
      </c>
      <c r="H348" s="3" t="s">
        <v>44</v>
      </c>
      <c r="I348" s="3" t="s">
        <v>53</v>
      </c>
      <c r="J348" s="3">
        <v>2</v>
      </c>
      <c r="K348" s="3">
        <v>82</v>
      </c>
      <c r="L348" s="3">
        <v>80.95</v>
      </c>
      <c r="M348" s="3">
        <v>0.9871951219512195</v>
      </c>
      <c r="N348" s="3">
        <v>0.9871951219512195</v>
      </c>
      <c r="O348" s="3" t="s">
        <v>58</v>
      </c>
      <c r="P348" s="3" t="s">
        <v>58</v>
      </c>
      <c r="Q348" s="3" t="str">
        <f t="shared" si="50"/>
        <v>335-2024-12-31</v>
      </c>
      <c r="R348" s="3">
        <v>0</v>
      </c>
      <c r="S348" s="3">
        <v>0</v>
      </c>
      <c r="T348" s="3" t="s">
        <v>31</v>
      </c>
      <c r="U348" s="3" t="s">
        <v>37</v>
      </c>
      <c r="V348" s="3" t="s">
        <v>130</v>
      </c>
      <c r="W348" s="3" t="s">
        <v>60</v>
      </c>
      <c r="X348" s="3" t="s">
        <v>100</v>
      </c>
      <c r="Y348" s="3" t="s">
        <v>586</v>
      </c>
      <c r="Z348" s="3" t="s">
        <v>134</v>
      </c>
      <c r="AA348" s="3" t="s">
        <v>135</v>
      </c>
      <c r="AB348" s="3" t="s">
        <v>43</v>
      </c>
      <c r="AC348" s="3" t="s">
        <v>66</v>
      </c>
      <c r="AD348" s="3">
        <v>0</v>
      </c>
    </row>
    <row r="349" spans="1:30" x14ac:dyDescent="0.3">
      <c r="A349" s="3">
        <v>335</v>
      </c>
      <c r="B349" s="3" t="s">
        <v>252</v>
      </c>
      <c r="C349" s="3" t="s">
        <v>130</v>
      </c>
      <c r="D349" s="3" t="s">
        <v>66</v>
      </c>
      <c r="E349" s="3" t="s">
        <v>32</v>
      </c>
      <c r="F349" s="12">
        <v>45657</v>
      </c>
      <c r="G349" s="3">
        <v>2024</v>
      </c>
      <c r="H349" s="3" t="s">
        <v>44</v>
      </c>
      <c r="I349" s="3" t="s">
        <v>53</v>
      </c>
      <c r="J349" s="3"/>
      <c r="K349" s="3">
        <v>82</v>
      </c>
      <c r="L349" s="3">
        <v>80.95</v>
      </c>
      <c r="M349" s="3">
        <v>0.9871951219512195</v>
      </c>
      <c r="N349" s="3">
        <v>0.9871951219512195</v>
      </c>
      <c r="O349" s="3" t="s">
        <v>58</v>
      </c>
      <c r="P349" s="3" t="s">
        <v>58</v>
      </c>
      <c r="Q349" s="3" t="str">
        <f t="shared" si="50"/>
        <v>335-2024-12-31</v>
      </c>
      <c r="R349" s="3">
        <v>0</v>
      </c>
      <c r="S349" s="3">
        <v>0</v>
      </c>
      <c r="T349" s="3" t="s">
        <v>443</v>
      </c>
      <c r="U349" s="3" t="s">
        <v>37</v>
      </c>
      <c r="V349" s="3" t="s">
        <v>130</v>
      </c>
      <c r="W349" s="3" t="s">
        <v>60</v>
      </c>
      <c r="X349" s="3" t="s">
        <v>100</v>
      </c>
      <c r="Y349" s="3" t="s">
        <v>586</v>
      </c>
      <c r="Z349" s="3" t="s">
        <v>134</v>
      </c>
      <c r="AA349" s="3" t="s">
        <v>135</v>
      </c>
      <c r="AB349" s="3" t="s">
        <v>43</v>
      </c>
      <c r="AC349" s="3" t="s">
        <v>66</v>
      </c>
      <c r="AD349" s="3">
        <v>0</v>
      </c>
    </row>
    <row r="350" spans="1:30" x14ac:dyDescent="0.3">
      <c r="A350" s="3">
        <v>335</v>
      </c>
      <c r="B350" s="3" t="s">
        <v>252</v>
      </c>
      <c r="C350" s="3" t="s">
        <v>130</v>
      </c>
      <c r="D350" s="3" t="s">
        <v>66</v>
      </c>
      <c r="E350" s="3" t="s">
        <v>32</v>
      </c>
      <c r="F350" s="12">
        <v>46022</v>
      </c>
      <c r="G350" s="3">
        <v>2025</v>
      </c>
      <c r="H350" s="3" t="s">
        <v>44</v>
      </c>
      <c r="I350" s="3" t="s">
        <v>465</v>
      </c>
      <c r="J350" s="3"/>
      <c r="K350" s="3">
        <v>82</v>
      </c>
      <c r="L350" s="3">
        <v>80.95</v>
      </c>
      <c r="M350" s="3">
        <v>0.9871951219512195</v>
      </c>
      <c r="N350" s="3">
        <v>0.9871951219512195</v>
      </c>
      <c r="O350" s="3" t="s">
        <v>58</v>
      </c>
      <c r="P350" s="3" t="s">
        <v>58</v>
      </c>
      <c r="Q350" s="3" t="str">
        <f t="shared" si="50"/>
        <v>335-2025-12-31</v>
      </c>
      <c r="R350" s="3">
        <v>0</v>
      </c>
      <c r="S350" s="3">
        <v>0</v>
      </c>
      <c r="T350" s="3" t="s">
        <v>443</v>
      </c>
      <c r="U350" s="3" t="s">
        <v>37</v>
      </c>
      <c r="V350" s="3" t="s">
        <v>130</v>
      </c>
      <c r="W350" s="3" t="s">
        <v>60</v>
      </c>
      <c r="X350" s="3" t="s">
        <v>100</v>
      </c>
      <c r="Y350" s="3" t="s">
        <v>586</v>
      </c>
      <c r="Z350" s="3" t="s">
        <v>134</v>
      </c>
      <c r="AA350" s="3" t="s">
        <v>135</v>
      </c>
      <c r="AB350" s="3" t="s">
        <v>43</v>
      </c>
      <c r="AC350" s="3" t="s">
        <v>66</v>
      </c>
      <c r="AD350" s="3">
        <v>0</v>
      </c>
    </row>
    <row r="351" spans="1:30" x14ac:dyDescent="0.3">
      <c r="A351" s="3">
        <v>339</v>
      </c>
      <c r="B351" s="3" t="s">
        <v>482</v>
      </c>
      <c r="C351" s="3" t="s">
        <v>256</v>
      </c>
      <c r="D351" s="3" t="s">
        <v>66</v>
      </c>
      <c r="E351" s="3" t="s">
        <v>32</v>
      </c>
      <c r="F351" s="12">
        <v>44926</v>
      </c>
      <c r="G351" s="3">
        <v>2022</v>
      </c>
      <c r="H351" s="3" t="s">
        <v>44</v>
      </c>
      <c r="I351" s="3" t="s">
        <v>45</v>
      </c>
      <c r="J351" s="3">
        <v>2</v>
      </c>
      <c r="K351" s="3">
        <v>22</v>
      </c>
      <c r="L351" s="3">
        <v>21.6</v>
      </c>
      <c r="M351" s="3">
        <f>+L351/K351</f>
        <v>0.98181818181818192</v>
      </c>
      <c r="N351" s="3">
        <f>+L351/K351</f>
        <v>0.98181818181818192</v>
      </c>
      <c r="O351" s="3" t="s">
        <v>58</v>
      </c>
      <c r="P351" s="3" t="s">
        <v>58</v>
      </c>
      <c r="Q351" s="3" t="str">
        <f t="shared" si="50"/>
        <v>339-2022-12-31</v>
      </c>
      <c r="R351" s="3">
        <v>0</v>
      </c>
      <c r="S351" s="3">
        <v>1</v>
      </c>
      <c r="T351" s="3" t="s">
        <v>31</v>
      </c>
      <c r="U351" s="3" t="s">
        <v>37</v>
      </c>
      <c r="V351" s="3" t="s">
        <v>256</v>
      </c>
      <c r="W351" s="3" t="s">
        <v>73</v>
      </c>
      <c r="X351" s="3" t="s">
        <v>74</v>
      </c>
      <c r="Y351" s="3" t="s">
        <v>585</v>
      </c>
      <c r="Z351" s="3" t="s">
        <v>86</v>
      </c>
      <c r="AA351" s="3" t="s">
        <v>87</v>
      </c>
      <c r="AB351" s="3" t="s">
        <v>43</v>
      </c>
      <c r="AC351" s="3" t="s">
        <v>66</v>
      </c>
      <c r="AD351" s="3">
        <v>0</v>
      </c>
    </row>
    <row r="352" spans="1:30" x14ac:dyDescent="0.3">
      <c r="A352" s="3">
        <v>339</v>
      </c>
      <c r="B352" s="3" t="s">
        <v>482</v>
      </c>
      <c r="C352" s="3" t="s">
        <v>256</v>
      </c>
      <c r="D352" s="3" t="s">
        <v>66</v>
      </c>
      <c r="E352" s="3" t="s">
        <v>32</v>
      </c>
      <c r="F352" s="12">
        <v>44926</v>
      </c>
      <c r="G352" s="3">
        <v>2022</v>
      </c>
      <c r="H352" s="3" t="s">
        <v>44</v>
      </c>
      <c r="I352" s="3" t="s">
        <v>45</v>
      </c>
      <c r="J352" s="3"/>
      <c r="K352" s="3">
        <v>22</v>
      </c>
      <c r="L352" s="3">
        <v>21.6</v>
      </c>
      <c r="M352" s="3">
        <f>+L352/K352</f>
        <v>0.98181818181818192</v>
      </c>
      <c r="N352" s="3">
        <f>+L352/K352</f>
        <v>0.98181818181818192</v>
      </c>
      <c r="O352" s="3" t="s">
        <v>58</v>
      </c>
      <c r="P352" s="3" t="s">
        <v>58</v>
      </c>
      <c r="Q352" s="3" t="str">
        <f t="shared" si="50"/>
        <v>339-2022-12-31</v>
      </c>
      <c r="R352" s="3">
        <v>0</v>
      </c>
      <c r="S352" s="3">
        <v>1</v>
      </c>
      <c r="T352" s="3" t="s">
        <v>443</v>
      </c>
      <c r="U352" s="3" t="s">
        <v>37</v>
      </c>
      <c r="V352" s="3" t="s">
        <v>256</v>
      </c>
      <c r="W352" s="3" t="s">
        <v>73</v>
      </c>
      <c r="X352" s="3" t="s">
        <v>74</v>
      </c>
      <c r="Y352" s="3" t="s">
        <v>585</v>
      </c>
      <c r="Z352" s="3" t="s">
        <v>86</v>
      </c>
      <c r="AA352" s="3" t="s">
        <v>87</v>
      </c>
      <c r="AB352" s="3" t="s">
        <v>43</v>
      </c>
      <c r="AC352" s="3" t="s">
        <v>66</v>
      </c>
      <c r="AD352" s="3">
        <v>0</v>
      </c>
    </row>
    <row r="353" spans="1:30" x14ac:dyDescent="0.3">
      <c r="A353" s="3">
        <v>339</v>
      </c>
      <c r="B353" s="3" t="s">
        <v>482</v>
      </c>
      <c r="C353" s="3" t="s">
        <v>256</v>
      </c>
      <c r="D353" s="3" t="s">
        <v>66</v>
      </c>
      <c r="E353" s="3" t="s">
        <v>32</v>
      </c>
      <c r="F353" s="12">
        <v>45291</v>
      </c>
      <c r="G353" s="3">
        <v>2023</v>
      </c>
      <c r="H353" s="3" t="s">
        <v>44</v>
      </c>
      <c r="I353" s="3" t="s">
        <v>49</v>
      </c>
      <c r="J353" s="3">
        <v>2</v>
      </c>
      <c r="K353" s="3">
        <v>30</v>
      </c>
      <c r="L353" s="3">
        <v>28.57</v>
      </c>
      <c r="M353" s="3">
        <v>0.95233333333333337</v>
      </c>
      <c r="N353" s="3">
        <v>0.95233333333333337</v>
      </c>
      <c r="O353" s="3" t="s">
        <v>58</v>
      </c>
      <c r="P353" s="3" t="s">
        <v>58</v>
      </c>
      <c r="Q353" s="3" t="str">
        <f t="shared" si="50"/>
        <v>339-2023-12-31</v>
      </c>
      <c r="R353" s="3">
        <v>0</v>
      </c>
      <c r="S353" s="3">
        <v>1</v>
      </c>
      <c r="T353" s="3" t="s">
        <v>31</v>
      </c>
      <c r="U353" s="3" t="s">
        <v>37</v>
      </c>
      <c r="V353" s="3" t="s">
        <v>256</v>
      </c>
      <c r="W353" s="3" t="s">
        <v>73</v>
      </c>
      <c r="X353" s="3" t="s">
        <v>74</v>
      </c>
      <c r="Y353" s="3" t="s">
        <v>585</v>
      </c>
      <c r="Z353" s="3" t="s">
        <v>86</v>
      </c>
      <c r="AA353" s="3" t="s">
        <v>87</v>
      </c>
      <c r="AB353" s="3" t="s">
        <v>43</v>
      </c>
      <c r="AC353" s="3" t="s">
        <v>66</v>
      </c>
      <c r="AD353" s="3">
        <v>0</v>
      </c>
    </row>
    <row r="354" spans="1:30" x14ac:dyDescent="0.3">
      <c r="A354" s="3">
        <v>339</v>
      </c>
      <c r="B354" s="3" t="s">
        <v>482</v>
      </c>
      <c r="C354" s="3" t="s">
        <v>256</v>
      </c>
      <c r="D354" s="3" t="s">
        <v>66</v>
      </c>
      <c r="E354" s="3" t="s">
        <v>32</v>
      </c>
      <c r="F354" s="12">
        <v>45291</v>
      </c>
      <c r="G354" s="3">
        <v>2023</v>
      </c>
      <c r="H354" s="3" t="s">
        <v>44</v>
      </c>
      <c r="I354" s="3" t="s">
        <v>49</v>
      </c>
      <c r="J354" s="3"/>
      <c r="K354" s="3">
        <v>30</v>
      </c>
      <c r="L354" s="3">
        <v>28.57</v>
      </c>
      <c r="M354" s="3">
        <v>0.95233333333333337</v>
      </c>
      <c r="N354" s="3">
        <v>0.95233333333333337</v>
      </c>
      <c r="O354" s="3" t="s">
        <v>58</v>
      </c>
      <c r="P354" s="3" t="s">
        <v>58</v>
      </c>
      <c r="Q354" s="3" t="str">
        <f t="shared" si="50"/>
        <v>339-2023-12-31</v>
      </c>
      <c r="R354" s="3">
        <v>0</v>
      </c>
      <c r="S354" s="3">
        <v>1</v>
      </c>
      <c r="T354" s="3" t="s">
        <v>443</v>
      </c>
      <c r="U354" s="3" t="s">
        <v>37</v>
      </c>
      <c r="V354" s="3" t="s">
        <v>256</v>
      </c>
      <c r="W354" s="3" t="s">
        <v>73</v>
      </c>
      <c r="X354" s="3" t="s">
        <v>74</v>
      </c>
      <c r="Y354" s="3" t="s">
        <v>585</v>
      </c>
      <c r="Z354" s="3" t="s">
        <v>86</v>
      </c>
      <c r="AA354" s="3" t="s">
        <v>87</v>
      </c>
      <c r="AB354" s="3" t="s">
        <v>43</v>
      </c>
      <c r="AC354" s="3" t="s">
        <v>66</v>
      </c>
      <c r="AD354" s="3">
        <v>0</v>
      </c>
    </row>
    <row r="355" spans="1:30" x14ac:dyDescent="0.3">
      <c r="A355" s="3">
        <v>339</v>
      </c>
      <c r="B355" s="3" t="s">
        <v>482</v>
      </c>
      <c r="C355" s="3" t="s">
        <v>256</v>
      </c>
      <c r="D355" s="3" t="s">
        <v>66</v>
      </c>
      <c r="E355" s="3" t="s">
        <v>32</v>
      </c>
      <c r="F355" s="12">
        <v>45657</v>
      </c>
      <c r="G355" s="3">
        <v>2024</v>
      </c>
      <c r="H355" s="3" t="s">
        <v>44</v>
      </c>
      <c r="I355" s="3" t="s">
        <v>53</v>
      </c>
      <c r="J355" s="3">
        <v>2</v>
      </c>
      <c r="K355" s="3">
        <v>30</v>
      </c>
      <c r="L355" s="3">
        <v>30.3</v>
      </c>
      <c r="M355" s="3">
        <v>1.01</v>
      </c>
      <c r="N355" s="3">
        <v>1.01</v>
      </c>
      <c r="O355" s="3" t="s">
        <v>58</v>
      </c>
      <c r="P355" s="3" t="s">
        <v>58</v>
      </c>
      <c r="Q355" s="3" t="str">
        <f t="shared" si="50"/>
        <v>339-2024-12-31</v>
      </c>
      <c r="R355" s="3">
        <v>0</v>
      </c>
      <c r="S355" s="3">
        <v>1</v>
      </c>
      <c r="T355" s="3" t="s">
        <v>31</v>
      </c>
      <c r="U355" s="3" t="s">
        <v>37</v>
      </c>
      <c r="V355" s="3" t="s">
        <v>256</v>
      </c>
      <c r="W355" s="3" t="s">
        <v>73</v>
      </c>
      <c r="X355" s="3" t="s">
        <v>74</v>
      </c>
      <c r="Y355" s="3" t="s">
        <v>585</v>
      </c>
      <c r="Z355" s="3" t="s">
        <v>86</v>
      </c>
      <c r="AA355" s="3" t="s">
        <v>87</v>
      </c>
      <c r="AB355" s="3" t="s">
        <v>43</v>
      </c>
      <c r="AC355" s="3" t="s">
        <v>66</v>
      </c>
      <c r="AD355" s="3">
        <v>0</v>
      </c>
    </row>
    <row r="356" spans="1:30" x14ac:dyDescent="0.3">
      <c r="A356" s="3">
        <v>339</v>
      </c>
      <c r="B356" s="3" t="s">
        <v>482</v>
      </c>
      <c r="C356" s="3" t="s">
        <v>256</v>
      </c>
      <c r="D356" s="3" t="s">
        <v>66</v>
      </c>
      <c r="E356" s="3" t="s">
        <v>32</v>
      </c>
      <c r="F356" s="12">
        <v>45657</v>
      </c>
      <c r="G356" s="3">
        <v>2024</v>
      </c>
      <c r="H356" s="3" t="s">
        <v>44</v>
      </c>
      <c r="I356" s="3" t="s">
        <v>53</v>
      </c>
      <c r="J356" s="3"/>
      <c r="K356" s="3">
        <v>30</v>
      </c>
      <c r="L356" s="3">
        <v>30.3</v>
      </c>
      <c r="M356" s="3">
        <v>1.01</v>
      </c>
      <c r="N356" s="3">
        <v>1.01</v>
      </c>
      <c r="O356" s="3" t="s">
        <v>58</v>
      </c>
      <c r="P356" s="3" t="s">
        <v>58</v>
      </c>
      <c r="Q356" s="3" t="str">
        <f t="shared" si="50"/>
        <v>339-2024-12-31</v>
      </c>
      <c r="R356" s="3">
        <v>0</v>
      </c>
      <c r="S356" s="3">
        <v>1</v>
      </c>
      <c r="T356" s="3" t="s">
        <v>443</v>
      </c>
      <c r="U356" s="3" t="s">
        <v>37</v>
      </c>
      <c r="V356" s="3" t="s">
        <v>256</v>
      </c>
      <c r="W356" s="3" t="s">
        <v>73</v>
      </c>
      <c r="X356" s="3" t="s">
        <v>74</v>
      </c>
      <c r="Y356" s="3" t="s">
        <v>585</v>
      </c>
      <c r="Z356" s="3" t="s">
        <v>86</v>
      </c>
      <c r="AA356" s="3" t="s">
        <v>87</v>
      </c>
      <c r="AB356" s="3" t="s">
        <v>43</v>
      </c>
      <c r="AC356" s="3" t="s">
        <v>66</v>
      </c>
      <c r="AD356" s="3">
        <v>0</v>
      </c>
    </row>
    <row r="357" spans="1:30" x14ac:dyDescent="0.3">
      <c r="A357" s="3">
        <v>339</v>
      </c>
      <c r="B357" s="3" t="s">
        <v>482</v>
      </c>
      <c r="C357" s="3" t="s">
        <v>256</v>
      </c>
      <c r="D357" s="3" t="s">
        <v>66</v>
      </c>
      <c r="E357" s="3" t="s">
        <v>32</v>
      </c>
      <c r="F357" s="12">
        <v>45838</v>
      </c>
      <c r="G357" s="3">
        <v>2025</v>
      </c>
      <c r="H357" s="3" t="s">
        <v>33</v>
      </c>
      <c r="I357" s="3" t="s">
        <v>404</v>
      </c>
      <c r="J357" s="3">
        <v>1</v>
      </c>
      <c r="K357" s="3">
        <v>30</v>
      </c>
      <c r="L357" s="3">
        <v>33.299999999999997</v>
      </c>
      <c r="M357" s="3">
        <v>1.1100000000000001</v>
      </c>
      <c r="N357" s="3">
        <v>1.1100000000000001</v>
      </c>
      <c r="O357" s="3" t="s">
        <v>58</v>
      </c>
      <c r="P357" s="3" t="s">
        <v>58</v>
      </c>
      <c r="Q357" s="3" t="str">
        <f t="shared" si="50"/>
        <v>339-2025-06-30</v>
      </c>
      <c r="R357" s="3">
        <v>0</v>
      </c>
      <c r="S357" s="3">
        <v>1</v>
      </c>
      <c r="T357" s="3" t="s">
        <v>31</v>
      </c>
      <c r="U357" s="3" t="s">
        <v>37</v>
      </c>
      <c r="V357" s="3" t="s">
        <v>256</v>
      </c>
      <c r="W357" s="3" t="s">
        <v>73</v>
      </c>
      <c r="X357" s="3" t="s">
        <v>74</v>
      </c>
      <c r="Y357" s="3" t="s">
        <v>585</v>
      </c>
      <c r="Z357" s="3" t="s">
        <v>86</v>
      </c>
      <c r="AA357" s="3" t="s">
        <v>87</v>
      </c>
      <c r="AB357" s="3" t="s">
        <v>43</v>
      </c>
      <c r="AC357" s="3" t="s">
        <v>66</v>
      </c>
      <c r="AD357" s="3">
        <v>0</v>
      </c>
    </row>
    <row r="358" spans="1:30" x14ac:dyDescent="0.3">
      <c r="A358" s="3">
        <v>339</v>
      </c>
      <c r="B358" s="3" t="s">
        <v>482</v>
      </c>
      <c r="C358" s="3" t="s">
        <v>256</v>
      </c>
      <c r="D358" s="3" t="s">
        <v>66</v>
      </c>
      <c r="E358" s="3" t="s">
        <v>32</v>
      </c>
      <c r="F358" s="12">
        <v>45838</v>
      </c>
      <c r="G358" s="3">
        <v>2025</v>
      </c>
      <c r="H358" s="3" t="s">
        <v>33</v>
      </c>
      <c r="I358" s="3" t="s">
        <v>404</v>
      </c>
      <c r="J358" s="3"/>
      <c r="K358" s="3">
        <v>30</v>
      </c>
      <c r="L358" s="3">
        <v>33.299999999999997</v>
      </c>
      <c r="M358" s="3">
        <v>1.1100000000000001</v>
      </c>
      <c r="N358" s="3">
        <v>1.1100000000000001</v>
      </c>
      <c r="O358" s="3" t="s">
        <v>58</v>
      </c>
      <c r="P358" s="3" t="s">
        <v>58</v>
      </c>
      <c r="Q358" s="3" t="str">
        <f t="shared" si="50"/>
        <v>339-2025-06-30</v>
      </c>
      <c r="R358" s="3">
        <v>0</v>
      </c>
      <c r="S358" s="3">
        <v>1</v>
      </c>
      <c r="T358" s="3" t="s">
        <v>443</v>
      </c>
      <c r="U358" s="3" t="s">
        <v>37</v>
      </c>
      <c r="V358" s="3" t="s">
        <v>256</v>
      </c>
      <c r="W358" s="3" t="s">
        <v>73</v>
      </c>
      <c r="X358" s="3" t="s">
        <v>74</v>
      </c>
      <c r="Y358" s="3" t="s">
        <v>585</v>
      </c>
      <c r="Z358" s="3" t="s">
        <v>86</v>
      </c>
      <c r="AA358" s="3" t="s">
        <v>87</v>
      </c>
      <c r="AB358" s="3" t="s">
        <v>43</v>
      </c>
      <c r="AC358" s="3" t="s">
        <v>66</v>
      </c>
      <c r="AD358" s="3">
        <v>0</v>
      </c>
    </row>
    <row r="359" spans="1:30" x14ac:dyDescent="0.3">
      <c r="A359" s="3">
        <v>361</v>
      </c>
      <c r="B359" s="3" t="s">
        <v>479</v>
      </c>
      <c r="C359" s="3" t="s">
        <v>267</v>
      </c>
      <c r="D359" s="3" t="s">
        <v>66</v>
      </c>
      <c r="E359" s="3" t="s">
        <v>32</v>
      </c>
      <c r="F359" s="12">
        <v>44561</v>
      </c>
      <c r="G359" s="3">
        <f>YEAR(F359)</f>
        <v>2021</v>
      </c>
      <c r="H359" s="3" t="str">
        <f>PROPER(TEXT(F359,"mmmm"))</f>
        <v>Diciembre</v>
      </c>
      <c r="I359" s="3" t="str">
        <f>IF(H359="Junio",G359&amp;"-1",G359&amp;"-2")</f>
        <v>2021-2</v>
      </c>
      <c r="J359" s="3"/>
      <c r="K359" s="3"/>
      <c r="L359" s="3">
        <v>4.4000000000000004</v>
      </c>
      <c r="M359" s="3"/>
      <c r="N359" s="3"/>
      <c r="O359" s="3" t="s">
        <v>245</v>
      </c>
      <c r="P359" s="3" t="s">
        <v>245</v>
      </c>
      <c r="Q359" s="3" t="str">
        <f t="shared" si="50"/>
        <v>361-2021-12-31</v>
      </c>
      <c r="R359" s="3">
        <v>1</v>
      </c>
      <c r="S359" s="3">
        <v>2</v>
      </c>
      <c r="T359" s="3" t="s">
        <v>31</v>
      </c>
      <c r="U359" s="3" t="s">
        <v>37</v>
      </c>
      <c r="V359" s="3" t="s">
        <v>267</v>
      </c>
      <c r="W359" s="3" t="s">
        <v>145</v>
      </c>
      <c r="X359" s="3" t="s">
        <v>179</v>
      </c>
      <c r="Y359" s="3" t="s">
        <v>269</v>
      </c>
      <c r="Z359" s="3" t="s">
        <v>41</v>
      </c>
      <c r="AA359" s="3" t="s">
        <v>124</v>
      </c>
      <c r="AB359" s="3" t="s">
        <v>43</v>
      </c>
      <c r="AC359" s="3" t="s">
        <v>66</v>
      </c>
      <c r="AD359" s="3">
        <v>0</v>
      </c>
    </row>
    <row r="360" spans="1:30" x14ac:dyDescent="0.3">
      <c r="A360" s="3">
        <v>361</v>
      </c>
      <c r="B360" s="3" t="s">
        <v>479</v>
      </c>
      <c r="C360" s="3" t="s">
        <v>267</v>
      </c>
      <c r="D360" s="3" t="s">
        <v>66</v>
      </c>
      <c r="E360" s="3" t="s">
        <v>32</v>
      </c>
      <c r="F360" s="12">
        <v>45291</v>
      </c>
      <c r="G360" s="3">
        <v>2023</v>
      </c>
      <c r="H360" s="3" t="s">
        <v>44</v>
      </c>
      <c r="I360" s="3" t="s">
        <v>49</v>
      </c>
      <c r="J360" s="3">
        <v>2</v>
      </c>
      <c r="K360" s="3">
        <v>4.5</v>
      </c>
      <c r="L360" s="3">
        <v>4.5599999999999996</v>
      </c>
      <c r="M360" s="3">
        <v>1.013333333333333</v>
      </c>
      <c r="N360" s="3">
        <v>1.013333333333333</v>
      </c>
      <c r="O360" s="3" t="s">
        <v>245</v>
      </c>
      <c r="P360" s="3" t="s">
        <v>245</v>
      </c>
      <c r="Q360" s="3" t="str">
        <f t="shared" si="50"/>
        <v>361-2023-12-31</v>
      </c>
      <c r="R360" s="3">
        <v>2</v>
      </c>
      <c r="S360" s="3">
        <v>2</v>
      </c>
      <c r="T360" s="3" t="s">
        <v>31</v>
      </c>
      <c r="U360" s="3" t="s">
        <v>37</v>
      </c>
      <c r="V360" s="3" t="s">
        <v>267</v>
      </c>
      <c r="W360" s="3" t="s">
        <v>145</v>
      </c>
      <c r="X360" s="3" t="s">
        <v>179</v>
      </c>
      <c r="Y360" s="3" t="s">
        <v>269</v>
      </c>
      <c r="Z360" s="3" t="s">
        <v>41</v>
      </c>
      <c r="AA360" s="3" t="s">
        <v>124</v>
      </c>
      <c r="AB360" s="3" t="s">
        <v>43</v>
      </c>
      <c r="AC360" s="3" t="s">
        <v>66</v>
      </c>
      <c r="AD360" s="3">
        <v>0</v>
      </c>
    </row>
    <row r="361" spans="1:30" x14ac:dyDescent="0.3">
      <c r="A361" s="3">
        <v>361</v>
      </c>
      <c r="B361" s="3" t="s">
        <v>479</v>
      </c>
      <c r="C361" s="3" t="s">
        <v>267</v>
      </c>
      <c r="D361" s="3" t="s">
        <v>66</v>
      </c>
      <c r="E361" s="3" t="s">
        <v>32</v>
      </c>
      <c r="F361" s="12">
        <v>45291</v>
      </c>
      <c r="G361" s="3">
        <v>2023</v>
      </c>
      <c r="H361" s="3" t="s">
        <v>44</v>
      </c>
      <c r="I361" s="3" t="s">
        <v>49</v>
      </c>
      <c r="J361" s="3"/>
      <c r="K361" s="3">
        <v>4.5</v>
      </c>
      <c r="L361" s="3">
        <v>4.5599999999999996</v>
      </c>
      <c r="M361" s="3">
        <v>1.013333333333333</v>
      </c>
      <c r="N361" s="3">
        <v>1.013333333333333</v>
      </c>
      <c r="O361" s="3" t="s">
        <v>245</v>
      </c>
      <c r="P361" s="3" t="s">
        <v>245</v>
      </c>
      <c r="Q361" s="3" t="str">
        <f t="shared" si="50"/>
        <v>361-2023-12-31</v>
      </c>
      <c r="R361" s="3">
        <v>2</v>
      </c>
      <c r="S361" s="3">
        <v>2</v>
      </c>
      <c r="T361" s="3" t="s">
        <v>443</v>
      </c>
      <c r="U361" s="3" t="s">
        <v>37</v>
      </c>
      <c r="V361" s="3" t="s">
        <v>267</v>
      </c>
      <c r="W361" s="3" t="s">
        <v>145</v>
      </c>
      <c r="X361" s="3" t="s">
        <v>179</v>
      </c>
      <c r="Y361" s="3" t="s">
        <v>269</v>
      </c>
      <c r="Z361" s="3" t="s">
        <v>41</v>
      </c>
      <c r="AA361" s="3" t="s">
        <v>124</v>
      </c>
      <c r="AB361" s="3" t="s">
        <v>43</v>
      </c>
      <c r="AC361" s="3" t="s">
        <v>66</v>
      </c>
      <c r="AD361" s="3">
        <v>0</v>
      </c>
    </row>
    <row r="362" spans="1:30" x14ac:dyDescent="0.3">
      <c r="A362" s="3">
        <v>361</v>
      </c>
      <c r="B362" s="3" t="s">
        <v>479</v>
      </c>
      <c r="C362" s="3" t="s">
        <v>267</v>
      </c>
      <c r="D362" s="3" t="s">
        <v>66</v>
      </c>
      <c r="E362" s="3" t="s">
        <v>32</v>
      </c>
      <c r="F362" s="12">
        <v>46022</v>
      </c>
      <c r="G362" s="3">
        <v>2025</v>
      </c>
      <c r="H362" s="3" t="s">
        <v>44</v>
      </c>
      <c r="I362" s="3" t="s">
        <v>465</v>
      </c>
      <c r="J362" s="3">
        <v>2</v>
      </c>
      <c r="K362" s="3">
        <v>4.5999999999999996</v>
      </c>
      <c r="L362" s="3">
        <v>4.78</v>
      </c>
      <c r="M362" s="3">
        <f>L362/K362</f>
        <v>1.0391304347826089</v>
      </c>
      <c r="N362" s="3">
        <v>1.013333333333333</v>
      </c>
      <c r="O362" s="3" t="s">
        <v>245</v>
      </c>
      <c r="P362" s="3" t="s">
        <v>245</v>
      </c>
      <c r="Q362" s="3" t="str">
        <f t="shared" si="50"/>
        <v>361-2025-12-31</v>
      </c>
      <c r="R362" s="3">
        <v>1</v>
      </c>
      <c r="S362" s="3">
        <v>2</v>
      </c>
      <c r="T362" s="3" t="s">
        <v>31</v>
      </c>
      <c r="U362" s="3" t="s">
        <v>37</v>
      </c>
      <c r="V362" s="3" t="s">
        <v>267</v>
      </c>
      <c r="W362" s="3" t="s">
        <v>145</v>
      </c>
      <c r="X362" s="3" t="s">
        <v>179</v>
      </c>
      <c r="Y362" s="3" t="s">
        <v>269</v>
      </c>
      <c r="Z362" s="3" t="s">
        <v>41</v>
      </c>
      <c r="AA362" s="3" t="s">
        <v>124</v>
      </c>
      <c r="AB362" s="3" t="s">
        <v>43</v>
      </c>
      <c r="AC362" s="3" t="s">
        <v>66</v>
      </c>
      <c r="AD362" s="3">
        <v>0</v>
      </c>
    </row>
    <row r="363" spans="1:30" x14ac:dyDescent="0.3">
      <c r="A363" s="3">
        <v>361</v>
      </c>
      <c r="B363" s="3" t="s">
        <v>479</v>
      </c>
      <c r="C363" s="3" t="s">
        <v>267</v>
      </c>
      <c r="D363" s="3" t="s">
        <v>66</v>
      </c>
      <c r="E363" s="3" t="s">
        <v>32</v>
      </c>
      <c r="F363" s="12">
        <v>46022</v>
      </c>
      <c r="G363" s="3">
        <v>2025</v>
      </c>
      <c r="H363" s="3" t="s">
        <v>44</v>
      </c>
      <c r="I363" s="3" t="s">
        <v>465</v>
      </c>
      <c r="J363" s="3"/>
      <c r="K363" s="3">
        <v>4.5</v>
      </c>
      <c r="L363" s="3">
        <v>4.78</v>
      </c>
      <c r="M363" s="3">
        <f>L363/K363</f>
        <v>1.0622222222222222</v>
      </c>
      <c r="N363" s="3">
        <v>1.013333333333333</v>
      </c>
      <c r="O363" s="3" t="s">
        <v>245</v>
      </c>
      <c r="P363" s="3" t="s">
        <v>245</v>
      </c>
      <c r="Q363" s="3" t="str">
        <f t="shared" si="50"/>
        <v>361-2025-12-31</v>
      </c>
      <c r="R363" s="3">
        <v>1</v>
      </c>
      <c r="S363" s="3">
        <v>2</v>
      </c>
      <c r="T363" s="3" t="s">
        <v>443</v>
      </c>
      <c r="U363" s="3" t="s">
        <v>37</v>
      </c>
      <c r="V363" s="3" t="s">
        <v>267</v>
      </c>
      <c r="W363" s="3" t="s">
        <v>145</v>
      </c>
      <c r="X363" s="3" t="s">
        <v>179</v>
      </c>
      <c r="Y363" s="3" t="s">
        <v>269</v>
      </c>
      <c r="Z363" s="3" t="s">
        <v>41</v>
      </c>
      <c r="AA363" s="3" t="s">
        <v>124</v>
      </c>
      <c r="AB363" s="3" t="s">
        <v>43</v>
      </c>
      <c r="AC363" s="3" t="s">
        <v>66</v>
      </c>
      <c r="AD363" s="3">
        <v>0</v>
      </c>
    </row>
    <row r="364" spans="1:30" x14ac:dyDescent="0.3">
      <c r="A364" s="3">
        <v>364</v>
      </c>
      <c r="B364" s="3" t="s">
        <v>271</v>
      </c>
      <c r="C364" s="3" t="s">
        <v>267</v>
      </c>
      <c r="D364" s="3" t="s">
        <v>31</v>
      </c>
      <c r="E364" s="3" t="s">
        <v>171</v>
      </c>
      <c r="F364" s="12">
        <v>45107</v>
      </c>
      <c r="G364" s="3">
        <v>2023</v>
      </c>
      <c r="H364" s="3" t="s">
        <v>33</v>
      </c>
      <c r="I364" s="3" t="s">
        <v>47</v>
      </c>
      <c r="J364" s="3">
        <v>1</v>
      </c>
      <c r="K364" s="3"/>
      <c r="L364" s="3">
        <v>30173</v>
      </c>
      <c r="M364" s="3"/>
      <c r="N364" s="3"/>
      <c r="O364" s="3" t="s">
        <v>131</v>
      </c>
      <c r="P364" s="3" t="s">
        <v>35</v>
      </c>
      <c r="Q364" s="3" t="str">
        <f t="shared" si="50"/>
        <v>364-2023-06-30</v>
      </c>
      <c r="R364" s="3">
        <v>0</v>
      </c>
      <c r="S364" s="3">
        <v>0</v>
      </c>
      <c r="T364" s="3" t="s">
        <v>31</v>
      </c>
      <c r="U364" s="3" t="s">
        <v>37</v>
      </c>
      <c r="V364" s="3" t="s">
        <v>267</v>
      </c>
      <c r="W364" s="3" t="s">
        <v>145</v>
      </c>
      <c r="X364" s="3" t="s">
        <v>179</v>
      </c>
      <c r="Y364" s="3" t="s">
        <v>273</v>
      </c>
      <c r="Z364" s="3" t="s">
        <v>274</v>
      </c>
      <c r="AA364" s="3" t="s">
        <v>275</v>
      </c>
      <c r="AB364" s="3" t="s">
        <v>78</v>
      </c>
      <c r="AC364" s="3" t="s">
        <v>66</v>
      </c>
      <c r="AD364" s="3">
        <v>0</v>
      </c>
    </row>
    <row r="365" spans="1:30" x14ac:dyDescent="0.3">
      <c r="A365" s="3">
        <v>364</v>
      </c>
      <c r="B365" s="3" t="s">
        <v>271</v>
      </c>
      <c r="C365" s="3" t="s">
        <v>267</v>
      </c>
      <c r="D365" s="3" t="s">
        <v>31</v>
      </c>
      <c r="E365" s="3" t="s">
        <v>171</v>
      </c>
      <c r="F365" s="12">
        <v>45291</v>
      </c>
      <c r="G365" s="3">
        <v>2023</v>
      </c>
      <c r="H365" s="3" t="s">
        <v>44</v>
      </c>
      <c r="I365" s="3" t="s">
        <v>49</v>
      </c>
      <c r="J365" s="3">
        <v>2</v>
      </c>
      <c r="K365" s="3"/>
      <c r="L365" s="3">
        <v>48277</v>
      </c>
      <c r="M365" s="3"/>
      <c r="N365" s="3"/>
      <c r="O365" s="3" t="s">
        <v>131</v>
      </c>
      <c r="P365" s="3" t="s">
        <v>35</v>
      </c>
      <c r="Q365" s="3" t="str">
        <f t="shared" si="50"/>
        <v>364-2023-12-31</v>
      </c>
      <c r="R365" s="3">
        <v>0</v>
      </c>
      <c r="S365" s="3">
        <v>0</v>
      </c>
      <c r="T365" s="3" t="s">
        <v>31</v>
      </c>
      <c r="U365" s="3" t="s">
        <v>37</v>
      </c>
      <c r="V365" s="3" t="s">
        <v>267</v>
      </c>
      <c r="W365" s="3" t="s">
        <v>145</v>
      </c>
      <c r="X365" s="3" t="s">
        <v>179</v>
      </c>
      <c r="Y365" s="3" t="s">
        <v>273</v>
      </c>
      <c r="Z365" s="3" t="s">
        <v>274</v>
      </c>
      <c r="AA365" s="3" t="s">
        <v>275</v>
      </c>
      <c r="AB365" s="3" t="s">
        <v>78</v>
      </c>
      <c r="AC365" s="3" t="s">
        <v>66</v>
      </c>
      <c r="AD365" s="3">
        <v>0</v>
      </c>
    </row>
    <row r="366" spans="1:30" x14ac:dyDescent="0.3">
      <c r="A366" s="3">
        <v>364</v>
      </c>
      <c r="B366" s="3" t="s">
        <v>271</v>
      </c>
      <c r="C366" s="3" t="s">
        <v>267</v>
      </c>
      <c r="D366" s="3" t="s">
        <v>31</v>
      </c>
      <c r="E366" s="3" t="s">
        <v>171</v>
      </c>
      <c r="F366" s="12">
        <v>45291</v>
      </c>
      <c r="G366" s="3">
        <v>2023</v>
      </c>
      <c r="H366" s="3" t="s">
        <v>44</v>
      </c>
      <c r="I366" s="3" t="s">
        <v>49</v>
      </c>
      <c r="J366" s="3"/>
      <c r="K366" s="3"/>
      <c r="L366" s="3">
        <v>78450</v>
      </c>
      <c r="M366" s="3"/>
      <c r="N366" s="3"/>
      <c r="O366" s="3" t="s">
        <v>284</v>
      </c>
      <c r="P366" s="3" t="s">
        <v>35</v>
      </c>
      <c r="Q366" s="3" t="str">
        <f t="shared" si="50"/>
        <v>364-2023-12-31</v>
      </c>
      <c r="R366" s="3">
        <v>0</v>
      </c>
      <c r="S366" s="3">
        <v>0</v>
      </c>
      <c r="T366" s="3" t="s">
        <v>443</v>
      </c>
      <c r="U366" s="3" t="s">
        <v>37</v>
      </c>
      <c r="V366" s="3" t="s">
        <v>267</v>
      </c>
      <c r="W366" s="3" t="s">
        <v>145</v>
      </c>
      <c r="X366" s="3" t="s">
        <v>179</v>
      </c>
      <c r="Y366" s="3" t="s">
        <v>273</v>
      </c>
      <c r="Z366" s="3" t="s">
        <v>274</v>
      </c>
      <c r="AA366" s="3" t="s">
        <v>275</v>
      </c>
      <c r="AB366" s="3" t="s">
        <v>78</v>
      </c>
      <c r="AC366" s="3" t="s">
        <v>66</v>
      </c>
      <c r="AD366" s="3">
        <v>0</v>
      </c>
    </row>
    <row r="367" spans="1:30" x14ac:dyDescent="0.3">
      <c r="A367" s="3">
        <v>364</v>
      </c>
      <c r="B367" s="3" t="s">
        <v>271</v>
      </c>
      <c r="C367" s="3" t="s">
        <v>267</v>
      </c>
      <c r="D367" s="3" t="s">
        <v>31</v>
      </c>
      <c r="E367" s="3" t="s">
        <v>171</v>
      </c>
      <c r="F367" s="12">
        <v>45473</v>
      </c>
      <c r="G367" s="3">
        <v>2024</v>
      </c>
      <c r="H367" s="3" t="s">
        <v>33</v>
      </c>
      <c r="I367" s="3" t="s">
        <v>51</v>
      </c>
      <c r="J367" s="3">
        <v>1</v>
      </c>
      <c r="K367" s="3">
        <v>31694</v>
      </c>
      <c r="L367" s="3">
        <v>42069</v>
      </c>
      <c r="M367" s="3">
        <f>+L367/K367</f>
        <v>1.3273490250520603</v>
      </c>
      <c r="N367" s="3">
        <f>+L367/K367</f>
        <v>1.3273490250520603</v>
      </c>
      <c r="O367" s="3" t="s">
        <v>35</v>
      </c>
      <c r="P367" s="3" t="s">
        <v>35</v>
      </c>
      <c r="Q367" s="3" t="str">
        <f t="shared" si="50"/>
        <v>364-2024-06-30</v>
      </c>
      <c r="R367" s="3">
        <v>0</v>
      </c>
      <c r="S367" s="3">
        <v>0</v>
      </c>
      <c r="T367" s="3" t="s">
        <v>31</v>
      </c>
      <c r="U367" s="3" t="s">
        <v>37</v>
      </c>
      <c r="V367" s="3" t="s">
        <v>267</v>
      </c>
      <c r="W367" s="3" t="s">
        <v>145</v>
      </c>
      <c r="X367" s="3" t="s">
        <v>179</v>
      </c>
      <c r="Y367" s="3" t="s">
        <v>273</v>
      </c>
      <c r="Z367" s="3" t="s">
        <v>274</v>
      </c>
      <c r="AA367" s="3" t="s">
        <v>275</v>
      </c>
      <c r="AB367" s="3" t="s">
        <v>78</v>
      </c>
      <c r="AC367" s="3" t="s">
        <v>66</v>
      </c>
      <c r="AD367" s="3">
        <v>0</v>
      </c>
    </row>
    <row r="368" spans="1:30" x14ac:dyDescent="0.3">
      <c r="A368" s="3">
        <v>364</v>
      </c>
      <c r="B368" s="3" t="s">
        <v>271</v>
      </c>
      <c r="C368" s="3" t="s">
        <v>267</v>
      </c>
      <c r="D368" s="3" t="s">
        <v>31</v>
      </c>
      <c r="E368" s="3" t="s">
        <v>171</v>
      </c>
      <c r="F368" s="12">
        <v>45657</v>
      </c>
      <c r="G368" s="3">
        <v>2024</v>
      </c>
      <c r="H368" s="3" t="s">
        <v>44</v>
      </c>
      <c r="I368" s="3" t="s">
        <v>53</v>
      </c>
      <c r="J368" s="3">
        <v>2</v>
      </c>
      <c r="K368" s="3">
        <v>47541</v>
      </c>
      <c r="L368" s="3">
        <v>46635</v>
      </c>
      <c r="M368" s="3">
        <f t="shared" ref="M368:M377" si="51">+L368/K368</f>
        <v>0.98094276519214996</v>
      </c>
      <c r="N368" s="3">
        <f t="shared" ref="N368:N371" si="52">+L368/K368</f>
        <v>0.98094276519214996</v>
      </c>
      <c r="O368" s="3" t="s">
        <v>35</v>
      </c>
      <c r="P368" s="3" t="s">
        <v>35</v>
      </c>
      <c r="Q368" s="3" t="str">
        <f t="shared" si="50"/>
        <v>364-2024-12-31</v>
      </c>
      <c r="R368" s="3">
        <v>0</v>
      </c>
      <c r="S368" s="3">
        <v>0</v>
      </c>
      <c r="T368" s="3" t="s">
        <v>31</v>
      </c>
      <c r="U368" s="3" t="s">
        <v>37</v>
      </c>
      <c r="V368" s="3" t="s">
        <v>267</v>
      </c>
      <c r="W368" s="3" t="s">
        <v>145</v>
      </c>
      <c r="X368" s="3" t="s">
        <v>179</v>
      </c>
      <c r="Y368" s="3" t="s">
        <v>273</v>
      </c>
      <c r="Z368" s="3" t="s">
        <v>274</v>
      </c>
      <c r="AA368" s="3" t="s">
        <v>275</v>
      </c>
      <c r="AB368" s="3" t="s">
        <v>78</v>
      </c>
      <c r="AC368" s="3" t="s">
        <v>66</v>
      </c>
      <c r="AD368" s="3">
        <v>0</v>
      </c>
    </row>
    <row r="369" spans="1:30" x14ac:dyDescent="0.3">
      <c r="A369" s="3">
        <v>364</v>
      </c>
      <c r="B369" s="3" t="s">
        <v>271</v>
      </c>
      <c r="C369" s="3" t="s">
        <v>267</v>
      </c>
      <c r="D369" s="3" t="s">
        <v>31</v>
      </c>
      <c r="E369" s="3" t="s">
        <v>171</v>
      </c>
      <c r="F369" s="12">
        <v>45657</v>
      </c>
      <c r="G369" s="3">
        <v>2024</v>
      </c>
      <c r="H369" s="3" t="s">
        <v>44</v>
      </c>
      <c r="I369" s="3" t="s">
        <v>53</v>
      </c>
      <c r="J369" s="3"/>
      <c r="K369" s="3">
        <v>79235</v>
      </c>
      <c r="L369" s="3">
        <v>88704</v>
      </c>
      <c r="M369" s="3">
        <f t="shared" si="51"/>
        <v>1.119505269136114</v>
      </c>
      <c r="N369" s="3">
        <f t="shared" si="52"/>
        <v>1.119505269136114</v>
      </c>
      <c r="O369" s="3" t="s">
        <v>35</v>
      </c>
      <c r="P369" s="3" t="s">
        <v>35</v>
      </c>
      <c r="Q369" s="3" t="str">
        <f t="shared" si="50"/>
        <v>364-2024-12-31</v>
      </c>
      <c r="R369" s="3">
        <v>0</v>
      </c>
      <c r="S369" s="3">
        <v>0</v>
      </c>
      <c r="T369" s="3" t="s">
        <v>443</v>
      </c>
      <c r="U369" s="3" t="s">
        <v>37</v>
      </c>
      <c r="V369" s="3" t="s">
        <v>267</v>
      </c>
      <c r="W369" s="3" t="s">
        <v>145</v>
      </c>
      <c r="X369" s="3" t="s">
        <v>179</v>
      </c>
      <c r="Y369" s="3" t="s">
        <v>273</v>
      </c>
      <c r="Z369" s="3" t="s">
        <v>274</v>
      </c>
      <c r="AA369" s="3" t="s">
        <v>275</v>
      </c>
      <c r="AB369" s="3" t="s">
        <v>78</v>
      </c>
      <c r="AC369" s="3" t="s">
        <v>66</v>
      </c>
      <c r="AD369" s="3">
        <v>0</v>
      </c>
    </row>
    <row r="370" spans="1:30" x14ac:dyDescent="0.3">
      <c r="A370" s="3">
        <v>364</v>
      </c>
      <c r="B370" s="3" t="s">
        <v>271</v>
      </c>
      <c r="C370" s="3" t="s">
        <v>267</v>
      </c>
      <c r="D370" s="3" t="s">
        <v>31</v>
      </c>
      <c r="E370" s="3" t="s">
        <v>171</v>
      </c>
      <c r="F370" s="12">
        <v>45838</v>
      </c>
      <c r="G370" s="3">
        <v>2025</v>
      </c>
      <c r="H370" s="3" t="s">
        <v>33</v>
      </c>
      <c r="I370" s="3" t="s">
        <v>404</v>
      </c>
      <c r="J370" s="3">
        <v>1</v>
      </c>
      <c r="K370" s="3">
        <v>33279</v>
      </c>
      <c r="L370" s="3">
        <v>31244</v>
      </c>
      <c r="M370" s="3">
        <f t="shared" si="51"/>
        <v>0.93885032603143126</v>
      </c>
      <c r="N370" s="3">
        <f t="shared" si="52"/>
        <v>0.93885032603143126</v>
      </c>
      <c r="O370" s="3" t="s">
        <v>35</v>
      </c>
      <c r="P370" s="3" t="s">
        <v>35</v>
      </c>
      <c r="Q370" s="3" t="str">
        <f t="shared" si="50"/>
        <v>364-2025-06-30</v>
      </c>
      <c r="R370" s="3">
        <v>0</v>
      </c>
      <c r="S370" s="3">
        <v>0</v>
      </c>
      <c r="T370" s="3" t="s">
        <v>31</v>
      </c>
      <c r="U370" s="3" t="s">
        <v>37</v>
      </c>
      <c r="V370" s="3" t="s">
        <v>267</v>
      </c>
      <c r="W370" s="3" t="s">
        <v>145</v>
      </c>
      <c r="X370" s="3" t="s">
        <v>179</v>
      </c>
      <c r="Y370" s="3" t="s">
        <v>273</v>
      </c>
      <c r="Z370" s="3" t="s">
        <v>274</v>
      </c>
      <c r="AA370" s="3" t="s">
        <v>275</v>
      </c>
      <c r="AB370" s="3" t="s">
        <v>78</v>
      </c>
      <c r="AC370" s="3" t="s">
        <v>66</v>
      </c>
      <c r="AD370" s="3">
        <v>0</v>
      </c>
    </row>
    <row r="371" spans="1:30" x14ac:dyDescent="0.3">
      <c r="A371" s="3">
        <v>364</v>
      </c>
      <c r="B371" s="3" t="s">
        <v>271</v>
      </c>
      <c r="C371" s="3" t="s">
        <v>267</v>
      </c>
      <c r="D371" s="3" t="s">
        <v>31</v>
      </c>
      <c r="E371" s="3" t="s">
        <v>171</v>
      </c>
      <c r="F371" s="12">
        <v>46022</v>
      </c>
      <c r="G371" s="3">
        <v>2025</v>
      </c>
      <c r="H371" s="3" t="s">
        <v>44</v>
      </c>
      <c r="I371" s="3" t="s">
        <v>465</v>
      </c>
      <c r="J371" s="3">
        <v>2</v>
      </c>
      <c r="K371" s="3">
        <v>49918</v>
      </c>
      <c r="L371" s="3">
        <v>38989</v>
      </c>
      <c r="M371" s="3">
        <f t="shared" si="51"/>
        <v>0.78106093994150405</v>
      </c>
      <c r="N371" s="3">
        <f t="shared" si="52"/>
        <v>0.78106093994150405</v>
      </c>
      <c r="O371" s="3" t="s">
        <v>35</v>
      </c>
      <c r="P371" s="3" t="s">
        <v>35</v>
      </c>
      <c r="Q371" s="3" t="str">
        <f t="shared" si="50"/>
        <v>364-2025-12-31</v>
      </c>
      <c r="R371" s="3">
        <v>0</v>
      </c>
      <c r="S371" s="3">
        <v>0</v>
      </c>
      <c r="T371" s="3" t="s">
        <v>31</v>
      </c>
      <c r="U371" s="3" t="s">
        <v>37</v>
      </c>
      <c r="V371" s="3" t="s">
        <v>267</v>
      </c>
      <c r="W371" s="3" t="s">
        <v>145</v>
      </c>
      <c r="X371" s="3" t="s">
        <v>179</v>
      </c>
      <c r="Y371" s="3" t="s">
        <v>273</v>
      </c>
      <c r="Z371" s="3" t="s">
        <v>274</v>
      </c>
      <c r="AA371" s="3" t="s">
        <v>275</v>
      </c>
      <c r="AB371" s="3" t="s">
        <v>78</v>
      </c>
      <c r="AC371" s="3" t="s">
        <v>66</v>
      </c>
      <c r="AD371" s="3">
        <v>0</v>
      </c>
    </row>
    <row r="372" spans="1:30" x14ac:dyDescent="0.3">
      <c r="A372" s="3">
        <v>367</v>
      </c>
      <c r="B372" s="3" t="s">
        <v>481</v>
      </c>
      <c r="C372" s="3" t="s">
        <v>267</v>
      </c>
      <c r="D372" s="3" t="s">
        <v>66</v>
      </c>
      <c r="E372" s="3" t="s">
        <v>32</v>
      </c>
      <c r="F372" s="12">
        <v>44926</v>
      </c>
      <c r="G372" s="3">
        <v>2022</v>
      </c>
      <c r="H372" s="3" t="s">
        <v>44</v>
      </c>
      <c r="I372" s="3" t="s">
        <v>45</v>
      </c>
      <c r="J372" s="3"/>
      <c r="K372" s="3">
        <v>5.7</v>
      </c>
      <c r="L372" s="3">
        <v>6.7</v>
      </c>
      <c r="M372" s="3">
        <f t="shared" si="51"/>
        <v>1.1754385964912282</v>
      </c>
      <c r="N372" s="3">
        <f>+L372/K372</f>
        <v>1.1754385964912282</v>
      </c>
      <c r="O372" s="3" t="s">
        <v>58</v>
      </c>
      <c r="P372" s="3" t="s">
        <v>58</v>
      </c>
      <c r="Q372" s="3" t="str">
        <f t="shared" si="50"/>
        <v>367-2022-12-31</v>
      </c>
      <c r="R372" s="3">
        <v>1</v>
      </c>
      <c r="S372" s="3">
        <v>1</v>
      </c>
      <c r="T372" s="3" t="s">
        <v>443</v>
      </c>
      <c r="U372" s="3" t="s">
        <v>37</v>
      </c>
      <c r="V372" s="3" t="s">
        <v>267</v>
      </c>
      <c r="W372" s="3" t="s">
        <v>145</v>
      </c>
      <c r="X372" s="3" t="s">
        <v>179</v>
      </c>
      <c r="Y372" s="3" t="s">
        <v>281</v>
      </c>
      <c r="Z372" s="3" t="s">
        <v>41</v>
      </c>
      <c r="AA372" s="3" t="s">
        <v>42</v>
      </c>
      <c r="AB372" s="3" t="s">
        <v>43</v>
      </c>
      <c r="AC372" s="3" t="s">
        <v>66</v>
      </c>
      <c r="AD372" s="3">
        <v>0</v>
      </c>
    </row>
    <row r="373" spans="1:30" x14ac:dyDescent="0.3">
      <c r="A373" s="3">
        <v>367</v>
      </c>
      <c r="B373" s="3" t="s">
        <v>481</v>
      </c>
      <c r="C373" s="3" t="s">
        <v>267</v>
      </c>
      <c r="D373" s="3" t="s">
        <v>66</v>
      </c>
      <c r="E373" s="3" t="s">
        <v>32</v>
      </c>
      <c r="F373" s="12">
        <v>45291</v>
      </c>
      <c r="G373" s="3">
        <v>2023</v>
      </c>
      <c r="H373" s="3" t="s">
        <v>44</v>
      </c>
      <c r="I373" s="3" t="s">
        <v>49</v>
      </c>
      <c r="J373" s="3">
        <v>2</v>
      </c>
      <c r="K373" s="3">
        <v>5</v>
      </c>
      <c r="L373" s="3">
        <v>6.25</v>
      </c>
      <c r="M373" s="3">
        <f t="shared" si="51"/>
        <v>1.25</v>
      </c>
      <c r="N373" s="3">
        <f t="shared" ref="N373:N377" si="53">+L373/K373</f>
        <v>1.25</v>
      </c>
      <c r="O373" s="3" t="s">
        <v>58</v>
      </c>
      <c r="P373" s="3" t="s">
        <v>58</v>
      </c>
      <c r="Q373" s="3" t="str">
        <f t="shared" si="50"/>
        <v>367-2023-12-31</v>
      </c>
      <c r="R373" s="3">
        <v>2</v>
      </c>
      <c r="S373" s="3">
        <v>2</v>
      </c>
      <c r="T373" s="3" t="s">
        <v>31</v>
      </c>
      <c r="U373" s="3" t="s">
        <v>37</v>
      </c>
      <c r="V373" s="3" t="s">
        <v>267</v>
      </c>
      <c r="W373" s="3" t="s">
        <v>145</v>
      </c>
      <c r="X373" s="3" t="s">
        <v>179</v>
      </c>
      <c r="Y373" s="3" t="s">
        <v>281</v>
      </c>
      <c r="Z373" s="3" t="s">
        <v>41</v>
      </c>
      <c r="AA373" s="3" t="s">
        <v>42</v>
      </c>
      <c r="AB373" s="3" t="s">
        <v>43</v>
      </c>
      <c r="AC373" s="3" t="s">
        <v>66</v>
      </c>
      <c r="AD373" s="3">
        <v>0</v>
      </c>
    </row>
    <row r="374" spans="1:30" x14ac:dyDescent="0.3">
      <c r="A374" s="3">
        <v>367</v>
      </c>
      <c r="B374" s="3" t="s">
        <v>481</v>
      </c>
      <c r="C374" s="3" t="s">
        <v>267</v>
      </c>
      <c r="D374" s="3" t="s">
        <v>66</v>
      </c>
      <c r="E374" s="3" t="s">
        <v>32</v>
      </c>
      <c r="F374" s="12">
        <v>45291</v>
      </c>
      <c r="G374" s="3">
        <v>2023</v>
      </c>
      <c r="H374" s="3" t="s">
        <v>44</v>
      </c>
      <c r="I374" s="3" t="s">
        <v>49</v>
      </c>
      <c r="J374" s="3"/>
      <c r="K374" s="3">
        <v>5</v>
      </c>
      <c r="L374" s="3">
        <v>6.25</v>
      </c>
      <c r="M374" s="3">
        <f t="shared" si="51"/>
        <v>1.25</v>
      </c>
      <c r="N374" s="3">
        <f t="shared" si="53"/>
        <v>1.25</v>
      </c>
      <c r="O374" s="3" t="s">
        <v>58</v>
      </c>
      <c r="P374" s="3" t="s">
        <v>58</v>
      </c>
      <c r="Q374" s="3" t="str">
        <f t="shared" si="50"/>
        <v>367-2023-12-31</v>
      </c>
      <c r="R374" s="3">
        <v>0</v>
      </c>
      <c r="S374" s="3">
        <v>2</v>
      </c>
      <c r="T374" s="3" t="s">
        <v>443</v>
      </c>
      <c r="U374" s="3" t="s">
        <v>37</v>
      </c>
      <c r="V374" s="3" t="s">
        <v>267</v>
      </c>
      <c r="W374" s="3" t="s">
        <v>145</v>
      </c>
      <c r="X374" s="3" t="s">
        <v>179</v>
      </c>
      <c r="Y374" s="3" t="s">
        <v>281</v>
      </c>
      <c r="Z374" s="3" t="s">
        <v>41</v>
      </c>
      <c r="AA374" s="3" t="s">
        <v>42</v>
      </c>
      <c r="AB374" s="3" t="s">
        <v>43</v>
      </c>
      <c r="AC374" s="3" t="s">
        <v>66</v>
      </c>
      <c r="AD374" s="3">
        <v>0</v>
      </c>
    </row>
    <row r="375" spans="1:30" x14ac:dyDescent="0.3">
      <c r="A375" s="3">
        <v>367</v>
      </c>
      <c r="B375" s="3" t="s">
        <v>481</v>
      </c>
      <c r="C375" s="3" t="s">
        <v>267</v>
      </c>
      <c r="D375" s="3" t="s">
        <v>66</v>
      </c>
      <c r="E375" s="3" t="s">
        <v>32</v>
      </c>
      <c r="F375" s="12">
        <v>45657</v>
      </c>
      <c r="G375" s="3">
        <v>2024</v>
      </c>
      <c r="H375" s="3" t="s">
        <v>44</v>
      </c>
      <c r="I375" s="3" t="s">
        <v>53</v>
      </c>
      <c r="J375" s="3">
        <v>2</v>
      </c>
      <c r="K375" s="3">
        <v>5</v>
      </c>
      <c r="L375" s="3">
        <v>4.96</v>
      </c>
      <c r="M375" s="3">
        <f t="shared" si="51"/>
        <v>0.99199999999999999</v>
      </c>
      <c r="N375" s="3">
        <f t="shared" si="53"/>
        <v>0.99199999999999999</v>
      </c>
      <c r="O375" s="3" t="s">
        <v>58</v>
      </c>
      <c r="P375" s="3" t="s">
        <v>58</v>
      </c>
      <c r="Q375" s="3" t="str">
        <f t="shared" si="50"/>
        <v>367-2024-12-31</v>
      </c>
      <c r="R375" s="3">
        <v>2</v>
      </c>
      <c r="S375" s="3">
        <v>2</v>
      </c>
      <c r="T375" s="3" t="s">
        <v>31</v>
      </c>
      <c r="U375" s="3" t="s">
        <v>37</v>
      </c>
      <c r="V375" s="3" t="s">
        <v>267</v>
      </c>
      <c r="W375" s="3" t="s">
        <v>145</v>
      </c>
      <c r="X375" s="3" t="s">
        <v>179</v>
      </c>
      <c r="Y375" s="3" t="s">
        <v>281</v>
      </c>
      <c r="Z375" s="3" t="s">
        <v>41</v>
      </c>
      <c r="AA375" s="3" t="s">
        <v>42</v>
      </c>
      <c r="AB375" s="3" t="s">
        <v>43</v>
      </c>
      <c r="AC375" s="3" t="s">
        <v>66</v>
      </c>
      <c r="AD375" s="3">
        <v>0</v>
      </c>
    </row>
    <row r="376" spans="1:30" x14ac:dyDescent="0.3">
      <c r="A376" s="3">
        <v>367</v>
      </c>
      <c r="B376" s="3" t="s">
        <v>481</v>
      </c>
      <c r="C376" s="3" t="s">
        <v>267</v>
      </c>
      <c r="D376" s="3" t="s">
        <v>66</v>
      </c>
      <c r="E376" s="3" t="s">
        <v>32</v>
      </c>
      <c r="F376" s="12">
        <v>45657</v>
      </c>
      <c r="G376" s="3">
        <v>2024</v>
      </c>
      <c r="H376" s="3" t="s">
        <v>44</v>
      </c>
      <c r="I376" s="3" t="s">
        <v>53</v>
      </c>
      <c r="J376" s="3"/>
      <c r="K376" s="3">
        <v>5</v>
      </c>
      <c r="L376" s="3">
        <v>4.96</v>
      </c>
      <c r="M376" s="3">
        <f t="shared" si="51"/>
        <v>0.99199999999999999</v>
      </c>
      <c r="N376" s="3">
        <f t="shared" si="53"/>
        <v>0.99199999999999999</v>
      </c>
      <c r="O376" s="3" t="s">
        <v>58</v>
      </c>
      <c r="P376" s="3" t="s">
        <v>58</v>
      </c>
      <c r="Q376" s="3" t="str">
        <f t="shared" si="50"/>
        <v>367-2024-12-31</v>
      </c>
      <c r="R376" s="3">
        <v>0</v>
      </c>
      <c r="S376" s="3">
        <v>2</v>
      </c>
      <c r="T376" s="3" t="s">
        <v>443</v>
      </c>
      <c r="U376" s="3" t="s">
        <v>37</v>
      </c>
      <c r="V376" s="3" t="s">
        <v>267</v>
      </c>
      <c r="W376" s="3" t="s">
        <v>145</v>
      </c>
      <c r="X376" s="3" t="s">
        <v>179</v>
      </c>
      <c r="Y376" s="3" t="s">
        <v>281</v>
      </c>
      <c r="Z376" s="3" t="s">
        <v>41</v>
      </c>
      <c r="AA376" s="3" t="s">
        <v>42</v>
      </c>
      <c r="AB376" s="3" t="s">
        <v>43</v>
      </c>
      <c r="AC376" s="3" t="s">
        <v>66</v>
      </c>
      <c r="AD376" s="3">
        <v>0</v>
      </c>
    </row>
    <row r="377" spans="1:30" x14ac:dyDescent="0.3">
      <c r="A377" s="3">
        <v>367</v>
      </c>
      <c r="B377" s="3" t="s">
        <v>481</v>
      </c>
      <c r="C377" s="3" t="s">
        <v>267</v>
      </c>
      <c r="D377" s="3" t="s">
        <v>66</v>
      </c>
      <c r="E377" s="3" t="s">
        <v>32</v>
      </c>
      <c r="F377" s="12">
        <v>46022</v>
      </c>
      <c r="G377" s="3">
        <v>2025</v>
      </c>
      <c r="H377" s="3" t="s">
        <v>44</v>
      </c>
      <c r="I377" s="3" t="s">
        <v>465</v>
      </c>
      <c r="J377" s="3">
        <v>2</v>
      </c>
      <c r="K377" s="3">
        <v>5</v>
      </c>
      <c r="L377" s="3">
        <v>3.82</v>
      </c>
      <c r="M377" s="3">
        <f t="shared" si="51"/>
        <v>0.76400000000000001</v>
      </c>
      <c r="N377" s="3">
        <f t="shared" si="53"/>
        <v>0.76400000000000001</v>
      </c>
      <c r="O377" s="3" t="s">
        <v>58</v>
      </c>
      <c r="P377" s="3" t="s">
        <v>58</v>
      </c>
      <c r="Q377" s="3" t="str">
        <f t="shared" si="50"/>
        <v>367-2025-12-31</v>
      </c>
      <c r="R377" s="3">
        <v>1</v>
      </c>
      <c r="S377" s="3">
        <v>2</v>
      </c>
      <c r="T377" s="3" t="s">
        <v>31</v>
      </c>
      <c r="U377" s="3" t="s">
        <v>37</v>
      </c>
      <c r="V377" s="3" t="s">
        <v>267</v>
      </c>
      <c r="W377" s="3" t="s">
        <v>145</v>
      </c>
      <c r="X377" s="3" t="s">
        <v>179</v>
      </c>
      <c r="Y377" s="3" t="s">
        <v>281</v>
      </c>
      <c r="Z377" s="3" t="s">
        <v>41</v>
      </c>
      <c r="AA377" s="3" t="s">
        <v>42</v>
      </c>
      <c r="AB377" s="3" t="s">
        <v>43</v>
      </c>
      <c r="AC377" s="3" t="s">
        <v>66</v>
      </c>
      <c r="AD377" s="3">
        <v>0</v>
      </c>
    </row>
    <row r="378" spans="1:30" x14ac:dyDescent="0.3">
      <c r="A378" s="3">
        <v>369</v>
      </c>
      <c r="B378" s="3" t="s">
        <v>283</v>
      </c>
      <c r="C378" s="3" t="s">
        <v>267</v>
      </c>
      <c r="D378" s="3" t="s">
        <v>31</v>
      </c>
      <c r="E378" s="3" t="s">
        <v>32</v>
      </c>
      <c r="F378" s="12">
        <v>45107</v>
      </c>
      <c r="G378" s="3">
        <v>2023</v>
      </c>
      <c r="H378" s="3" t="s">
        <v>33</v>
      </c>
      <c r="I378" s="3" t="s">
        <v>47</v>
      </c>
      <c r="J378" s="3">
        <v>1</v>
      </c>
      <c r="K378" s="3"/>
      <c r="L378" s="3">
        <v>78</v>
      </c>
      <c r="M378" s="3"/>
      <c r="N378" s="3"/>
      <c r="O378" s="3" t="s">
        <v>284</v>
      </c>
      <c r="P378" s="3" t="s">
        <v>35</v>
      </c>
      <c r="Q378" s="3" t="str">
        <f t="shared" si="50"/>
        <v>369-2023-06-30</v>
      </c>
      <c r="R378" s="3">
        <v>0</v>
      </c>
      <c r="S378" s="3">
        <v>0</v>
      </c>
      <c r="T378" s="3" t="s">
        <v>31</v>
      </c>
      <c r="U378" s="3" t="s">
        <v>37</v>
      </c>
      <c r="V378" s="3" t="s">
        <v>267</v>
      </c>
      <c r="W378" s="3" t="s">
        <v>145</v>
      </c>
      <c r="X378" s="3" t="s">
        <v>179</v>
      </c>
      <c r="Y378" s="3" t="s">
        <v>273</v>
      </c>
      <c r="Z378" s="3" t="s">
        <v>41</v>
      </c>
      <c r="AA378" s="3" t="s">
        <v>42</v>
      </c>
      <c r="AB378" s="3" t="s">
        <v>78</v>
      </c>
      <c r="AC378" s="3" t="s">
        <v>66</v>
      </c>
      <c r="AD378" s="3">
        <v>0</v>
      </c>
    </row>
    <row r="379" spans="1:30" x14ac:dyDescent="0.3">
      <c r="A379" s="3">
        <v>369</v>
      </c>
      <c r="B379" s="3" t="s">
        <v>283</v>
      </c>
      <c r="C379" s="3" t="s">
        <v>267</v>
      </c>
      <c r="D379" s="3" t="s">
        <v>31</v>
      </c>
      <c r="E379" s="3" t="s">
        <v>32</v>
      </c>
      <c r="F379" s="12">
        <v>45291</v>
      </c>
      <c r="G379" s="3">
        <v>2023</v>
      </c>
      <c r="H379" s="3" t="s">
        <v>44</v>
      </c>
      <c r="I379" s="3" t="s">
        <v>49</v>
      </c>
      <c r="J379" s="3">
        <v>2</v>
      </c>
      <c r="K379" s="3"/>
      <c r="L379" s="3">
        <v>96</v>
      </c>
      <c r="M379" s="3"/>
      <c r="N379" s="3"/>
      <c r="O379" s="3" t="s">
        <v>284</v>
      </c>
      <c r="P379" s="3" t="s">
        <v>35</v>
      </c>
      <c r="Q379" s="3" t="str">
        <f t="shared" si="50"/>
        <v>369-2023-12-31</v>
      </c>
      <c r="R379" s="3">
        <v>0</v>
      </c>
      <c r="S379" s="3">
        <v>0</v>
      </c>
      <c r="T379" s="3" t="s">
        <v>31</v>
      </c>
      <c r="U379" s="3" t="s">
        <v>37</v>
      </c>
      <c r="V379" s="3" t="s">
        <v>267</v>
      </c>
      <c r="W379" s="3" t="s">
        <v>145</v>
      </c>
      <c r="X379" s="3" t="s">
        <v>179</v>
      </c>
      <c r="Y379" s="3" t="s">
        <v>273</v>
      </c>
      <c r="Z379" s="3" t="s">
        <v>41</v>
      </c>
      <c r="AA379" s="3" t="s">
        <v>42</v>
      </c>
      <c r="AB379" s="3" t="s">
        <v>78</v>
      </c>
      <c r="AC379" s="3" t="s">
        <v>66</v>
      </c>
      <c r="AD379" s="3">
        <v>0</v>
      </c>
    </row>
    <row r="380" spans="1:30" x14ac:dyDescent="0.3">
      <c r="A380" s="3">
        <v>369</v>
      </c>
      <c r="B380" s="3" t="s">
        <v>283</v>
      </c>
      <c r="C380" s="3" t="s">
        <v>267</v>
      </c>
      <c r="D380" s="3" t="s">
        <v>31</v>
      </c>
      <c r="E380" s="3" t="s">
        <v>32</v>
      </c>
      <c r="F380" s="12">
        <v>45291</v>
      </c>
      <c r="G380" s="3">
        <v>2023</v>
      </c>
      <c r="H380" s="3" t="s">
        <v>44</v>
      </c>
      <c r="I380" s="3" t="s">
        <v>49</v>
      </c>
      <c r="J380" s="3"/>
      <c r="K380" s="3"/>
      <c r="L380" s="3">
        <v>174</v>
      </c>
      <c r="M380" s="3"/>
      <c r="N380" s="3"/>
      <c r="O380" s="3" t="s">
        <v>284</v>
      </c>
      <c r="P380" s="3" t="s">
        <v>35</v>
      </c>
      <c r="Q380" s="3" t="str">
        <f t="shared" si="50"/>
        <v>369-2023-12-31</v>
      </c>
      <c r="R380" s="3">
        <v>0</v>
      </c>
      <c r="S380" s="3">
        <v>0</v>
      </c>
      <c r="T380" s="3" t="s">
        <v>443</v>
      </c>
      <c r="U380" s="3" t="s">
        <v>37</v>
      </c>
      <c r="V380" s="3" t="s">
        <v>267</v>
      </c>
      <c r="W380" s="3" t="s">
        <v>145</v>
      </c>
      <c r="X380" s="3" t="s">
        <v>179</v>
      </c>
      <c r="Y380" s="3" t="s">
        <v>273</v>
      </c>
      <c r="Z380" s="3" t="s">
        <v>41</v>
      </c>
      <c r="AA380" s="3" t="s">
        <v>42</v>
      </c>
      <c r="AB380" s="3" t="s">
        <v>78</v>
      </c>
      <c r="AC380" s="3" t="s">
        <v>66</v>
      </c>
      <c r="AD380" s="3">
        <v>0</v>
      </c>
    </row>
    <row r="381" spans="1:30" x14ac:dyDescent="0.3">
      <c r="A381" s="3">
        <v>369</v>
      </c>
      <c r="B381" s="3" t="s">
        <v>283</v>
      </c>
      <c r="C381" s="3" t="s">
        <v>267</v>
      </c>
      <c r="D381" s="3" t="s">
        <v>31</v>
      </c>
      <c r="E381" s="3" t="s">
        <v>32</v>
      </c>
      <c r="F381" s="12">
        <v>45473</v>
      </c>
      <c r="G381" s="3">
        <v>2024</v>
      </c>
      <c r="H381" s="3" t="s">
        <v>33</v>
      </c>
      <c r="I381" s="3" t="s">
        <v>51</v>
      </c>
      <c r="J381" s="3">
        <v>1</v>
      </c>
      <c r="K381" s="3">
        <v>80</v>
      </c>
      <c r="L381" s="3">
        <v>61</v>
      </c>
      <c r="M381" s="3">
        <f>+L381/K381</f>
        <v>0.76249999999999996</v>
      </c>
      <c r="N381" s="3">
        <f t="shared" ref="N381:N393" si="54">+L381/K381</f>
        <v>0.76249999999999996</v>
      </c>
      <c r="O381" s="3" t="s">
        <v>35</v>
      </c>
      <c r="P381" s="3" t="s">
        <v>35</v>
      </c>
      <c r="Q381" s="3" t="str">
        <f t="shared" si="50"/>
        <v>369-2024-06-30</v>
      </c>
      <c r="R381" s="3">
        <v>0</v>
      </c>
      <c r="S381" s="3">
        <v>0</v>
      </c>
      <c r="T381" s="3" t="s">
        <v>31</v>
      </c>
      <c r="U381" s="3" t="s">
        <v>37</v>
      </c>
      <c r="V381" s="3" t="s">
        <v>267</v>
      </c>
      <c r="W381" s="3" t="s">
        <v>145</v>
      </c>
      <c r="X381" s="3" t="s">
        <v>179</v>
      </c>
      <c r="Y381" s="3" t="s">
        <v>273</v>
      </c>
      <c r="Z381" s="3" t="s">
        <v>41</v>
      </c>
      <c r="AA381" s="3" t="s">
        <v>42</v>
      </c>
      <c r="AB381" s="3" t="s">
        <v>78</v>
      </c>
      <c r="AC381" s="3" t="s">
        <v>66</v>
      </c>
      <c r="AD381" s="3">
        <v>0</v>
      </c>
    </row>
    <row r="382" spans="1:30" x14ac:dyDescent="0.3">
      <c r="A382" s="3">
        <v>369</v>
      </c>
      <c r="B382" s="3" t="s">
        <v>283</v>
      </c>
      <c r="C382" s="3" t="s">
        <v>267</v>
      </c>
      <c r="D382" s="3" t="s">
        <v>31</v>
      </c>
      <c r="E382" s="3" t="s">
        <v>32</v>
      </c>
      <c r="F382" s="12">
        <v>45657</v>
      </c>
      <c r="G382" s="3">
        <v>2024</v>
      </c>
      <c r="H382" s="3" t="s">
        <v>44</v>
      </c>
      <c r="I382" s="3" t="s">
        <v>53</v>
      </c>
      <c r="J382" s="3">
        <v>2</v>
      </c>
      <c r="K382" s="3">
        <v>108</v>
      </c>
      <c r="L382" s="3">
        <v>77</v>
      </c>
      <c r="M382" s="3">
        <f t="shared" ref="M382:M385" si="55">+L382/K382</f>
        <v>0.71296296296296291</v>
      </c>
      <c r="N382" s="3">
        <f t="shared" si="54"/>
        <v>0.71296296296296291</v>
      </c>
      <c r="O382" s="3" t="s">
        <v>35</v>
      </c>
      <c r="P382" s="3" t="s">
        <v>35</v>
      </c>
      <c r="Q382" s="3" t="str">
        <f t="shared" si="50"/>
        <v>369-2024-12-31</v>
      </c>
      <c r="R382" s="3">
        <v>0</v>
      </c>
      <c r="S382" s="3">
        <v>0</v>
      </c>
      <c r="T382" s="3" t="s">
        <v>31</v>
      </c>
      <c r="U382" s="3" t="s">
        <v>37</v>
      </c>
      <c r="V382" s="3" t="s">
        <v>267</v>
      </c>
      <c r="W382" s="3" t="s">
        <v>145</v>
      </c>
      <c r="X382" s="3" t="s">
        <v>179</v>
      </c>
      <c r="Y382" s="3" t="s">
        <v>273</v>
      </c>
      <c r="Z382" s="3" t="s">
        <v>41</v>
      </c>
      <c r="AA382" s="3" t="s">
        <v>42</v>
      </c>
      <c r="AB382" s="3" t="s">
        <v>78</v>
      </c>
      <c r="AC382" s="3" t="s">
        <v>66</v>
      </c>
      <c r="AD382" s="3">
        <v>0</v>
      </c>
    </row>
    <row r="383" spans="1:30" x14ac:dyDescent="0.3">
      <c r="A383" s="3">
        <v>369</v>
      </c>
      <c r="B383" s="3" t="s">
        <v>283</v>
      </c>
      <c r="C383" s="3" t="s">
        <v>267</v>
      </c>
      <c r="D383" s="3" t="s">
        <v>31</v>
      </c>
      <c r="E383" s="3" t="s">
        <v>32</v>
      </c>
      <c r="F383" s="12">
        <v>45657</v>
      </c>
      <c r="G383" s="3">
        <v>2024</v>
      </c>
      <c r="H383" s="3" t="s">
        <v>44</v>
      </c>
      <c r="I383" s="3" t="s">
        <v>53</v>
      </c>
      <c r="J383" s="3"/>
      <c r="K383" s="3">
        <v>188</v>
      </c>
      <c r="L383" s="3">
        <v>138</v>
      </c>
      <c r="M383" s="3">
        <f t="shared" si="55"/>
        <v>0.73404255319148937</v>
      </c>
      <c r="N383" s="3">
        <f t="shared" si="54"/>
        <v>0.73404255319148937</v>
      </c>
      <c r="O383" s="3" t="s">
        <v>35</v>
      </c>
      <c r="P383" s="3" t="s">
        <v>35</v>
      </c>
      <c r="Q383" s="3" t="str">
        <f t="shared" si="50"/>
        <v>369-2024-12-31</v>
      </c>
      <c r="R383" s="3">
        <v>0</v>
      </c>
      <c r="S383" s="3">
        <v>0</v>
      </c>
      <c r="T383" s="3" t="s">
        <v>443</v>
      </c>
      <c r="U383" s="3" t="s">
        <v>37</v>
      </c>
      <c r="V383" s="3" t="s">
        <v>267</v>
      </c>
      <c r="W383" s="3" t="s">
        <v>145</v>
      </c>
      <c r="X383" s="3" t="s">
        <v>179</v>
      </c>
      <c r="Y383" s="3" t="s">
        <v>273</v>
      </c>
      <c r="Z383" s="3" t="s">
        <v>41</v>
      </c>
      <c r="AA383" s="3" t="s">
        <v>42</v>
      </c>
      <c r="AB383" s="3" t="s">
        <v>78</v>
      </c>
      <c r="AC383" s="3" t="s">
        <v>66</v>
      </c>
      <c r="AD383" s="3">
        <v>0</v>
      </c>
    </row>
    <row r="384" spans="1:30" x14ac:dyDescent="0.3">
      <c r="A384" s="3">
        <v>369</v>
      </c>
      <c r="B384" s="3" t="s">
        <v>283</v>
      </c>
      <c r="C384" s="3" t="s">
        <v>267</v>
      </c>
      <c r="D384" s="3" t="s">
        <v>31</v>
      </c>
      <c r="E384" s="3" t="s">
        <v>32</v>
      </c>
      <c r="F384" s="12">
        <v>45838</v>
      </c>
      <c r="G384" s="3">
        <v>2025</v>
      </c>
      <c r="H384" s="3" t="s">
        <v>33</v>
      </c>
      <c r="I384" s="3" t="s">
        <v>404</v>
      </c>
      <c r="J384" s="3">
        <v>1</v>
      </c>
      <c r="K384" s="3">
        <v>81</v>
      </c>
      <c r="L384" s="3">
        <v>72</v>
      </c>
      <c r="M384" s="3">
        <f t="shared" si="55"/>
        <v>0.88888888888888884</v>
      </c>
      <c r="N384" s="3">
        <f t="shared" si="54"/>
        <v>0.88888888888888884</v>
      </c>
      <c r="O384" s="3" t="s">
        <v>35</v>
      </c>
      <c r="P384" s="3" t="s">
        <v>35</v>
      </c>
      <c r="Q384" s="3" t="str">
        <f t="shared" si="50"/>
        <v>369-2025-06-30</v>
      </c>
      <c r="R384" s="3">
        <v>0</v>
      </c>
      <c r="S384" s="3">
        <v>0</v>
      </c>
      <c r="T384" s="3" t="s">
        <v>31</v>
      </c>
      <c r="U384" s="3" t="s">
        <v>37</v>
      </c>
      <c r="V384" s="3" t="s">
        <v>267</v>
      </c>
      <c r="W384" s="3" t="s">
        <v>145</v>
      </c>
      <c r="X384" s="3" t="s">
        <v>179</v>
      </c>
      <c r="Y384" s="3" t="s">
        <v>273</v>
      </c>
      <c r="Z384" s="3" t="s">
        <v>41</v>
      </c>
      <c r="AA384" s="3" t="s">
        <v>42</v>
      </c>
      <c r="AB384" s="3" t="s">
        <v>78</v>
      </c>
      <c r="AC384" s="3" t="s">
        <v>66</v>
      </c>
      <c r="AD384" s="3">
        <v>0</v>
      </c>
    </row>
    <row r="385" spans="1:30" x14ac:dyDescent="0.3">
      <c r="A385" s="3">
        <v>369</v>
      </c>
      <c r="B385" s="3" t="s">
        <v>283</v>
      </c>
      <c r="C385" s="3" t="s">
        <v>267</v>
      </c>
      <c r="D385" s="3" t="s">
        <v>31</v>
      </c>
      <c r="E385" s="3" t="s">
        <v>32</v>
      </c>
      <c r="F385" s="12">
        <v>46022</v>
      </c>
      <c r="G385" s="3">
        <v>2025</v>
      </c>
      <c r="H385" s="3" t="s">
        <v>44</v>
      </c>
      <c r="I385" s="3" t="s">
        <v>465</v>
      </c>
      <c r="J385" s="3">
        <v>2</v>
      </c>
      <c r="K385" s="3">
        <f>98+11</f>
        <v>109</v>
      </c>
      <c r="L385" s="3">
        <f>94+24</f>
        <v>118</v>
      </c>
      <c r="M385" s="3">
        <f t="shared" si="55"/>
        <v>1.0825688073394495</v>
      </c>
      <c r="N385" s="3">
        <f t="shared" si="54"/>
        <v>1.0825688073394495</v>
      </c>
      <c r="O385" s="3" t="s">
        <v>35</v>
      </c>
      <c r="P385" s="3" t="s">
        <v>35</v>
      </c>
      <c r="Q385" s="3" t="str">
        <f t="shared" si="50"/>
        <v>369-2025-12-31</v>
      </c>
      <c r="R385" s="3">
        <v>0</v>
      </c>
      <c r="S385" s="3">
        <v>0</v>
      </c>
      <c r="T385" s="3" t="s">
        <v>31</v>
      </c>
      <c r="U385" s="3" t="s">
        <v>37</v>
      </c>
      <c r="V385" s="3" t="s">
        <v>267</v>
      </c>
      <c r="W385" s="3" t="s">
        <v>145</v>
      </c>
      <c r="X385" s="3" t="s">
        <v>179</v>
      </c>
      <c r="Y385" s="3" t="s">
        <v>273</v>
      </c>
      <c r="Z385" s="3" t="s">
        <v>41</v>
      </c>
      <c r="AA385" s="3" t="s">
        <v>42</v>
      </c>
      <c r="AB385" s="3" t="s">
        <v>78</v>
      </c>
      <c r="AC385" s="3" t="s">
        <v>66</v>
      </c>
      <c r="AD385" s="3">
        <v>0</v>
      </c>
    </row>
    <row r="386" spans="1:30" x14ac:dyDescent="0.3">
      <c r="A386" s="3">
        <v>376</v>
      </c>
      <c r="B386" s="3" t="s">
        <v>473</v>
      </c>
      <c r="C386" s="3" t="s">
        <v>142</v>
      </c>
      <c r="D386" s="3" t="s">
        <v>31</v>
      </c>
      <c r="E386" s="3" t="s">
        <v>32</v>
      </c>
      <c r="F386" s="12">
        <v>44925</v>
      </c>
      <c r="G386" s="3">
        <v>2022</v>
      </c>
      <c r="H386" s="3" t="s">
        <v>44</v>
      </c>
      <c r="I386" s="3" t="s">
        <v>45</v>
      </c>
      <c r="J386" s="3">
        <v>2</v>
      </c>
      <c r="K386" s="3">
        <v>16064</v>
      </c>
      <c r="L386" s="3">
        <v>24140</v>
      </c>
      <c r="M386" s="3">
        <f>+L386/K386</f>
        <v>1.5027390438247012</v>
      </c>
      <c r="N386" s="3">
        <f t="shared" si="54"/>
        <v>1.5027390438247012</v>
      </c>
      <c r="O386" s="3" t="s">
        <v>143</v>
      </c>
      <c r="P386" s="3" t="s">
        <v>143</v>
      </c>
      <c r="Q386" s="3" t="str">
        <f t="shared" si="50"/>
        <v>376-2022-12-30</v>
      </c>
      <c r="R386" s="3">
        <v>0</v>
      </c>
      <c r="S386" s="3">
        <v>0</v>
      </c>
      <c r="T386" s="3" t="s">
        <v>31</v>
      </c>
      <c r="U386" s="3" t="s">
        <v>37</v>
      </c>
      <c r="V386" s="3" t="s">
        <v>142</v>
      </c>
      <c r="W386" s="3" t="s">
        <v>145</v>
      </c>
      <c r="X386" s="3" t="s">
        <v>146</v>
      </c>
      <c r="Y386" s="3" t="s">
        <v>147</v>
      </c>
      <c r="Z386" s="3" t="s">
        <v>63</v>
      </c>
      <c r="AA386" s="3" t="s">
        <v>148</v>
      </c>
      <c r="AB386" s="3" t="s">
        <v>78</v>
      </c>
      <c r="AC386" s="3" t="s">
        <v>66</v>
      </c>
      <c r="AD386" s="3">
        <v>0</v>
      </c>
    </row>
    <row r="387" spans="1:30" x14ac:dyDescent="0.3">
      <c r="A387" s="3">
        <v>376</v>
      </c>
      <c r="B387" s="3" t="s">
        <v>473</v>
      </c>
      <c r="C387" s="3" t="s">
        <v>142</v>
      </c>
      <c r="D387" s="3" t="s">
        <v>31</v>
      </c>
      <c r="E387" s="3" t="s">
        <v>32</v>
      </c>
      <c r="F387" s="12">
        <v>44925</v>
      </c>
      <c r="G387" s="3">
        <v>2022</v>
      </c>
      <c r="H387" s="3" t="s">
        <v>44</v>
      </c>
      <c r="I387" s="3" t="s">
        <v>45</v>
      </c>
      <c r="J387" s="3"/>
      <c r="K387" s="3">
        <v>16064</v>
      </c>
      <c r="L387" s="3">
        <v>24140</v>
      </c>
      <c r="M387" s="3">
        <f t="shared" ref="M387:M393" si="56">+L387/K387</f>
        <v>1.5027390438247012</v>
      </c>
      <c r="N387" s="3">
        <f t="shared" si="54"/>
        <v>1.5027390438247012</v>
      </c>
      <c r="O387" s="3" t="s">
        <v>143</v>
      </c>
      <c r="P387" s="3" t="s">
        <v>143</v>
      </c>
      <c r="Q387" s="3" t="str">
        <f t="shared" ref="Q387:Q450" si="57">A387&amp;"-"&amp;YEAR(F387)&amp;"-"&amp;IF(LEN(MONTH(F387))=1,"0"&amp;MONTH(F387),MONTH(F387))&amp;"-"&amp;IF(LEN(DAY(F387))=1,"0"&amp;DAY(F387),DAY(F387))</f>
        <v>376-2022-12-30</v>
      </c>
      <c r="R387" s="3">
        <v>0</v>
      </c>
      <c r="S387" s="3">
        <v>0</v>
      </c>
      <c r="T387" s="3" t="s">
        <v>443</v>
      </c>
      <c r="U387" s="3" t="s">
        <v>37</v>
      </c>
      <c r="V387" s="3" t="s">
        <v>142</v>
      </c>
      <c r="W387" s="3" t="s">
        <v>145</v>
      </c>
      <c r="X387" s="3" t="s">
        <v>146</v>
      </c>
      <c r="Y387" s="3" t="s">
        <v>147</v>
      </c>
      <c r="Z387" s="3" t="s">
        <v>63</v>
      </c>
      <c r="AA387" s="3" t="s">
        <v>148</v>
      </c>
      <c r="AB387" s="3" t="s">
        <v>78</v>
      </c>
      <c r="AC387" s="3" t="s">
        <v>66</v>
      </c>
      <c r="AD387" s="3">
        <v>0</v>
      </c>
    </row>
    <row r="388" spans="1:30" x14ac:dyDescent="0.3">
      <c r="A388" s="3">
        <v>376</v>
      </c>
      <c r="B388" s="3" t="s">
        <v>473</v>
      </c>
      <c r="C388" s="3" t="s">
        <v>142</v>
      </c>
      <c r="D388" s="3" t="s">
        <v>31</v>
      </c>
      <c r="E388" s="3" t="s">
        <v>32</v>
      </c>
      <c r="F388" s="12">
        <v>45291</v>
      </c>
      <c r="G388" s="3">
        <v>2023</v>
      </c>
      <c r="H388" s="3" t="s">
        <v>44</v>
      </c>
      <c r="I388" s="3" t="s">
        <v>49</v>
      </c>
      <c r="J388" s="3">
        <v>2</v>
      </c>
      <c r="K388" s="3">
        <v>26073.47270271854</v>
      </c>
      <c r="L388" s="3">
        <v>26403.087925999898</v>
      </c>
      <c r="M388" s="3">
        <f t="shared" si="56"/>
        <v>1.0126417845079374</v>
      </c>
      <c r="N388" s="3">
        <f t="shared" si="54"/>
        <v>1.0126417845079374</v>
      </c>
      <c r="O388" s="3" t="s">
        <v>143</v>
      </c>
      <c r="P388" s="3" t="s">
        <v>143</v>
      </c>
      <c r="Q388" s="3" t="str">
        <f t="shared" si="57"/>
        <v>376-2023-12-31</v>
      </c>
      <c r="R388" s="3">
        <v>0</v>
      </c>
      <c r="S388" s="3">
        <v>0</v>
      </c>
      <c r="T388" s="3" t="s">
        <v>31</v>
      </c>
      <c r="U388" s="3" t="s">
        <v>37</v>
      </c>
      <c r="V388" s="3" t="s">
        <v>142</v>
      </c>
      <c r="W388" s="3" t="s">
        <v>145</v>
      </c>
      <c r="X388" s="3" t="s">
        <v>146</v>
      </c>
      <c r="Y388" s="3" t="s">
        <v>147</v>
      </c>
      <c r="Z388" s="3" t="s">
        <v>63</v>
      </c>
      <c r="AA388" s="3" t="s">
        <v>148</v>
      </c>
      <c r="AB388" s="3" t="s">
        <v>78</v>
      </c>
      <c r="AC388" s="3" t="s">
        <v>66</v>
      </c>
      <c r="AD388" s="3">
        <v>0</v>
      </c>
    </row>
    <row r="389" spans="1:30" x14ac:dyDescent="0.3">
      <c r="A389" s="3">
        <v>376</v>
      </c>
      <c r="B389" s="3" t="s">
        <v>473</v>
      </c>
      <c r="C389" s="3" t="s">
        <v>142</v>
      </c>
      <c r="D389" s="3" t="s">
        <v>31</v>
      </c>
      <c r="E389" s="3" t="s">
        <v>32</v>
      </c>
      <c r="F389" s="12">
        <v>45291</v>
      </c>
      <c r="G389" s="3">
        <v>2023</v>
      </c>
      <c r="H389" s="3" t="s">
        <v>44</v>
      </c>
      <c r="I389" s="3" t="s">
        <v>49</v>
      </c>
      <c r="J389" s="3"/>
      <c r="K389" s="3">
        <v>26073.47270271854</v>
      </c>
      <c r="L389" s="3">
        <v>26403.087925999949</v>
      </c>
      <c r="M389" s="3">
        <f t="shared" si="56"/>
        <v>1.0126417845079394</v>
      </c>
      <c r="N389" s="3">
        <f t="shared" si="54"/>
        <v>1.0126417845079394</v>
      </c>
      <c r="O389" s="3" t="s">
        <v>143</v>
      </c>
      <c r="P389" s="3" t="s">
        <v>143</v>
      </c>
      <c r="Q389" s="3" t="str">
        <f t="shared" si="57"/>
        <v>376-2023-12-31</v>
      </c>
      <c r="R389" s="3">
        <v>0</v>
      </c>
      <c r="S389" s="3">
        <v>0</v>
      </c>
      <c r="T389" s="3" t="s">
        <v>443</v>
      </c>
      <c r="U389" s="3" t="s">
        <v>37</v>
      </c>
      <c r="V389" s="3" t="s">
        <v>142</v>
      </c>
      <c r="W389" s="3" t="s">
        <v>145</v>
      </c>
      <c r="X389" s="3" t="s">
        <v>146</v>
      </c>
      <c r="Y389" s="3" t="s">
        <v>147</v>
      </c>
      <c r="Z389" s="3" t="s">
        <v>63</v>
      </c>
      <c r="AA389" s="3" t="s">
        <v>148</v>
      </c>
      <c r="AB389" s="3" t="s">
        <v>78</v>
      </c>
      <c r="AC389" s="3" t="s">
        <v>66</v>
      </c>
      <c r="AD389" s="3">
        <v>0</v>
      </c>
    </row>
    <row r="390" spans="1:30" x14ac:dyDescent="0.3">
      <c r="A390" s="3">
        <v>376</v>
      </c>
      <c r="B390" s="3" t="s">
        <v>473</v>
      </c>
      <c r="C390" s="3" t="s">
        <v>142</v>
      </c>
      <c r="D390" s="3" t="s">
        <v>31</v>
      </c>
      <c r="E390" s="3" t="s">
        <v>32</v>
      </c>
      <c r="F390" s="12">
        <v>45657</v>
      </c>
      <c r="G390" s="3">
        <v>2024</v>
      </c>
      <c r="H390" s="3" t="s">
        <v>44</v>
      </c>
      <c r="I390" s="3" t="s">
        <v>53</v>
      </c>
      <c r="J390" s="3">
        <v>2</v>
      </c>
      <c r="K390" s="3">
        <v>27010.108280834509</v>
      </c>
      <c r="L390" s="3">
        <v>29467.922112</v>
      </c>
      <c r="M390" s="3">
        <f t="shared" si="56"/>
        <v>1.0909960747143497</v>
      </c>
      <c r="N390" s="3">
        <f t="shared" si="54"/>
        <v>1.0909960747143497</v>
      </c>
      <c r="O390" s="3" t="s">
        <v>143</v>
      </c>
      <c r="P390" s="3" t="s">
        <v>143</v>
      </c>
      <c r="Q390" s="3" t="str">
        <f t="shared" si="57"/>
        <v>376-2024-12-31</v>
      </c>
      <c r="R390" s="3">
        <v>0</v>
      </c>
      <c r="S390" s="3">
        <v>0</v>
      </c>
      <c r="T390" s="3" t="s">
        <v>31</v>
      </c>
      <c r="U390" s="3" t="s">
        <v>37</v>
      </c>
      <c r="V390" s="3" t="s">
        <v>142</v>
      </c>
      <c r="W390" s="3" t="s">
        <v>145</v>
      </c>
      <c r="X390" s="3" t="s">
        <v>146</v>
      </c>
      <c r="Y390" s="3" t="s">
        <v>147</v>
      </c>
      <c r="Z390" s="3" t="s">
        <v>63</v>
      </c>
      <c r="AA390" s="3" t="s">
        <v>148</v>
      </c>
      <c r="AB390" s="3" t="s">
        <v>78</v>
      </c>
      <c r="AC390" s="3" t="s">
        <v>66</v>
      </c>
      <c r="AD390" s="3">
        <v>0</v>
      </c>
    </row>
    <row r="391" spans="1:30" x14ac:dyDescent="0.3">
      <c r="A391" s="3">
        <v>376</v>
      </c>
      <c r="B391" s="3" t="s">
        <v>473</v>
      </c>
      <c r="C391" s="3" t="s">
        <v>142</v>
      </c>
      <c r="D391" s="3" t="s">
        <v>31</v>
      </c>
      <c r="E391" s="3" t="s">
        <v>32</v>
      </c>
      <c r="F391" s="12">
        <v>45657</v>
      </c>
      <c r="G391" s="3">
        <v>2024</v>
      </c>
      <c r="H391" s="3" t="s">
        <v>44</v>
      </c>
      <c r="I391" s="3" t="s">
        <v>53</v>
      </c>
      <c r="J391" s="3"/>
      <c r="K391" s="3">
        <v>27010.108280834509</v>
      </c>
      <c r="L391" s="3">
        <v>29467.922112</v>
      </c>
      <c r="M391" s="3">
        <f t="shared" si="56"/>
        <v>1.0909960747143497</v>
      </c>
      <c r="N391" s="3">
        <f t="shared" si="54"/>
        <v>1.0909960747143497</v>
      </c>
      <c r="O391" s="3" t="s">
        <v>143</v>
      </c>
      <c r="P391" s="3" t="s">
        <v>143</v>
      </c>
      <c r="Q391" s="3" t="str">
        <f t="shared" si="57"/>
        <v>376-2024-12-31</v>
      </c>
      <c r="R391" s="3">
        <v>0</v>
      </c>
      <c r="S391" s="3">
        <v>0</v>
      </c>
      <c r="T391" s="3" t="s">
        <v>443</v>
      </c>
      <c r="U391" s="3" t="s">
        <v>37</v>
      </c>
      <c r="V391" s="3" t="s">
        <v>142</v>
      </c>
      <c r="W391" s="3" t="s">
        <v>145</v>
      </c>
      <c r="X391" s="3" t="s">
        <v>146</v>
      </c>
      <c r="Y391" s="3" t="s">
        <v>147</v>
      </c>
      <c r="Z391" s="3" t="s">
        <v>63</v>
      </c>
      <c r="AA391" s="3" t="s">
        <v>148</v>
      </c>
      <c r="AB391" s="3" t="s">
        <v>78</v>
      </c>
      <c r="AC391" s="3" t="s">
        <v>66</v>
      </c>
      <c r="AD391" s="3">
        <v>0</v>
      </c>
    </row>
    <row r="392" spans="1:30" x14ac:dyDescent="0.3">
      <c r="A392" s="3">
        <v>376</v>
      </c>
      <c r="B392" s="3" t="s">
        <v>473</v>
      </c>
      <c r="C392" s="3" t="s">
        <v>142</v>
      </c>
      <c r="D392" s="3" t="s">
        <v>31</v>
      </c>
      <c r="E392" s="3" t="s">
        <v>32</v>
      </c>
      <c r="F392" s="12">
        <v>46022</v>
      </c>
      <c r="G392" s="3">
        <v>2025</v>
      </c>
      <c r="H392" s="3" t="s">
        <v>44</v>
      </c>
      <c r="I392" s="3" t="s">
        <v>465</v>
      </c>
      <c r="J392" s="3">
        <v>2</v>
      </c>
      <c r="K392" s="3">
        <v>32126.483745582696</v>
      </c>
      <c r="L392" s="3">
        <f>32126882709.8297/1000000</f>
        <v>32126.882709829701</v>
      </c>
      <c r="M392" s="3">
        <f t="shared" si="56"/>
        <v>1.0000124185469585</v>
      </c>
      <c r="N392" s="3">
        <f t="shared" si="54"/>
        <v>1.0000124185469585</v>
      </c>
      <c r="O392" s="3" t="s">
        <v>143</v>
      </c>
      <c r="P392" s="3" t="s">
        <v>143</v>
      </c>
      <c r="Q392" s="3" t="str">
        <f t="shared" si="57"/>
        <v>376-2025-12-31</v>
      </c>
      <c r="R392" s="3">
        <v>0</v>
      </c>
      <c r="S392" s="3">
        <v>0</v>
      </c>
      <c r="T392" s="3" t="s">
        <v>31</v>
      </c>
      <c r="U392" s="3" t="s">
        <v>37</v>
      </c>
      <c r="V392" s="3" t="s">
        <v>142</v>
      </c>
      <c r="W392" s="3" t="s">
        <v>145</v>
      </c>
      <c r="X392" s="3" t="s">
        <v>146</v>
      </c>
      <c r="Y392" s="3" t="s">
        <v>147</v>
      </c>
      <c r="Z392" s="3" t="s">
        <v>63</v>
      </c>
      <c r="AA392" s="3" t="s">
        <v>148</v>
      </c>
      <c r="AB392" s="3" t="s">
        <v>78</v>
      </c>
      <c r="AC392" s="3" t="s">
        <v>66</v>
      </c>
      <c r="AD392" s="3">
        <v>0</v>
      </c>
    </row>
    <row r="393" spans="1:30" x14ac:dyDescent="0.3">
      <c r="A393" s="3">
        <v>376</v>
      </c>
      <c r="B393" s="3" t="s">
        <v>473</v>
      </c>
      <c r="C393" s="3" t="s">
        <v>142</v>
      </c>
      <c r="D393" s="3" t="s">
        <v>31</v>
      </c>
      <c r="E393" s="3" t="s">
        <v>32</v>
      </c>
      <c r="F393" s="12">
        <v>46022</v>
      </c>
      <c r="G393" s="3">
        <v>2025</v>
      </c>
      <c r="H393" s="3" t="s">
        <v>44</v>
      </c>
      <c r="I393" s="3" t="s">
        <v>465</v>
      </c>
      <c r="J393" s="3"/>
      <c r="K393" s="3">
        <v>32126.483745582696</v>
      </c>
      <c r="L393" s="3">
        <f>32126882709.8297/1000000</f>
        <v>32126.882709829701</v>
      </c>
      <c r="M393" s="3">
        <f t="shared" si="56"/>
        <v>1.0000124185469585</v>
      </c>
      <c r="N393" s="3">
        <f t="shared" si="54"/>
        <v>1.0000124185469585</v>
      </c>
      <c r="O393" s="3" t="s">
        <v>143</v>
      </c>
      <c r="P393" s="3" t="s">
        <v>143</v>
      </c>
      <c r="Q393" s="3" t="str">
        <f t="shared" si="57"/>
        <v>376-2025-12-31</v>
      </c>
      <c r="R393" s="3">
        <v>0</v>
      </c>
      <c r="S393" s="3">
        <v>0</v>
      </c>
      <c r="T393" s="3" t="s">
        <v>443</v>
      </c>
      <c r="U393" s="3" t="s">
        <v>37</v>
      </c>
      <c r="V393" s="3" t="s">
        <v>142</v>
      </c>
      <c r="W393" s="3" t="s">
        <v>145</v>
      </c>
      <c r="X393" s="3" t="s">
        <v>146</v>
      </c>
      <c r="Y393" s="3" t="s">
        <v>147</v>
      </c>
      <c r="Z393" s="3" t="s">
        <v>63</v>
      </c>
      <c r="AA393" s="3" t="s">
        <v>148</v>
      </c>
      <c r="AB393" s="3" t="s">
        <v>78</v>
      </c>
      <c r="AC393" s="3" t="s">
        <v>66</v>
      </c>
      <c r="AD393" s="3">
        <v>0</v>
      </c>
    </row>
    <row r="394" spans="1:30" x14ac:dyDescent="0.3">
      <c r="A394" s="3">
        <v>377</v>
      </c>
      <c r="B394" s="3" t="s">
        <v>296</v>
      </c>
      <c r="C394" s="3" t="s">
        <v>142</v>
      </c>
      <c r="D394" s="3" t="s">
        <v>31</v>
      </c>
      <c r="E394" s="3" t="s">
        <v>32</v>
      </c>
      <c r="F394" s="12">
        <v>45291</v>
      </c>
      <c r="G394" s="3">
        <v>2023</v>
      </c>
      <c r="H394" s="3" t="s">
        <v>44</v>
      </c>
      <c r="I394" s="3" t="s">
        <v>49</v>
      </c>
      <c r="J394" s="3">
        <v>2</v>
      </c>
      <c r="K394" s="3">
        <v>12518.005306706251</v>
      </c>
      <c r="L394" s="3">
        <v>7607.1384189999999</v>
      </c>
      <c r="M394" s="3">
        <v>1.3</v>
      </c>
      <c r="N394" s="3">
        <v>1.6455603430904591</v>
      </c>
      <c r="O394" s="3" t="s">
        <v>143</v>
      </c>
      <c r="P394" s="3" t="s">
        <v>143</v>
      </c>
      <c r="Q394" s="3" t="str">
        <f t="shared" si="57"/>
        <v>377-2023-12-31</v>
      </c>
      <c r="R394" s="3">
        <v>0</v>
      </c>
      <c r="S394" s="3">
        <v>0</v>
      </c>
      <c r="T394" s="3" t="s">
        <v>31</v>
      </c>
      <c r="U394" s="3" t="s">
        <v>37</v>
      </c>
      <c r="V394" s="3" t="s">
        <v>142</v>
      </c>
      <c r="W394" s="3" t="s">
        <v>145</v>
      </c>
      <c r="X394" s="3" t="s">
        <v>146</v>
      </c>
      <c r="Y394" s="3" t="s">
        <v>147</v>
      </c>
      <c r="Z394" s="3" t="s">
        <v>63</v>
      </c>
      <c r="AA394" s="3" t="s">
        <v>148</v>
      </c>
      <c r="AB394" s="3" t="s">
        <v>78</v>
      </c>
      <c r="AC394" s="3" t="s">
        <v>66</v>
      </c>
      <c r="AD394" s="3">
        <v>0</v>
      </c>
    </row>
    <row r="395" spans="1:30" x14ac:dyDescent="0.3">
      <c r="A395" s="3">
        <v>377</v>
      </c>
      <c r="B395" s="3" t="s">
        <v>296</v>
      </c>
      <c r="C395" s="3" t="s">
        <v>142</v>
      </c>
      <c r="D395" s="3" t="s">
        <v>31</v>
      </c>
      <c r="E395" s="3" t="s">
        <v>32</v>
      </c>
      <c r="F395" s="12">
        <v>45291</v>
      </c>
      <c r="G395" s="3">
        <v>2023</v>
      </c>
      <c r="H395" s="3" t="s">
        <v>44</v>
      </c>
      <c r="I395" s="3" t="s">
        <v>49</v>
      </c>
      <c r="J395" s="3"/>
      <c r="K395" s="3">
        <v>12518.005306706251</v>
      </c>
      <c r="L395" s="3">
        <v>7607.138418999999</v>
      </c>
      <c r="M395" s="3">
        <v>1.3</v>
      </c>
      <c r="N395" s="3">
        <v>1.64556034309046</v>
      </c>
      <c r="O395" s="3" t="s">
        <v>143</v>
      </c>
      <c r="P395" s="3" t="s">
        <v>143</v>
      </c>
      <c r="Q395" s="3" t="str">
        <f t="shared" si="57"/>
        <v>377-2023-12-31</v>
      </c>
      <c r="R395" s="3">
        <v>0</v>
      </c>
      <c r="S395" s="3">
        <v>0</v>
      </c>
      <c r="T395" s="3" t="s">
        <v>443</v>
      </c>
      <c r="U395" s="3" t="s">
        <v>37</v>
      </c>
      <c r="V395" s="3" t="s">
        <v>142</v>
      </c>
      <c r="W395" s="3" t="s">
        <v>145</v>
      </c>
      <c r="X395" s="3" t="s">
        <v>146</v>
      </c>
      <c r="Y395" s="3" t="s">
        <v>147</v>
      </c>
      <c r="Z395" s="3" t="s">
        <v>63</v>
      </c>
      <c r="AA395" s="3" t="s">
        <v>148</v>
      </c>
      <c r="AB395" s="3" t="s">
        <v>78</v>
      </c>
      <c r="AC395" s="3" t="s">
        <v>66</v>
      </c>
      <c r="AD395" s="3">
        <v>0</v>
      </c>
    </row>
    <row r="396" spans="1:30" x14ac:dyDescent="0.3">
      <c r="A396" s="3">
        <v>377</v>
      </c>
      <c r="B396" s="3" t="s">
        <v>296</v>
      </c>
      <c r="C396" s="3" t="s">
        <v>142</v>
      </c>
      <c r="D396" s="3" t="s">
        <v>31</v>
      </c>
      <c r="E396" s="3" t="s">
        <v>32</v>
      </c>
      <c r="F396" s="12">
        <v>45657</v>
      </c>
      <c r="G396" s="3">
        <v>2024</v>
      </c>
      <c r="H396" s="3" t="s">
        <v>44</v>
      </c>
      <c r="I396" s="3" t="s">
        <v>53</v>
      </c>
      <c r="J396" s="3">
        <v>2</v>
      </c>
      <c r="K396" s="3">
        <v>9557.1950106811255</v>
      </c>
      <c r="L396" s="3">
        <v>11947.626618</v>
      </c>
      <c r="M396" s="3">
        <v>1.2501185342192269</v>
      </c>
      <c r="N396" s="3">
        <v>1.2501185342192269</v>
      </c>
      <c r="O396" s="3" t="s">
        <v>143</v>
      </c>
      <c r="P396" s="3" t="s">
        <v>143</v>
      </c>
      <c r="Q396" s="3" t="str">
        <f t="shared" si="57"/>
        <v>377-2024-12-31</v>
      </c>
      <c r="R396" s="3">
        <v>0</v>
      </c>
      <c r="S396" s="3">
        <v>0</v>
      </c>
      <c r="T396" s="3" t="s">
        <v>31</v>
      </c>
      <c r="U396" s="3" t="s">
        <v>37</v>
      </c>
      <c r="V396" s="3" t="s">
        <v>142</v>
      </c>
      <c r="W396" s="3" t="s">
        <v>145</v>
      </c>
      <c r="X396" s="3" t="s">
        <v>146</v>
      </c>
      <c r="Y396" s="3" t="s">
        <v>147</v>
      </c>
      <c r="Z396" s="3" t="s">
        <v>63</v>
      </c>
      <c r="AA396" s="3" t="s">
        <v>148</v>
      </c>
      <c r="AB396" s="3" t="s">
        <v>78</v>
      </c>
      <c r="AC396" s="3" t="s">
        <v>66</v>
      </c>
      <c r="AD396" s="3">
        <v>0</v>
      </c>
    </row>
    <row r="397" spans="1:30" x14ac:dyDescent="0.3">
      <c r="A397" s="3">
        <v>377</v>
      </c>
      <c r="B397" s="3" t="s">
        <v>296</v>
      </c>
      <c r="C397" s="3" t="s">
        <v>142</v>
      </c>
      <c r="D397" s="3" t="s">
        <v>31</v>
      </c>
      <c r="E397" s="3" t="s">
        <v>32</v>
      </c>
      <c r="F397" s="12">
        <v>45657</v>
      </c>
      <c r="G397" s="3">
        <v>2024</v>
      </c>
      <c r="H397" s="3" t="s">
        <v>44</v>
      </c>
      <c r="I397" s="3" t="s">
        <v>53</v>
      </c>
      <c r="J397" s="3"/>
      <c r="K397" s="3">
        <v>9557.1950106811255</v>
      </c>
      <c r="L397" s="3">
        <v>11947.626618</v>
      </c>
      <c r="M397" s="3">
        <v>1.2501185342192269</v>
      </c>
      <c r="N397" s="3">
        <v>1.2501185342192269</v>
      </c>
      <c r="O397" s="3" t="s">
        <v>143</v>
      </c>
      <c r="P397" s="3" t="s">
        <v>143</v>
      </c>
      <c r="Q397" s="3" t="str">
        <f t="shared" si="57"/>
        <v>377-2024-12-31</v>
      </c>
      <c r="R397" s="3">
        <v>0</v>
      </c>
      <c r="S397" s="3">
        <v>0</v>
      </c>
      <c r="T397" s="3" t="s">
        <v>443</v>
      </c>
      <c r="U397" s="3" t="s">
        <v>37</v>
      </c>
      <c r="V397" s="3" t="s">
        <v>142</v>
      </c>
      <c r="W397" s="3" t="s">
        <v>145</v>
      </c>
      <c r="X397" s="3" t="s">
        <v>146</v>
      </c>
      <c r="Y397" s="3" t="s">
        <v>147</v>
      </c>
      <c r="Z397" s="3" t="s">
        <v>63</v>
      </c>
      <c r="AA397" s="3" t="s">
        <v>148</v>
      </c>
      <c r="AB397" s="3" t="s">
        <v>78</v>
      </c>
      <c r="AC397" s="3" t="s">
        <v>66</v>
      </c>
      <c r="AD397" s="3">
        <v>0</v>
      </c>
    </row>
    <row r="398" spans="1:30" x14ac:dyDescent="0.3">
      <c r="A398" s="3">
        <v>377</v>
      </c>
      <c r="B398" s="3" t="s">
        <v>296</v>
      </c>
      <c r="C398" s="3" t="s">
        <v>142</v>
      </c>
      <c r="D398" s="3" t="s">
        <v>31</v>
      </c>
      <c r="E398" s="3" t="s">
        <v>32</v>
      </c>
      <c r="F398" s="12">
        <v>46022</v>
      </c>
      <c r="G398" s="3">
        <v>2025</v>
      </c>
      <c r="H398" s="3" t="s">
        <v>44</v>
      </c>
      <c r="I398" s="3" t="s">
        <v>465</v>
      </c>
      <c r="J398" s="3">
        <v>2</v>
      </c>
      <c r="K398" s="3"/>
      <c r="L398" s="3">
        <v>10285.243493</v>
      </c>
      <c r="M398" s="3"/>
      <c r="N398" s="3"/>
      <c r="O398" s="3" t="s">
        <v>143</v>
      </c>
      <c r="P398" s="3" t="s">
        <v>143</v>
      </c>
      <c r="Q398" s="3" t="str">
        <f t="shared" si="57"/>
        <v>377-2025-12-31</v>
      </c>
      <c r="R398" s="3">
        <v>0</v>
      </c>
      <c r="S398" s="3">
        <v>0</v>
      </c>
      <c r="T398" s="3" t="s">
        <v>31</v>
      </c>
      <c r="U398" s="3" t="s">
        <v>37</v>
      </c>
      <c r="V398" s="3" t="s">
        <v>142</v>
      </c>
      <c r="W398" s="3" t="s">
        <v>145</v>
      </c>
      <c r="X398" s="3" t="s">
        <v>146</v>
      </c>
      <c r="Y398" s="3" t="s">
        <v>147</v>
      </c>
      <c r="Z398" s="3" t="s">
        <v>63</v>
      </c>
      <c r="AA398" s="3" t="s">
        <v>148</v>
      </c>
      <c r="AB398" s="3" t="s">
        <v>78</v>
      </c>
      <c r="AC398" s="3" t="s">
        <v>66</v>
      </c>
      <c r="AD398" s="3">
        <v>0</v>
      </c>
    </row>
    <row r="399" spans="1:30" x14ac:dyDescent="0.3">
      <c r="A399" s="3">
        <v>379</v>
      </c>
      <c r="B399" s="3" t="s">
        <v>301</v>
      </c>
      <c r="C399" s="3" t="s">
        <v>302</v>
      </c>
      <c r="D399" s="3" t="s">
        <v>31</v>
      </c>
      <c r="E399" s="3" t="s">
        <v>32</v>
      </c>
      <c r="F399" s="12">
        <v>43281</v>
      </c>
      <c r="G399" s="3">
        <f t="shared" ref="G399:G410" si="58">YEAR(F399)</f>
        <v>2018</v>
      </c>
      <c r="H399" s="3" t="str">
        <f t="shared" ref="H399:H410" si="59">PROPER(TEXT(F399,"mmmm"))</f>
        <v>Junio</v>
      </c>
      <c r="I399" s="3" t="str">
        <f t="shared" ref="I399:I410" si="60">IF(H399="Junio",G399&amp;"-1",G399&amp;"-2")</f>
        <v>2018-1</v>
      </c>
      <c r="J399" s="3">
        <v>1</v>
      </c>
      <c r="K399" s="3"/>
      <c r="L399" s="11">
        <v>11960</v>
      </c>
      <c r="M399" s="3"/>
      <c r="N399" s="3"/>
      <c r="O399" s="3" t="s">
        <v>35</v>
      </c>
      <c r="P399" s="3" t="s">
        <v>35</v>
      </c>
      <c r="Q399" s="3" t="str">
        <f t="shared" si="57"/>
        <v>379-2018-06-30</v>
      </c>
      <c r="R399" s="3">
        <v>0</v>
      </c>
      <c r="S399" s="3">
        <v>0</v>
      </c>
      <c r="T399" s="3" t="s">
        <v>31</v>
      </c>
      <c r="U399" s="3" t="s">
        <v>37</v>
      </c>
      <c r="V399" s="3" t="s">
        <v>302</v>
      </c>
      <c r="W399" s="3" t="s">
        <v>38</v>
      </c>
      <c r="X399" s="3" t="s">
        <v>39</v>
      </c>
      <c r="Y399" s="3" t="s">
        <v>40</v>
      </c>
      <c r="Z399" s="3" t="s">
        <v>41</v>
      </c>
      <c r="AA399" s="3" t="s">
        <v>42</v>
      </c>
      <c r="AB399" s="3" t="s">
        <v>78</v>
      </c>
      <c r="AC399" s="3" t="s">
        <v>31</v>
      </c>
      <c r="AD399" s="3">
        <v>0</v>
      </c>
    </row>
    <row r="400" spans="1:30" x14ac:dyDescent="0.3">
      <c r="A400" s="3">
        <v>379</v>
      </c>
      <c r="B400" s="3" t="s">
        <v>301</v>
      </c>
      <c r="C400" s="3" t="s">
        <v>302</v>
      </c>
      <c r="D400" s="3" t="s">
        <v>31</v>
      </c>
      <c r="E400" s="3" t="s">
        <v>32</v>
      </c>
      <c r="F400" s="12">
        <v>43465</v>
      </c>
      <c r="G400" s="3">
        <f t="shared" si="58"/>
        <v>2018</v>
      </c>
      <c r="H400" s="3" t="str">
        <f t="shared" si="59"/>
        <v>Diciembre</v>
      </c>
      <c r="I400" s="3" t="str">
        <f t="shared" si="60"/>
        <v>2018-2</v>
      </c>
      <c r="J400" s="3"/>
      <c r="K400" s="3"/>
      <c r="L400" s="3">
        <v>22872</v>
      </c>
      <c r="M400" s="3"/>
      <c r="N400" s="3"/>
      <c r="O400" s="3" t="s">
        <v>35</v>
      </c>
      <c r="P400" s="3" t="s">
        <v>35</v>
      </c>
      <c r="Q400" s="3" t="str">
        <f t="shared" si="57"/>
        <v>379-2018-12-31</v>
      </c>
      <c r="R400" s="3">
        <v>0</v>
      </c>
      <c r="S400" s="3">
        <v>0</v>
      </c>
      <c r="T400" s="3" t="s">
        <v>443</v>
      </c>
      <c r="U400" s="3" t="s">
        <v>37</v>
      </c>
      <c r="V400" s="3" t="s">
        <v>302</v>
      </c>
      <c r="W400" s="3" t="s">
        <v>38</v>
      </c>
      <c r="X400" s="3" t="s">
        <v>39</v>
      </c>
      <c r="Y400" s="3" t="s">
        <v>40</v>
      </c>
      <c r="Z400" s="3" t="s">
        <v>41</v>
      </c>
      <c r="AA400" s="3" t="s">
        <v>42</v>
      </c>
      <c r="AB400" s="3" t="s">
        <v>78</v>
      </c>
      <c r="AC400" s="3" t="s">
        <v>31</v>
      </c>
      <c r="AD400" s="3">
        <v>0</v>
      </c>
    </row>
    <row r="401" spans="1:30" x14ac:dyDescent="0.3">
      <c r="A401" s="3">
        <v>379</v>
      </c>
      <c r="B401" s="3" t="s">
        <v>301</v>
      </c>
      <c r="C401" s="3" t="s">
        <v>302</v>
      </c>
      <c r="D401" s="3" t="s">
        <v>31</v>
      </c>
      <c r="E401" s="3" t="s">
        <v>32</v>
      </c>
      <c r="F401" s="12">
        <v>43465</v>
      </c>
      <c r="G401" s="3">
        <f t="shared" si="58"/>
        <v>2018</v>
      </c>
      <c r="H401" s="3" t="str">
        <f t="shared" si="59"/>
        <v>Diciembre</v>
      </c>
      <c r="I401" s="3" t="str">
        <f t="shared" si="60"/>
        <v>2018-2</v>
      </c>
      <c r="J401" s="3">
        <v>2</v>
      </c>
      <c r="K401" s="3"/>
      <c r="L401" s="11">
        <v>10912</v>
      </c>
      <c r="M401" s="3"/>
      <c r="N401" s="3"/>
      <c r="O401" s="3" t="s">
        <v>35</v>
      </c>
      <c r="P401" s="3" t="s">
        <v>35</v>
      </c>
      <c r="Q401" s="3" t="str">
        <f t="shared" si="57"/>
        <v>379-2018-12-31</v>
      </c>
      <c r="R401" s="3">
        <v>0</v>
      </c>
      <c r="S401" s="3">
        <v>0</v>
      </c>
      <c r="T401" s="3" t="s">
        <v>31</v>
      </c>
      <c r="U401" s="3" t="s">
        <v>37</v>
      </c>
      <c r="V401" s="3" t="s">
        <v>302</v>
      </c>
      <c r="W401" s="3" t="s">
        <v>38</v>
      </c>
      <c r="X401" s="3" t="s">
        <v>39</v>
      </c>
      <c r="Y401" s="3" t="s">
        <v>40</v>
      </c>
      <c r="Z401" s="3" t="s">
        <v>41</v>
      </c>
      <c r="AA401" s="3" t="s">
        <v>42</v>
      </c>
      <c r="AB401" s="3" t="s">
        <v>78</v>
      </c>
      <c r="AC401" s="3" t="s">
        <v>31</v>
      </c>
      <c r="AD401" s="3">
        <v>0</v>
      </c>
    </row>
    <row r="402" spans="1:30" x14ac:dyDescent="0.3">
      <c r="A402" s="3">
        <v>379</v>
      </c>
      <c r="B402" s="3" t="s">
        <v>301</v>
      </c>
      <c r="C402" s="3" t="s">
        <v>302</v>
      </c>
      <c r="D402" s="3" t="s">
        <v>31</v>
      </c>
      <c r="E402" s="3" t="s">
        <v>32</v>
      </c>
      <c r="F402" s="12">
        <v>43646</v>
      </c>
      <c r="G402" s="3">
        <f t="shared" si="58"/>
        <v>2019</v>
      </c>
      <c r="H402" s="3" t="str">
        <f t="shared" si="59"/>
        <v>Junio</v>
      </c>
      <c r="I402" s="3" t="str">
        <f t="shared" si="60"/>
        <v>2019-1</v>
      </c>
      <c r="J402" s="3">
        <v>1</v>
      </c>
      <c r="K402" s="3"/>
      <c r="L402" s="11">
        <v>12993</v>
      </c>
      <c r="M402" s="3"/>
      <c r="N402" s="3"/>
      <c r="O402" s="3" t="s">
        <v>35</v>
      </c>
      <c r="P402" s="3" t="s">
        <v>35</v>
      </c>
      <c r="Q402" s="3" t="str">
        <f t="shared" si="57"/>
        <v>379-2019-06-30</v>
      </c>
      <c r="R402" s="3">
        <v>0</v>
      </c>
      <c r="S402" s="3">
        <v>0</v>
      </c>
      <c r="T402" s="3" t="s">
        <v>31</v>
      </c>
      <c r="U402" s="3" t="s">
        <v>37</v>
      </c>
      <c r="V402" s="3" t="s">
        <v>302</v>
      </c>
      <c r="W402" s="3" t="s">
        <v>38</v>
      </c>
      <c r="X402" s="3" t="s">
        <v>39</v>
      </c>
      <c r="Y402" s="3" t="s">
        <v>40</v>
      </c>
      <c r="Z402" s="3" t="s">
        <v>41</v>
      </c>
      <c r="AA402" s="3" t="s">
        <v>42</v>
      </c>
      <c r="AB402" s="3" t="s">
        <v>78</v>
      </c>
      <c r="AC402" s="3" t="s">
        <v>31</v>
      </c>
      <c r="AD402" s="3">
        <v>0</v>
      </c>
    </row>
    <row r="403" spans="1:30" x14ac:dyDescent="0.3">
      <c r="A403" s="3">
        <v>379</v>
      </c>
      <c r="B403" s="3" t="s">
        <v>301</v>
      </c>
      <c r="C403" s="3" t="s">
        <v>302</v>
      </c>
      <c r="D403" s="3" t="s">
        <v>31</v>
      </c>
      <c r="E403" s="3" t="s">
        <v>32</v>
      </c>
      <c r="F403" s="12">
        <v>43830</v>
      </c>
      <c r="G403" s="3">
        <f t="shared" si="58"/>
        <v>2019</v>
      </c>
      <c r="H403" s="3" t="str">
        <f t="shared" si="59"/>
        <v>Diciembre</v>
      </c>
      <c r="I403" s="3" t="str">
        <f t="shared" si="60"/>
        <v>2019-2</v>
      </c>
      <c r="J403" s="3">
        <v>2</v>
      </c>
      <c r="K403" s="3"/>
      <c r="L403" s="11">
        <v>9616</v>
      </c>
      <c r="M403" s="3"/>
      <c r="N403" s="3"/>
      <c r="O403" s="3" t="s">
        <v>35</v>
      </c>
      <c r="P403" s="3" t="s">
        <v>35</v>
      </c>
      <c r="Q403" s="3" t="str">
        <f t="shared" si="57"/>
        <v>379-2019-12-31</v>
      </c>
      <c r="R403" s="3">
        <v>0</v>
      </c>
      <c r="S403" s="3">
        <v>0</v>
      </c>
      <c r="T403" s="3" t="s">
        <v>31</v>
      </c>
      <c r="U403" s="3" t="s">
        <v>37</v>
      </c>
      <c r="V403" s="3" t="s">
        <v>302</v>
      </c>
      <c r="W403" s="3" t="s">
        <v>38</v>
      </c>
      <c r="X403" s="3" t="s">
        <v>39</v>
      </c>
      <c r="Y403" s="3" t="s">
        <v>40</v>
      </c>
      <c r="Z403" s="3" t="s">
        <v>41</v>
      </c>
      <c r="AA403" s="3" t="s">
        <v>42</v>
      </c>
      <c r="AB403" s="3" t="s">
        <v>78</v>
      </c>
      <c r="AC403" s="3" t="s">
        <v>31</v>
      </c>
      <c r="AD403" s="3">
        <v>0</v>
      </c>
    </row>
    <row r="404" spans="1:30" x14ac:dyDescent="0.3">
      <c r="A404" s="3">
        <v>379</v>
      </c>
      <c r="B404" s="3" t="s">
        <v>301</v>
      </c>
      <c r="C404" s="3" t="s">
        <v>302</v>
      </c>
      <c r="D404" s="3" t="s">
        <v>31</v>
      </c>
      <c r="E404" s="3" t="s">
        <v>32</v>
      </c>
      <c r="F404" s="12">
        <v>43830</v>
      </c>
      <c r="G404" s="3">
        <f t="shared" si="58"/>
        <v>2019</v>
      </c>
      <c r="H404" s="3" t="str">
        <f t="shared" si="59"/>
        <v>Diciembre</v>
      </c>
      <c r="I404" s="3" t="str">
        <f t="shared" si="60"/>
        <v>2019-2</v>
      </c>
      <c r="J404" s="3"/>
      <c r="K404" s="3"/>
      <c r="L404" s="3">
        <v>22609</v>
      </c>
      <c r="M404" s="3"/>
      <c r="N404" s="3"/>
      <c r="O404" s="3" t="s">
        <v>35</v>
      </c>
      <c r="P404" s="3" t="s">
        <v>35</v>
      </c>
      <c r="Q404" s="3" t="str">
        <f t="shared" si="57"/>
        <v>379-2019-12-31</v>
      </c>
      <c r="R404" s="3">
        <v>0</v>
      </c>
      <c r="S404" s="3">
        <v>0</v>
      </c>
      <c r="T404" s="3" t="s">
        <v>443</v>
      </c>
      <c r="U404" s="3" t="s">
        <v>37</v>
      </c>
      <c r="V404" s="3" t="s">
        <v>302</v>
      </c>
      <c r="W404" s="3" t="s">
        <v>38</v>
      </c>
      <c r="X404" s="3" t="s">
        <v>39</v>
      </c>
      <c r="Y404" s="3" t="s">
        <v>40</v>
      </c>
      <c r="Z404" s="3" t="s">
        <v>41</v>
      </c>
      <c r="AA404" s="3" t="s">
        <v>42</v>
      </c>
      <c r="AB404" s="3" t="s">
        <v>78</v>
      </c>
      <c r="AC404" s="3" t="s">
        <v>31</v>
      </c>
      <c r="AD404" s="3">
        <v>0</v>
      </c>
    </row>
    <row r="405" spans="1:30" x14ac:dyDescent="0.3">
      <c r="A405" s="3">
        <v>379</v>
      </c>
      <c r="B405" s="3" t="s">
        <v>301</v>
      </c>
      <c r="C405" s="3" t="s">
        <v>302</v>
      </c>
      <c r="D405" s="3" t="s">
        <v>31</v>
      </c>
      <c r="E405" s="3" t="s">
        <v>32</v>
      </c>
      <c r="F405" s="12">
        <v>44012</v>
      </c>
      <c r="G405" s="3">
        <f t="shared" si="58"/>
        <v>2020</v>
      </c>
      <c r="H405" s="3" t="str">
        <f t="shared" si="59"/>
        <v>Junio</v>
      </c>
      <c r="I405" s="3" t="str">
        <f t="shared" si="60"/>
        <v>2020-1</v>
      </c>
      <c r="J405" s="3">
        <v>1</v>
      </c>
      <c r="K405" s="3"/>
      <c r="L405" s="11">
        <v>11830</v>
      </c>
      <c r="M405" s="3"/>
      <c r="N405" s="3"/>
      <c r="O405" s="3" t="s">
        <v>35</v>
      </c>
      <c r="P405" s="3" t="s">
        <v>35</v>
      </c>
      <c r="Q405" s="3" t="str">
        <f t="shared" si="57"/>
        <v>379-2020-06-30</v>
      </c>
      <c r="R405" s="3">
        <v>0</v>
      </c>
      <c r="S405" s="3">
        <v>0</v>
      </c>
      <c r="T405" s="3" t="s">
        <v>31</v>
      </c>
      <c r="U405" s="3" t="s">
        <v>37</v>
      </c>
      <c r="V405" s="3" t="s">
        <v>302</v>
      </c>
      <c r="W405" s="3" t="s">
        <v>38</v>
      </c>
      <c r="X405" s="3" t="s">
        <v>39</v>
      </c>
      <c r="Y405" s="3" t="s">
        <v>40</v>
      </c>
      <c r="Z405" s="3" t="s">
        <v>41</v>
      </c>
      <c r="AA405" s="3" t="s">
        <v>42</v>
      </c>
      <c r="AB405" s="3" t="s">
        <v>78</v>
      </c>
      <c r="AC405" s="3" t="s">
        <v>31</v>
      </c>
      <c r="AD405" s="3">
        <v>0</v>
      </c>
    </row>
    <row r="406" spans="1:30" x14ac:dyDescent="0.3">
      <c r="A406" s="3">
        <v>379</v>
      </c>
      <c r="B406" s="3" t="s">
        <v>301</v>
      </c>
      <c r="C406" s="3" t="s">
        <v>302</v>
      </c>
      <c r="D406" s="3" t="s">
        <v>31</v>
      </c>
      <c r="E406" s="3" t="s">
        <v>32</v>
      </c>
      <c r="F406" s="12">
        <v>44196</v>
      </c>
      <c r="G406" s="3">
        <f t="shared" si="58"/>
        <v>2020</v>
      </c>
      <c r="H406" s="3" t="str">
        <f t="shared" si="59"/>
        <v>Diciembre</v>
      </c>
      <c r="I406" s="3" t="str">
        <f t="shared" si="60"/>
        <v>2020-2</v>
      </c>
      <c r="J406" s="3">
        <v>2</v>
      </c>
      <c r="K406" s="3"/>
      <c r="L406" s="11">
        <v>10182</v>
      </c>
      <c r="M406" s="3"/>
      <c r="N406" s="3"/>
      <c r="O406" s="3" t="s">
        <v>35</v>
      </c>
      <c r="P406" s="3" t="s">
        <v>35</v>
      </c>
      <c r="Q406" s="3" t="str">
        <f t="shared" si="57"/>
        <v>379-2020-12-31</v>
      </c>
      <c r="R406" s="3">
        <v>0</v>
      </c>
      <c r="S406" s="3">
        <v>0</v>
      </c>
      <c r="T406" s="3" t="s">
        <v>31</v>
      </c>
      <c r="U406" s="3" t="s">
        <v>37</v>
      </c>
      <c r="V406" s="3" t="s">
        <v>302</v>
      </c>
      <c r="W406" s="3" t="s">
        <v>38</v>
      </c>
      <c r="X406" s="3" t="s">
        <v>39</v>
      </c>
      <c r="Y406" s="3" t="s">
        <v>40</v>
      </c>
      <c r="Z406" s="3" t="s">
        <v>41</v>
      </c>
      <c r="AA406" s="3" t="s">
        <v>42</v>
      </c>
      <c r="AB406" s="3" t="s">
        <v>78</v>
      </c>
      <c r="AC406" s="3" t="s">
        <v>31</v>
      </c>
      <c r="AD406" s="3">
        <v>0</v>
      </c>
    </row>
    <row r="407" spans="1:30" x14ac:dyDescent="0.3">
      <c r="A407" s="3">
        <v>379</v>
      </c>
      <c r="B407" s="3" t="s">
        <v>301</v>
      </c>
      <c r="C407" s="3" t="s">
        <v>302</v>
      </c>
      <c r="D407" s="3" t="s">
        <v>31</v>
      </c>
      <c r="E407" s="3" t="s">
        <v>32</v>
      </c>
      <c r="F407" s="12">
        <v>44196</v>
      </c>
      <c r="G407" s="3">
        <f t="shared" si="58"/>
        <v>2020</v>
      </c>
      <c r="H407" s="3" t="str">
        <f t="shared" si="59"/>
        <v>Diciembre</v>
      </c>
      <c r="I407" s="3" t="str">
        <f t="shared" si="60"/>
        <v>2020-2</v>
      </c>
      <c r="J407" s="3"/>
      <c r="K407" s="3"/>
      <c r="L407" s="3">
        <v>22012</v>
      </c>
      <c r="M407" s="3"/>
      <c r="N407" s="3"/>
      <c r="O407" s="3" t="s">
        <v>35</v>
      </c>
      <c r="P407" s="3" t="s">
        <v>35</v>
      </c>
      <c r="Q407" s="3" t="str">
        <f t="shared" si="57"/>
        <v>379-2020-12-31</v>
      </c>
      <c r="R407" s="3">
        <v>0</v>
      </c>
      <c r="S407" s="3">
        <v>0</v>
      </c>
      <c r="T407" s="3" t="s">
        <v>443</v>
      </c>
      <c r="U407" s="3" t="s">
        <v>37</v>
      </c>
      <c r="V407" s="3" t="s">
        <v>302</v>
      </c>
      <c r="W407" s="3" t="s">
        <v>38</v>
      </c>
      <c r="X407" s="3" t="s">
        <v>39</v>
      </c>
      <c r="Y407" s="3" t="s">
        <v>40</v>
      </c>
      <c r="Z407" s="3" t="s">
        <v>41</v>
      </c>
      <c r="AA407" s="3" t="s">
        <v>42</v>
      </c>
      <c r="AB407" s="3" t="s">
        <v>78</v>
      </c>
      <c r="AC407" s="3" t="s">
        <v>31</v>
      </c>
      <c r="AD407" s="3">
        <v>0</v>
      </c>
    </row>
    <row r="408" spans="1:30" x14ac:dyDescent="0.3">
      <c r="A408" s="3">
        <v>379</v>
      </c>
      <c r="B408" s="3" t="s">
        <v>301</v>
      </c>
      <c r="C408" s="3" t="s">
        <v>302</v>
      </c>
      <c r="D408" s="3" t="s">
        <v>31</v>
      </c>
      <c r="E408" s="3" t="s">
        <v>32</v>
      </c>
      <c r="F408" s="12">
        <v>44377</v>
      </c>
      <c r="G408" s="3">
        <f t="shared" si="58"/>
        <v>2021</v>
      </c>
      <c r="H408" s="3" t="str">
        <f t="shared" si="59"/>
        <v>Junio</v>
      </c>
      <c r="I408" s="3" t="str">
        <f t="shared" si="60"/>
        <v>2021-1</v>
      </c>
      <c r="J408" s="3">
        <v>1</v>
      </c>
      <c r="K408" s="3"/>
      <c r="L408" s="11">
        <v>10300</v>
      </c>
      <c r="M408" s="3"/>
      <c r="N408" s="3"/>
      <c r="O408" s="3" t="s">
        <v>35</v>
      </c>
      <c r="P408" s="3" t="s">
        <v>35</v>
      </c>
      <c r="Q408" s="3" t="str">
        <f t="shared" si="57"/>
        <v>379-2021-06-30</v>
      </c>
      <c r="R408" s="3">
        <v>0</v>
      </c>
      <c r="S408" s="3">
        <v>0</v>
      </c>
      <c r="T408" s="3" t="s">
        <v>31</v>
      </c>
      <c r="U408" s="3" t="s">
        <v>37</v>
      </c>
      <c r="V408" s="3" t="s">
        <v>302</v>
      </c>
      <c r="W408" s="3" t="s">
        <v>38</v>
      </c>
      <c r="X408" s="3" t="s">
        <v>39</v>
      </c>
      <c r="Y408" s="3" t="s">
        <v>40</v>
      </c>
      <c r="Z408" s="3" t="s">
        <v>41</v>
      </c>
      <c r="AA408" s="3" t="s">
        <v>42</v>
      </c>
      <c r="AB408" s="3" t="s">
        <v>78</v>
      </c>
      <c r="AC408" s="3" t="s">
        <v>31</v>
      </c>
      <c r="AD408" s="3">
        <v>0</v>
      </c>
    </row>
    <row r="409" spans="1:30" x14ac:dyDescent="0.3">
      <c r="A409" s="3">
        <v>379</v>
      </c>
      <c r="B409" s="3" t="s">
        <v>301</v>
      </c>
      <c r="C409" s="3" t="s">
        <v>302</v>
      </c>
      <c r="D409" s="3" t="s">
        <v>31</v>
      </c>
      <c r="E409" s="3" t="s">
        <v>32</v>
      </c>
      <c r="F409" s="12">
        <v>44561</v>
      </c>
      <c r="G409" s="3">
        <f t="shared" si="58"/>
        <v>2021</v>
      </c>
      <c r="H409" s="3" t="str">
        <f t="shared" si="59"/>
        <v>Diciembre</v>
      </c>
      <c r="I409" s="3" t="str">
        <f t="shared" si="60"/>
        <v>2021-2</v>
      </c>
      <c r="J409" s="3">
        <v>2</v>
      </c>
      <c r="K409" s="3"/>
      <c r="L409" s="11">
        <v>8229</v>
      </c>
      <c r="M409" s="3"/>
      <c r="N409" s="3"/>
      <c r="O409" s="3" t="s">
        <v>35</v>
      </c>
      <c r="P409" s="3" t="s">
        <v>35</v>
      </c>
      <c r="Q409" s="3" t="str">
        <f t="shared" si="57"/>
        <v>379-2021-12-31</v>
      </c>
      <c r="R409" s="3">
        <v>0</v>
      </c>
      <c r="S409" s="3">
        <v>0</v>
      </c>
      <c r="T409" s="3" t="s">
        <v>31</v>
      </c>
      <c r="U409" s="3" t="s">
        <v>37</v>
      </c>
      <c r="V409" s="3" t="s">
        <v>302</v>
      </c>
      <c r="W409" s="3" t="s">
        <v>38</v>
      </c>
      <c r="X409" s="3" t="s">
        <v>39</v>
      </c>
      <c r="Y409" s="3" t="s">
        <v>40</v>
      </c>
      <c r="Z409" s="3" t="s">
        <v>41</v>
      </c>
      <c r="AA409" s="3" t="s">
        <v>42</v>
      </c>
      <c r="AB409" s="3" t="s">
        <v>78</v>
      </c>
      <c r="AC409" s="3" t="s">
        <v>31</v>
      </c>
      <c r="AD409" s="3">
        <v>0</v>
      </c>
    </row>
    <row r="410" spans="1:30" x14ac:dyDescent="0.3">
      <c r="A410" s="3">
        <v>379</v>
      </c>
      <c r="B410" s="3" t="s">
        <v>301</v>
      </c>
      <c r="C410" s="3" t="s">
        <v>302</v>
      </c>
      <c r="D410" s="3" t="s">
        <v>31</v>
      </c>
      <c r="E410" s="3" t="s">
        <v>32</v>
      </c>
      <c r="F410" s="12">
        <v>44561</v>
      </c>
      <c r="G410" s="3">
        <f t="shared" si="58"/>
        <v>2021</v>
      </c>
      <c r="H410" s="3" t="str">
        <f t="shared" si="59"/>
        <v>Diciembre</v>
      </c>
      <c r="I410" s="3" t="str">
        <f t="shared" si="60"/>
        <v>2021-2</v>
      </c>
      <c r="J410" s="3"/>
      <c r="K410" s="3"/>
      <c r="L410" s="3">
        <v>18529</v>
      </c>
      <c r="M410" s="3"/>
      <c r="N410" s="3"/>
      <c r="O410" s="3" t="s">
        <v>35</v>
      </c>
      <c r="P410" s="3" t="s">
        <v>35</v>
      </c>
      <c r="Q410" s="3" t="str">
        <f t="shared" si="57"/>
        <v>379-2021-12-31</v>
      </c>
      <c r="R410" s="3">
        <v>0</v>
      </c>
      <c r="S410" s="3">
        <v>0</v>
      </c>
      <c r="T410" s="3" t="s">
        <v>443</v>
      </c>
      <c r="U410" s="3" t="s">
        <v>37</v>
      </c>
      <c r="V410" s="3" t="s">
        <v>302</v>
      </c>
      <c r="W410" s="3" t="s">
        <v>38</v>
      </c>
      <c r="X410" s="3" t="s">
        <v>39</v>
      </c>
      <c r="Y410" s="3" t="s">
        <v>40</v>
      </c>
      <c r="Z410" s="3" t="s">
        <v>41</v>
      </c>
      <c r="AA410" s="3" t="s">
        <v>42</v>
      </c>
      <c r="AB410" s="3" t="s">
        <v>78</v>
      </c>
      <c r="AC410" s="3" t="s">
        <v>31</v>
      </c>
      <c r="AD410" s="3">
        <v>0</v>
      </c>
    </row>
    <row r="411" spans="1:30" x14ac:dyDescent="0.3">
      <c r="A411" s="3">
        <v>379</v>
      </c>
      <c r="B411" s="3" t="s">
        <v>301</v>
      </c>
      <c r="C411" s="3" t="s">
        <v>302</v>
      </c>
      <c r="D411" s="3" t="s">
        <v>31</v>
      </c>
      <c r="E411" s="3" t="s">
        <v>32</v>
      </c>
      <c r="F411" s="12">
        <v>44742</v>
      </c>
      <c r="G411" s="3">
        <v>2022</v>
      </c>
      <c r="H411" s="3" t="s">
        <v>33</v>
      </c>
      <c r="I411" s="3" t="s">
        <v>34</v>
      </c>
      <c r="J411" s="3">
        <v>1</v>
      </c>
      <c r="K411" s="3">
        <v>10808</v>
      </c>
      <c r="L411" s="3">
        <v>11012</v>
      </c>
      <c r="M411" s="3">
        <f>+L411/K411</f>
        <v>1.0188749074759438</v>
      </c>
      <c r="N411" s="3">
        <f>+L411/K411</f>
        <v>1.0188749074759438</v>
      </c>
      <c r="O411" s="3" t="s">
        <v>35</v>
      </c>
      <c r="P411" s="3" t="s">
        <v>35</v>
      </c>
      <c r="Q411" s="3" t="str">
        <f t="shared" si="57"/>
        <v>379-2022-06-30</v>
      </c>
      <c r="R411" s="3">
        <v>0</v>
      </c>
      <c r="S411" s="3">
        <v>0</v>
      </c>
      <c r="T411" s="3" t="s">
        <v>31</v>
      </c>
      <c r="U411" s="3" t="s">
        <v>37</v>
      </c>
      <c r="V411" s="3" t="s">
        <v>302</v>
      </c>
      <c r="W411" s="3" t="s">
        <v>38</v>
      </c>
      <c r="X411" s="3" t="s">
        <v>39</v>
      </c>
      <c r="Y411" s="3" t="s">
        <v>40</v>
      </c>
      <c r="Z411" s="3" t="s">
        <v>41</v>
      </c>
      <c r="AA411" s="3" t="s">
        <v>42</v>
      </c>
      <c r="AB411" s="3" t="s">
        <v>78</v>
      </c>
      <c r="AC411" s="3" t="s">
        <v>31</v>
      </c>
      <c r="AD411" s="3">
        <v>0</v>
      </c>
    </row>
    <row r="412" spans="1:30" x14ac:dyDescent="0.3">
      <c r="A412" s="3">
        <v>379</v>
      </c>
      <c r="B412" s="3" t="s">
        <v>301</v>
      </c>
      <c r="C412" s="3" t="s">
        <v>302</v>
      </c>
      <c r="D412" s="3" t="s">
        <v>31</v>
      </c>
      <c r="E412" s="3" t="s">
        <v>32</v>
      </c>
      <c r="F412" s="12">
        <v>44926</v>
      </c>
      <c r="G412" s="3">
        <v>2022</v>
      </c>
      <c r="H412" s="3" t="s">
        <v>44</v>
      </c>
      <c r="I412" s="3" t="s">
        <v>45</v>
      </c>
      <c r="J412" s="3">
        <v>2</v>
      </c>
      <c r="K412" s="3">
        <v>9192</v>
      </c>
      <c r="L412" s="3">
        <v>9578</v>
      </c>
      <c r="M412" s="3">
        <f t="shared" ref="M412:M421" si="61">+L412/K412</f>
        <v>1.0419930374238469</v>
      </c>
      <c r="N412" s="3">
        <f t="shared" ref="N412:N421" si="62">+L412/K412</f>
        <v>1.0419930374238469</v>
      </c>
      <c r="O412" s="3" t="s">
        <v>35</v>
      </c>
      <c r="P412" s="3" t="s">
        <v>35</v>
      </c>
      <c r="Q412" s="3" t="str">
        <f t="shared" si="57"/>
        <v>379-2022-12-31</v>
      </c>
      <c r="R412" s="3">
        <v>0</v>
      </c>
      <c r="S412" s="3">
        <v>0</v>
      </c>
      <c r="T412" s="3" t="s">
        <v>31</v>
      </c>
      <c r="U412" s="3" t="s">
        <v>37</v>
      </c>
      <c r="V412" s="3" t="s">
        <v>302</v>
      </c>
      <c r="W412" s="3" t="s">
        <v>38</v>
      </c>
      <c r="X412" s="3" t="s">
        <v>39</v>
      </c>
      <c r="Y412" s="3" t="s">
        <v>40</v>
      </c>
      <c r="Z412" s="3" t="s">
        <v>41</v>
      </c>
      <c r="AA412" s="3" t="s">
        <v>42</v>
      </c>
      <c r="AB412" s="3" t="s">
        <v>78</v>
      </c>
      <c r="AC412" s="3" t="s">
        <v>31</v>
      </c>
      <c r="AD412" s="3">
        <v>0</v>
      </c>
    </row>
    <row r="413" spans="1:30" x14ac:dyDescent="0.3">
      <c r="A413" s="3">
        <v>379</v>
      </c>
      <c r="B413" s="3" t="s">
        <v>301</v>
      </c>
      <c r="C413" s="3" t="s">
        <v>302</v>
      </c>
      <c r="D413" s="3" t="s">
        <v>31</v>
      </c>
      <c r="E413" s="3" t="s">
        <v>32</v>
      </c>
      <c r="F413" s="12">
        <v>44926</v>
      </c>
      <c r="G413" s="3">
        <v>2022</v>
      </c>
      <c r="H413" s="3" t="s">
        <v>44</v>
      </c>
      <c r="I413" s="3" t="s">
        <v>45</v>
      </c>
      <c r="J413" s="3"/>
      <c r="K413" s="3">
        <v>20000</v>
      </c>
      <c r="L413" s="3">
        <v>20590</v>
      </c>
      <c r="M413" s="3">
        <f t="shared" si="61"/>
        <v>1.0295000000000001</v>
      </c>
      <c r="N413" s="3">
        <f t="shared" si="62"/>
        <v>1.0295000000000001</v>
      </c>
      <c r="O413" s="3" t="s">
        <v>35</v>
      </c>
      <c r="P413" s="3" t="s">
        <v>35</v>
      </c>
      <c r="Q413" s="3" t="str">
        <f t="shared" si="57"/>
        <v>379-2022-12-31</v>
      </c>
      <c r="R413" s="3">
        <v>0</v>
      </c>
      <c r="S413" s="3">
        <v>0</v>
      </c>
      <c r="T413" s="3" t="s">
        <v>443</v>
      </c>
      <c r="U413" s="3" t="s">
        <v>37</v>
      </c>
      <c r="V413" s="3" t="s">
        <v>302</v>
      </c>
      <c r="W413" s="3" t="s">
        <v>38</v>
      </c>
      <c r="X413" s="3" t="s">
        <v>39</v>
      </c>
      <c r="Y413" s="3" t="s">
        <v>40</v>
      </c>
      <c r="Z413" s="3" t="s">
        <v>41</v>
      </c>
      <c r="AA413" s="3" t="s">
        <v>42</v>
      </c>
      <c r="AB413" s="3" t="s">
        <v>78</v>
      </c>
      <c r="AC413" s="3" t="s">
        <v>31</v>
      </c>
      <c r="AD413" s="3">
        <v>0</v>
      </c>
    </row>
    <row r="414" spans="1:30" x14ac:dyDescent="0.3">
      <c r="A414" s="3">
        <v>379</v>
      </c>
      <c r="B414" s="3" t="s">
        <v>301</v>
      </c>
      <c r="C414" s="3" t="s">
        <v>302</v>
      </c>
      <c r="D414" s="3" t="s">
        <v>31</v>
      </c>
      <c r="E414" s="3" t="s">
        <v>32</v>
      </c>
      <c r="F414" s="12">
        <v>45107</v>
      </c>
      <c r="G414" s="3">
        <v>2023</v>
      </c>
      <c r="H414" s="3" t="s">
        <v>33</v>
      </c>
      <c r="I414" s="3" t="s">
        <v>47</v>
      </c>
      <c r="J414" s="3">
        <v>1</v>
      </c>
      <c r="K414" s="3">
        <v>12130</v>
      </c>
      <c r="L414" s="3">
        <v>12382</v>
      </c>
      <c r="M414" s="3">
        <f t="shared" si="61"/>
        <v>1.0207749381698268</v>
      </c>
      <c r="N414" s="3">
        <f t="shared" si="62"/>
        <v>1.0207749381698268</v>
      </c>
      <c r="O414" s="3" t="s">
        <v>35</v>
      </c>
      <c r="P414" s="3" t="s">
        <v>35</v>
      </c>
      <c r="Q414" s="3" t="str">
        <f t="shared" si="57"/>
        <v>379-2023-06-30</v>
      </c>
      <c r="R414" s="3">
        <v>0</v>
      </c>
      <c r="S414" s="3">
        <v>0</v>
      </c>
      <c r="T414" s="3" t="s">
        <v>31</v>
      </c>
      <c r="U414" s="3" t="s">
        <v>37</v>
      </c>
      <c r="V414" s="3" t="s">
        <v>302</v>
      </c>
      <c r="W414" s="3" t="s">
        <v>38</v>
      </c>
      <c r="X414" s="3" t="s">
        <v>39</v>
      </c>
      <c r="Y414" s="3" t="s">
        <v>40</v>
      </c>
      <c r="Z414" s="3" t="s">
        <v>41</v>
      </c>
      <c r="AA414" s="3" t="s">
        <v>42</v>
      </c>
      <c r="AB414" s="3" t="s">
        <v>78</v>
      </c>
      <c r="AC414" s="3" t="s">
        <v>31</v>
      </c>
      <c r="AD414" s="3">
        <v>0</v>
      </c>
    </row>
    <row r="415" spans="1:30" x14ac:dyDescent="0.3">
      <c r="A415" s="3">
        <v>379</v>
      </c>
      <c r="B415" s="3" t="s">
        <v>301</v>
      </c>
      <c r="C415" s="3" t="s">
        <v>302</v>
      </c>
      <c r="D415" s="3" t="s">
        <v>31</v>
      </c>
      <c r="E415" s="3" t="s">
        <v>32</v>
      </c>
      <c r="F415" s="12">
        <v>45291</v>
      </c>
      <c r="G415" s="3">
        <v>2023</v>
      </c>
      <c r="H415" s="3" t="s">
        <v>44</v>
      </c>
      <c r="I415" s="3" t="s">
        <v>49</v>
      </c>
      <c r="J415" s="3">
        <v>2</v>
      </c>
      <c r="K415" s="3">
        <v>9876</v>
      </c>
      <c r="L415" s="3">
        <v>10605</v>
      </c>
      <c r="M415" s="3">
        <f t="shared" si="61"/>
        <v>1.0738153098420413</v>
      </c>
      <c r="N415" s="3">
        <f t="shared" si="62"/>
        <v>1.0738153098420413</v>
      </c>
      <c r="O415" s="3" t="s">
        <v>35</v>
      </c>
      <c r="P415" s="3" t="s">
        <v>35</v>
      </c>
      <c r="Q415" s="3" t="str">
        <f t="shared" si="57"/>
        <v>379-2023-12-31</v>
      </c>
      <c r="R415" s="3">
        <v>0</v>
      </c>
      <c r="S415" s="3">
        <v>0</v>
      </c>
      <c r="T415" s="3" t="s">
        <v>31</v>
      </c>
      <c r="U415" s="3" t="s">
        <v>37</v>
      </c>
      <c r="V415" s="3" t="s">
        <v>302</v>
      </c>
      <c r="W415" s="3" t="s">
        <v>38</v>
      </c>
      <c r="X415" s="3" t="s">
        <v>39</v>
      </c>
      <c r="Y415" s="3" t="s">
        <v>40</v>
      </c>
      <c r="Z415" s="3" t="s">
        <v>41</v>
      </c>
      <c r="AA415" s="3" t="s">
        <v>42</v>
      </c>
      <c r="AB415" s="3" t="s">
        <v>78</v>
      </c>
      <c r="AC415" s="3" t="s">
        <v>31</v>
      </c>
      <c r="AD415" s="3">
        <v>0</v>
      </c>
    </row>
    <row r="416" spans="1:30" x14ac:dyDescent="0.3">
      <c r="A416" s="3">
        <v>379</v>
      </c>
      <c r="B416" s="3" t="s">
        <v>301</v>
      </c>
      <c r="C416" s="3" t="s">
        <v>302</v>
      </c>
      <c r="D416" s="3" t="s">
        <v>31</v>
      </c>
      <c r="E416" s="3" t="s">
        <v>32</v>
      </c>
      <c r="F416" s="12">
        <v>45291</v>
      </c>
      <c r="G416" s="3">
        <v>2023</v>
      </c>
      <c r="H416" s="3" t="s">
        <v>44</v>
      </c>
      <c r="I416" s="3" t="s">
        <v>49</v>
      </c>
      <c r="J416" s="3"/>
      <c r="K416" s="3">
        <v>22006</v>
      </c>
      <c r="L416" s="3">
        <v>22987</v>
      </c>
      <c r="M416" s="3">
        <f t="shared" si="61"/>
        <v>1.0445787512496592</v>
      </c>
      <c r="N416" s="3">
        <f t="shared" si="62"/>
        <v>1.0445787512496592</v>
      </c>
      <c r="O416" s="3" t="s">
        <v>35</v>
      </c>
      <c r="P416" s="3" t="s">
        <v>35</v>
      </c>
      <c r="Q416" s="3" t="str">
        <f t="shared" si="57"/>
        <v>379-2023-12-31</v>
      </c>
      <c r="R416" s="3">
        <v>0</v>
      </c>
      <c r="S416" s="3">
        <v>0</v>
      </c>
      <c r="T416" s="3" t="s">
        <v>443</v>
      </c>
      <c r="U416" s="3" t="s">
        <v>37</v>
      </c>
      <c r="V416" s="3" t="s">
        <v>302</v>
      </c>
      <c r="W416" s="3" t="s">
        <v>38</v>
      </c>
      <c r="X416" s="3" t="s">
        <v>39</v>
      </c>
      <c r="Y416" s="3" t="s">
        <v>40</v>
      </c>
      <c r="Z416" s="3" t="s">
        <v>41</v>
      </c>
      <c r="AA416" s="3" t="s">
        <v>42</v>
      </c>
      <c r="AB416" s="3" t="s">
        <v>78</v>
      </c>
      <c r="AC416" s="3" t="s">
        <v>31</v>
      </c>
      <c r="AD416" s="3">
        <v>0</v>
      </c>
    </row>
    <row r="417" spans="1:30" x14ac:dyDescent="0.3">
      <c r="A417" s="3">
        <v>379</v>
      </c>
      <c r="B417" s="3" t="s">
        <v>301</v>
      </c>
      <c r="C417" s="3" t="s">
        <v>302</v>
      </c>
      <c r="D417" s="3" t="s">
        <v>31</v>
      </c>
      <c r="E417" s="3" t="s">
        <v>32</v>
      </c>
      <c r="F417" s="12">
        <v>45473</v>
      </c>
      <c r="G417" s="3">
        <v>2024</v>
      </c>
      <c r="H417" s="3" t="s">
        <v>33</v>
      </c>
      <c r="I417" s="3" t="s">
        <v>51</v>
      </c>
      <c r="J417" s="3">
        <v>1</v>
      </c>
      <c r="K417" s="3">
        <v>13590</v>
      </c>
      <c r="L417" s="3">
        <v>12987</v>
      </c>
      <c r="M417" s="3">
        <f t="shared" si="61"/>
        <v>0.95562913907284763</v>
      </c>
      <c r="N417" s="3">
        <f t="shared" si="62"/>
        <v>0.95562913907284763</v>
      </c>
      <c r="O417" s="3" t="s">
        <v>35</v>
      </c>
      <c r="P417" s="3" t="s">
        <v>35</v>
      </c>
      <c r="Q417" s="3" t="str">
        <f t="shared" si="57"/>
        <v>379-2024-06-30</v>
      </c>
      <c r="R417" s="3">
        <v>0</v>
      </c>
      <c r="S417" s="3">
        <v>0</v>
      </c>
      <c r="T417" s="3" t="s">
        <v>31</v>
      </c>
      <c r="U417" s="3" t="s">
        <v>37</v>
      </c>
      <c r="V417" s="3" t="s">
        <v>302</v>
      </c>
      <c r="W417" s="3" t="s">
        <v>38</v>
      </c>
      <c r="X417" s="3" t="s">
        <v>39</v>
      </c>
      <c r="Y417" s="3" t="s">
        <v>40</v>
      </c>
      <c r="Z417" s="3" t="s">
        <v>41</v>
      </c>
      <c r="AA417" s="3" t="s">
        <v>42</v>
      </c>
      <c r="AB417" s="3" t="s">
        <v>78</v>
      </c>
      <c r="AC417" s="3" t="s">
        <v>31</v>
      </c>
      <c r="AD417" s="3">
        <v>0</v>
      </c>
    </row>
    <row r="418" spans="1:30" x14ac:dyDescent="0.3">
      <c r="A418" s="3">
        <v>379</v>
      </c>
      <c r="B418" s="3" t="s">
        <v>301</v>
      </c>
      <c r="C418" s="3" t="s">
        <v>302</v>
      </c>
      <c r="D418" s="3" t="s">
        <v>31</v>
      </c>
      <c r="E418" s="3" t="s">
        <v>32</v>
      </c>
      <c r="F418" s="12">
        <v>45657</v>
      </c>
      <c r="G418" s="3">
        <v>2024</v>
      </c>
      <c r="H418" s="3" t="s">
        <v>44</v>
      </c>
      <c r="I418" s="3" t="s">
        <v>53</v>
      </c>
      <c r="J418" s="3">
        <v>2</v>
      </c>
      <c r="K418" s="3">
        <v>10675</v>
      </c>
      <c r="L418" s="3">
        <v>10569</v>
      </c>
      <c r="M418" s="3">
        <f t="shared" si="61"/>
        <v>0.99007025761124123</v>
      </c>
      <c r="N418" s="3">
        <f t="shared" si="62"/>
        <v>0.99007025761124123</v>
      </c>
      <c r="O418" s="3" t="s">
        <v>35</v>
      </c>
      <c r="P418" s="3" t="s">
        <v>35</v>
      </c>
      <c r="Q418" s="3" t="str">
        <f t="shared" si="57"/>
        <v>379-2024-12-31</v>
      </c>
      <c r="R418" s="3">
        <v>0</v>
      </c>
      <c r="S418" s="3">
        <v>0</v>
      </c>
      <c r="T418" s="3" t="s">
        <v>31</v>
      </c>
      <c r="U418" s="3" t="s">
        <v>37</v>
      </c>
      <c r="V418" s="3" t="s">
        <v>302</v>
      </c>
      <c r="W418" s="3" t="s">
        <v>38</v>
      </c>
      <c r="X418" s="3" t="s">
        <v>39</v>
      </c>
      <c r="Y418" s="3" t="s">
        <v>40</v>
      </c>
      <c r="Z418" s="3" t="s">
        <v>41</v>
      </c>
      <c r="AA418" s="3" t="s">
        <v>42</v>
      </c>
      <c r="AB418" s="3" t="s">
        <v>78</v>
      </c>
      <c r="AC418" s="3" t="s">
        <v>31</v>
      </c>
      <c r="AD418" s="3">
        <v>0</v>
      </c>
    </row>
    <row r="419" spans="1:30" x14ac:dyDescent="0.3">
      <c r="A419" s="3">
        <v>379</v>
      </c>
      <c r="B419" s="3" t="s">
        <v>301</v>
      </c>
      <c r="C419" s="3" t="s">
        <v>302</v>
      </c>
      <c r="D419" s="3" t="s">
        <v>31</v>
      </c>
      <c r="E419" s="3" t="s">
        <v>32</v>
      </c>
      <c r="F419" s="12">
        <v>45657</v>
      </c>
      <c r="G419" s="3">
        <v>2024</v>
      </c>
      <c r="H419" s="3" t="s">
        <v>44</v>
      </c>
      <c r="I419" s="3" t="s">
        <v>53</v>
      </c>
      <c r="J419" s="3"/>
      <c r="K419" s="3">
        <v>24265</v>
      </c>
      <c r="L419" s="3">
        <v>23556</v>
      </c>
      <c r="M419" s="3">
        <f t="shared" si="61"/>
        <v>0.97078096023078508</v>
      </c>
      <c r="N419" s="3">
        <f t="shared" si="62"/>
        <v>0.97078096023078508</v>
      </c>
      <c r="O419" s="3" t="s">
        <v>35</v>
      </c>
      <c r="P419" s="3" t="s">
        <v>35</v>
      </c>
      <c r="Q419" s="3" t="str">
        <f t="shared" si="57"/>
        <v>379-2024-12-31</v>
      </c>
      <c r="R419" s="3">
        <v>0</v>
      </c>
      <c r="S419" s="3">
        <v>0</v>
      </c>
      <c r="T419" s="3" t="s">
        <v>443</v>
      </c>
      <c r="U419" s="3" t="s">
        <v>37</v>
      </c>
      <c r="V419" s="3" t="s">
        <v>302</v>
      </c>
      <c r="W419" s="3" t="s">
        <v>38</v>
      </c>
      <c r="X419" s="3" t="s">
        <v>39</v>
      </c>
      <c r="Y419" s="3" t="s">
        <v>40</v>
      </c>
      <c r="Z419" s="3" t="s">
        <v>41</v>
      </c>
      <c r="AA419" s="3" t="s">
        <v>42</v>
      </c>
      <c r="AB419" s="3" t="s">
        <v>78</v>
      </c>
      <c r="AC419" s="3" t="s">
        <v>31</v>
      </c>
      <c r="AD419" s="3">
        <v>0</v>
      </c>
    </row>
    <row r="420" spans="1:30" x14ac:dyDescent="0.3">
      <c r="A420" s="3">
        <v>379</v>
      </c>
      <c r="B420" s="3" t="s">
        <v>301</v>
      </c>
      <c r="C420" s="3" t="s">
        <v>302</v>
      </c>
      <c r="D420" s="3" t="s">
        <v>31</v>
      </c>
      <c r="E420" s="3" t="s">
        <v>32</v>
      </c>
      <c r="F420" s="12">
        <v>45838</v>
      </c>
      <c r="G420" s="3">
        <v>2025</v>
      </c>
      <c r="H420" s="3" t="s">
        <v>33</v>
      </c>
      <c r="I420" s="3" t="s">
        <v>404</v>
      </c>
      <c r="J420" s="3">
        <v>1</v>
      </c>
      <c r="K420" s="3">
        <v>13609</v>
      </c>
      <c r="L420" s="3">
        <v>14141</v>
      </c>
      <c r="M420" s="3">
        <f t="shared" si="61"/>
        <v>1.0390917775001838</v>
      </c>
      <c r="N420" s="3">
        <f t="shared" si="62"/>
        <v>1.0390917775001838</v>
      </c>
      <c r="O420" s="3" t="s">
        <v>35</v>
      </c>
      <c r="P420" s="3" t="s">
        <v>35</v>
      </c>
      <c r="Q420" s="3" t="str">
        <f t="shared" si="57"/>
        <v>379-2025-06-30</v>
      </c>
      <c r="R420" s="3">
        <v>0</v>
      </c>
      <c r="S420" s="3">
        <v>0</v>
      </c>
      <c r="T420" s="3" t="s">
        <v>31</v>
      </c>
      <c r="U420" s="3" t="s">
        <v>37</v>
      </c>
      <c r="V420" s="3" t="s">
        <v>302</v>
      </c>
      <c r="W420" s="3" t="s">
        <v>38</v>
      </c>
      <c r="X420" s="3" t="s">
        <v>39</v>
      </c>
      <c r="Y420" s="3" t="s">
        <v>40</v>
      </c>
      <c r="Z420" s="3" t="s">
        <v>41</v>
      </c>
      <c r="AA420" s="3" t="s">
        <v>42</v>
      </c>
      <c r="AB420" s="3" t="s">
        <v>78</v>
      </c>
      <c r="AC420" s="3" t="s">
        <v>31</v>
      </c>
      <c r="AD420" s="3">
        <v>0</v>
      </c>
    </row>
    <row r="421" spans="1:30" x14ac:dyDescent="0.3">
      <c r="A421" s="3">
        <v>379</v>
      </c>
      <c r="B421" s="3" t="s">
        <v>301</v>
      </c>
      <c r="C421" s="3" t="s">
        <v>302</v>
      </c>
      <c r="D421" s="3" t="s">
        <v>31</v>
      </c>
      <c r="E421" s="3" t="s">
        <v>32</v>
      </c>
      <c r="F421" s="12">
        <v>46022</v>
      </c>
      <c r="G421" s="3">
        <f>YEAR(F421)</f>
        <v>2025</v>
      </c>
      <c r="H421" s="3" t="str">
        <f>PROPER(TEXT(F421,"mmmm"))</f>
        <v>Diciembre</v>
      </c>
      <c r="I421" s="3" t="str">
        <f>IF(H421="Junio",G421&amp;"-1",G421&amp;"-2")</f>
        <v>2025-2</v>
      </c>
      <c r="J421" s="3">
        <v>2</v>
      </c>
      <c r="K421" s="3">
        <v>11019</v>
      </c>
      <c r="L421" s="3">
        <v>11285</v>
      </c>
      <c r="M421" s="3">
        <f t="shared" si="61"/>
        <v>1.0241401216081314</v>
      </c>
      <c r="N421" s="3">
        <f t="shared" si="62"/>
        <v>1.0241401216081314</v>
      </c>
      <c r="O421" s="3" t="s">
        <v>35</v>
      </c>
      <c r="P421" s="3" t="s">
        <v>35</v>
      </c>
      <c r="Q421" s="3" t="str">
        <f t="shared" si="57"/>
        <v>379-2025-12-31</v>
      </c>
      <c r="R421" s="3">
        <v>0</v>
      </c>
      <c r="S421" s="3">
        <v>0</v>
      </c>
      <c r="T421" s="3" t="s">
        <v>31</v>
      </c>
      <c r="U421" s="3" t="s">
        <v>37</v>
      </c>
      <c r="V421" s="3" t="s">
        <v>302</v>
      </c>
      <c r="W421" s="3" t="s">
        <v>38</v>
      </c>
      <c r="X421" s="3" t="s">
        <v>39</v>
      </c>
      <c r="Y421" s="3" t="s">
        <v>40</v>
      </c>
      <c r="Z421" s="3" t="s">
        <v>41</v>
      </c>
      <c r="AA421" s="3" t="s">
        <v>42</v>
      </c>
      <c r="AB421" s="3" t="s">
        <v>78</v>
      </c>
      <c r="AC421" s="3" t="s">
        <v>31</v>
      </c>
      <c r="AD421" s="3">
        <v>0</v>
      </c>
    </row>
    <row r="422" spans="1:30" x14ac:dyDescent="0.3">
      <c r="A422" s="3">
        <v>385</v>
      </c>
      <c r="B422" s="3" t="s">
        <v>309</v>
      </c>
      <c r="C422" s="3" t="s">
        <v>310</v>
      </c>
      <c r="D422" s="3" t="s">
        <v>31</v>
      </c>
      <c r="E422" s="3" t="s">
        <v>32</v>
      </c>
      <c r="F422" s="12">
        <v>44926</v>
      </c>
      <c r="G422" s="3">
        <v>2022</v>
      </c>
      <c r="H422" s="3" t="s">
        <v>44</v>
      </c>
      <c r="I422" s="3" t="s">
        <v>45</v>
      </c>
      <c r="J422" s="3">
        <v>2</v>
      </c>
      <c r="K422" s="3">
        <v>13361</v>
      </c>
      <c r="L422" s="3">
        <v>10035.311890999999</v>
      </c>
      <c r="M422" s="3">
        <f>L422/K422</f>
        <v>0.75108988032332902</v>
      </c>
      <c r="N422" s="3">
        <f>L422/K422</f>
        <v>0.75108988032332902</v>
      </c>
      <c r="O422" s="3" t="s">
        <v>143</v>
      </c>
      <c r="P422" s="3" t="s">
        <v>143</v>
      </c>
      <c r="Q422" s="3" t="str">
        <f t="shared" si="57"/>
        <v>385-2022-12-31</v>
      </c>
      <c r="R422" s="3">
        <v>0</v>
      </c>
      <c r="S422" s="3">
        <v>0</v>
      </c>
      <c r="T422" s="3" t="s">
        <v>31</v>
      </c>
      <c r="U422" s="3" t="s">
        <v>37</v>
      </c>
      <c r="V422" s="3" t="s">
        <v>310</v>
      </c>
      <c r="W422" s="3" t="s">
        <v>312</v>
      </c>
      <c r="X422" s="3" t="s">
        <v>313</v>
      </c>
      <c r="Y422" s="3" t="s">
        <v>314</v>
      </c>
      <c r="Z422" s="3" t="s">
        <v>63</v>
      </c>
      <c r="AA422" s="3" t="s">
        <v>148</v>
      </c>
      <c r="AB422" s="3" t="s">
        <v>43</v>
      </c>
      <c r="AC422" s="3" t="s">
        <v>66</v>
      </c>
      <c r="AD422" s="3">
        <v>0</v>
      </c>
    </row>
    <row r="423" spans="1:30" x14ac:dyDescent="0.3">
      <c r="A423" s="3">
        <v>385</v>
      </c>
      <c r="B423" s="3" t="s">
        <v>309</v>
      </c>
      <c r="C423" s="3" t="s">
        <v>310</v>
      </c>
      <c r="D423" s="3" t="s">
        <v>31</v>
      </c>
      <c r="E423" s="3" t="s">
        <v>32</v>
      </c>
      <c r="F423" s="12">
        <v>44926</v>
      </c>
      <c r="G423" s="3">
        <v>2022</v>
      </c>
      <c r="H423" s="3" t="s">
        <v>44</v>
      </c>
      <c r="I423" s="3" t="s">
        <v>45</v>
      </c>
      <c r="J423" s="3"/>
      <c r="K423" s="3">
        <v>13361</v>
      </c>
      <c r="L423" s="3">
        <v>10035.311890999999</v>
      </c>
      <c r="M423" s="3">
        <f t="shared" ref="M423:M428" si="63">L423/K423</f>
        <v>0.75108988032332902</v>
      </c>
      <c r="N423" s="3">
        <f t="shared" ref="N423:N428" si="64">L423/K423</f>
        <v>0.75108988032332902</v>
      </c>
      <c r="O423" s="3" t="s">
        <v>143</v>
      </c>
      <c r="P423" s="3" t="s">
        <v>143</v>
      </c>
      <c r="Q423" s="3" t="str">
        <f t="shared" si="57"/>
        <v>385-2022-12-31</v>
      </c>
      <c r="R423" s="3">
        <v>0</v>
      </c>
      <c r="S423" s="3">
        <v>0</v>
      </c>
      <c r="T423" s="3" t="s">
        <v>443</v>
      </c>
      <c r="U423" s="3" t="s">
        <v>37</v>
      </c>
      <c r="V423" s="3" t="s">
        <v>310</v>
      </c>
      <c r="W423" s="3" t="s">
        <v>312</v>
      </c>
      <c r="X423" s="3" t="s">
        <v>313</v>
      </c>
      <c r="Y423" s="3" t="s">
        <v>314</v>
      </c>
      <c r="Z423" s="3" t="s">
        <v>63</v>
      </c>
      <c r="AA423" s="3" t="s">
        <v>148</v>
      </c>
      <c r="AB423" s="3" t="s">
        <v>43</v>
      </c>
      <c r="AC423" s="3" t="s">
        <v>66</v>
      </c>
      <c r="AD423" s="3">
        <v>0</v>
      </c>
    </row>
    <row r="424" spans="1:30" x14ac:dyDescent="0.3">
      <c r="A424" s="3">
        <v>385</v>
      </c>
      <c r="B424" s="3" t="s">
        <v>309</v>
      </c>
      <c r="C424" s="3" t="s">
        <v>310</v>
      </c>
      <c r="D424" s="3" t="s">
        <v>31</v>
      </c>
      <c r="E424" s="3" t="s">
        <v>32</v>
      </c>
      <c r="F424" s="12">
        <v>45291</v>
      </c>
      <c r="G424" s="3">
        <v>2023</v>
      </c>
      <c r="H424" s="3" t="s">
        <v>44</v>
      </c>
      <c r="I424" s="3" t="s">
        <v>49</v>
      </c>
      <c r="J424" s="3">
        <v>2</v>
      </c>
      <c r="K424" s="3">
        <v>14097.721</v>
      </c>
      <c r="L424" s="3">
        <v>17697.080526999998</v>
      </c>
      <c r="M424" s="3">
        <f t="shared" si="63"/>
        <v>1.2553149921891629</v>
      </c>
      <c r="N424" s="3">
        <f t="shared" si="64"/>
        <v>1.2553149921891629</v>
      </c>
      <c r="O424" s="3" t="s">
        <v>143</v>
      </c>
      <c r="P424" s="3" t="s">
        <v>143</v>
      </c>
      <c r="Q424" s="3" t="str">
        <f t="shared" si="57"/>
        <v>385-2023-12-31</v>
      </c>
      <c r="R424" s="3">
        <v>0</v>
      </c>
      <c r="S424" s="3">
        <v>0</v>
      </c>
      <c r="T424" s="3" t="s">
        <v>31</v>
      </c>
      <c r="U424" s="3" t="s">
        <v>37</v>
      </c>
      <c r="V424" s="3" t="s">
        <v>310</v>
      </c>
      <c r="W424" s="3" t="s">
        <v>312</v>
      </c>
      <c r="X424" s="3" t="s">
        <v>313</v>
      </c>
      <c r="Y424" s="3" t="s">
        <v>314</v>
      </c>
      <c r="Z424" s="3" t="s">
        <v>63</v>
      </c>
      <c r="AA424" s="3" t="s">
        <v>148</v>
      </c>
      <c r="AB424" s="3" t="s">
        <v>43</v>
      </c>
      <c r="AC424" s="3" t="s">
        <v>66</v>
      </c>
      <c r="AD424" s="3">
        <v>0</v>
      </c>
    </row>
    <row r="425" spans="1:30" x14ac:dyDescent="0.3">
      <c r="A425" s="3">
        <v>385</v>
      </c>
      <c r="B425" s="3" t="s">
        <v>309</v>
      </c>
      <c r="C425" s="3" t="s">
        <v>310</v>
      </c>
      <c r="D425" s="3" t="s">
        <v>31</v>
      </c>
      <c r="E425" s="3" t="s">
        <v>32</v>
      </c>
      <c r="F425" s="12">
        <v>45291</v>
      </c>
      <c r="G425" s="3">
        <v>2023</v>
      </c>
      <c r="H425" s="3" t="s">
        <v>44</v>
      </c>
      <c r="I425" s="3" t="s">
        <v>49</v>
      </c>
      <c r="J425" s="3"/>
      <c r="K425" s="3">
        <v>14097.721</v>
      </c>
      <c r="L425" s="3">
        <v>17697.080526999998</v>
      </c>
      <c r="M425" s="3">
        <f t="shared" si="63"/>
        <v>1.2553149921891629</v>
      </c>
      <c r="N425" s="3">
        <f t="shared" si="64"/>
        <v>1.2553149921891629</v>
      </c>
      <c r="O425" s="3" t="s">
        <v>143</v>
      </c>
      <c r="P425" s="3" t="s">
        <v>143</v>
      </c>
      <c r="Q425" s="3" t="str">
        <f t="shared" si="57"/>
        <v>385-2023-12-31</v>
      </c>
      <c r="R425" s="3">
        <v>0</v>
      </c>
      <c r="S425" s="3">
        <v>0</v>
      </c>
      <c r="T425" s="3" t="s">
        <v>443</v>
      </c>
      <c r="U425" s="3" t="s">
        <v>37</v>
      </c>
      <c r="V425" s="3" t="s">
        <v>310</v>
      </c>
      <c r="W425" s="3" t="s">
        <v>312</v>
      </c>
      <c r="X425" s="3" t="s">
        <v>313</v>
      </c>
      <c r="Y425" s="3" t="s">
        <v>314</v>
      </c>
      <c r="Z425" s="3" t="s">
        <v>63</v>
      </c>
      <c r="AA425" s="3" t="s">
        <v>148</v>
      </c>
      <c r="AB425" s="3" t="s">
        <v>43</v>
      </c>
      <c r="AC425" s="3" t="s">
        <v>66</v>
      </c>
      <c r="AD425" s="3">
        <v>0</v>
      </c>
    </row>
    <row r="426" spans="1:30" x14ac:dyDescent="0.3">
      <c r="A426" s="3">
        <v>385</v>
      </c>
      <c r="B426" s="3" t="s">
        <v>309</v>
      </c>
      <c r="C426" s="3" t="s">
        <v>310</v>
      </c>
      <c r="D426" s="3" t="s">
        <v>31</v>
      </c>
      <c r="E426" s="3" t="s">
        <v>32</v>
      </c>
      <c r="F426" s="12">
        <v>45657</v>
      </c>
      <c r="G426" s="3">
        <v>2024</v>
      </c>
      <c r="H426" s="3" t="s">
        <v>44</v>
      </c>
      <c r="I426" s="3" t="s">
        <v>53</v>
      </c>
      <c r="J426" s="3">
        <v>2</v>
      </c>
      <c r="K426" s="3">
        <v>15507.493100000003</v>
      </c>
      <c r="L426" s="3">
        <v>13243.138849000001</v>
      </c>
      <c r="M426" s="3">
        <f t="shared" si="63"/>
        <v>0.85398321724869886</v>
      </c>
      <c r="N426" s="3">
        <f t="shared" si="64"/>
        <v>0.85398321724869886</v>
      </c>
      <c r="O426" s="3" t="s">
        <v>143</v>
      </c>
      <c r="P426" s="3" t="s">
        <v>143</v>
      </c>
      <c r="Q426" s="3" t="str">
        <f t="shared" si="57"/>
        <v>385-2024-12-31</v>
      </c>
      <c r="R426" s="3">
        <v>0</v>
      </c>
      <c r="S426" s="3">
        <v>0</v>
      </c>
      <c r="T426" s="3" t="s">
        <v>31</v>
      </c>
      <c r="U426" s="3" t="s">
        <v>37</v>
      </c>
      <c r="V426" s="3" t="s">
        <v>310</v>
      </c>
      <c r="W426" s="3" t="s">
        <v>312</v>
      </c>
      <c r="X426" s="3" t="s">
        <v>313</v>
      </c>
      <c r="Y426" s="3" t="s">
        <v>314</v>
      </c>
      <c r="Z426" s="3" t="s">
        <v>63</v>
      </c>
      <c r="AA426" s="3" t="s">
        <v>148</v>
      </c>
      <c r="AB426" s="3" t="s">
        <v>43</v>
      </c>
      <c r="AC426" s="3" t="s">
        <v>66</v>
      </c>
      <c r="AD426" s="3">
        <v>0</v>
      </c>
    </row>
    <row r="427" spans="1:30" x14ac:dyDescent="0.3">
      <c r="A427" s="3">
        <v>385</v>
      </c>
      <c r="B427" s="3" t="s">
        <v>309</v>
      </c>
      <c r="C427" s="3" t="s">
        <v>310</v>
      </c>
      <c r="D427" s="3" t="s">
        <v>31</v>
      </c>
      <c r="E427" s="3" t="s">
        <v>32</v>
      </c>
      <c r="F427" s="12">
        <v>45657</v>
      </c>
      <c r="G427" s="3">
        <v>2024</v>
      </c>
      <c r="H427" s="3" t="s">
        <v>44</v>
      </c>
      <c r="I427" s="3" t="s">
        <v>53</v>
      </c>
      <c r="J427" s="3"/>
      <c r="K427" s="3">
        <v>15507.493100000003</v>
      </c>
      <c r="L427" s="3">
        <v>13243.138849000001</v>
      </c>
      <c r="M427" s="3">
        <f t="shared" si="63"/>
        <v>0.85398321724869886</v>
      </c>
      <c r="N427" s="3">
        <f t="shared" si="64"/>
        <v>0.85398321724869886</v>
      </c>
      <c r="O427" s="3" t="s">
        <v>143</v>
      </c>
      <c r="P427" s="3" t="s">
        <v>143</v>
      </c>
      <c r="Q427" s="3" t="str">
        <f t="shared" si="57"/>
        <v>385-2024-12-31</v>
      </c>
      <c r="R427" s="3">
        <v>0</v>
      </c>
      <c r="S427" s="3">
        <v>0</v>
      </c>
      <c r="T427" s="3" t="s">
        <v>443</v>
      </c>
      <c r="U427" s="3" t="s">
        <v>37</v>
      </c>
      <c r="V427" s="3" t="s">
        <v>310</v>
      </c>
      <c r="W427" s="3" t="s">
        <v>312</v>
      </c>
      <c r="X427" s="3" t="s">
        <v>313</v>
      </c>
      <c r="Y427" s="3" t="s">
        <v>314</v>
      </c>
      <c r="Z427" s="3" t="s">
        <v>63</v>
      </c>
      <c r="AA427" s="3" t="s">
        <v>148</v>
      </c>
      <c r="AB427" s="3" t="s">
        <v>43</v>
      </c>
      <c r="AC427" s="3" t="s">
        <v>66</v>
      </c>
      <c r="AD427" s="3">
        <v>0</v>
      </c>
    </row>
    <row r="428" spans="1:30" x14ac:dyDescent="0.3">
      <c r="A428" s="3">
        <v>385</v>
      </c>
      <c r="B428" s="3" t="s">
        <v>309</v>
      </c>
      <c r="C428" s="3" t="s">
        <v>310</v>
      </c>
      <c r="D428" s="3" t="s">
        <v>31</v>
      </c>
      <c r="E428" s="3" t="s">
        <v>32</v>
      </c>
      <c r="F428" s="12">
        <v>46022</v>
      </c>
      <c r="G428" s="3">
        <v>2025</v>
      </c>
      <c r="H428" s="3" t="s">
        <v>44</v>
      </c>
      <c r="I428" s="3" t="s">
        <v>465</v>
      </c>
      <c r="J428" s="3">
        <v>2</v>
      </c>
      <c r="K428" s="3">
        <f>17058242411/1000000</f>
        <v>17058.242410999999</v>
      </c>
      <c r="L428" s="3">
        <f>17356249390/1000000</f>
        <v>17356.249390000001</v>
      </c>
      <c r="M428" s="3">
        <f t="shared" si="63"/>
        <v>1.0174699697553735</v>
      </c>
      <c r="N428" s="3">
        <f t="shared" si="64"/>
        <v>1.0174699697553735</v>
      </c>
      <c r="O428" s="3" t="s">
        <v>143</v>
      </c>
      <c r="P428" s="3" t="s">
        <v>143</v>
      </c>
      <c r="Q428" s="3" t="str">
        <f t="shared" si="57"/>
        <v>385-2025-12-31</v>
      </c>
      <c r="R428" s="3">
        <v>0</v>
      </c>
      <c r="S428" s="3">
        <v>0</v>
      </c>
      <c r="T428" s="3" t="s">
        <v>31</v>
      </c>
      <c r="U428" s="3" t="s">
        <v>37</v>
      </c>
      <c r="V428" s="3" t="s">
        <v>310</v>
      </c>
      <c r="W428" s="3" t="s">
        <v>312</v>
      </c>
      <c r="X428" s="3" t="s">
        <v>313</v>
      </c>
      <c r="Y428" s="3" t="s">
        <v>314</v>
      </c>
      <c r="Z428" s="3"/>
      <c r="AA428" s="3"/>
      <c r="AB428" s="3" t="s">
        <v>43</v>
      </c>
      <c r="AC428" s="3" t="s">
        <v>66</v>
      </c>
      <c r="AD428" s="3">
        <v>0</v>
      </c>
    </row>
    <row r="429" spans="1:30" x14ac:dyDescent="0.3">
      <c r="A429" s="3" t="s">
        <v>591</v>
      </c>
      <c r="B429" s="3" t="s">
        <v>377</v>
      </c>
      <c r="C429" s="3" t="s">
        <v>310</v>
      </c>
      <c r="D429" s="3" t="s">
        <v>31</v>
      </c>
      <c r="E429" s="3" t="s">
        <v>32</v>
      </c>
      <c r="F429" s="12">
        <v>44926</v>
      </c>
      <c r="G429" s="3">
        <v>2022</v>
      </c>
      <c r="H429" s="3" t="s">
        <v>44</v>
      </c>
      <c r="I429" s="3" t="s">
        <v>45</v>
      </c>
      <c r="J429" s="3">
        <v>2</v>
      </c>
      <c r="K429" s="3">
        <f>894406923/1000000</f>
        <v>894.40692300000001</v>
      </c>
      <c r="L429" s="3">
        <f>894406923/1000000</f>
        <v>894.40692300000001</v>
      </c>
      <c r="M429" s="3">
        <f>+L429/K429</f>
        <v>1</v>
      </c>
      <c r="N429" s="3">
        <f t="shared" ref="N429:N435" si="65">+L429/K429</f>
        <v>1</v>
      </c>
      <c r="O429" s="3" t="s">
        <v>143</v>
      </c>
      <c r="P429" s="3" t="s">
        <v>143</v>
      </c>
      <c r="Q429" s="3" t="str">
        <f t="shared" si="57"/>
        <v>386.1-2022-12-31</v>
      </c>
      <c r="R429" s="3">
        <v>0</v>
      </c>
      <c r="S429" s="3">
        <v>0</v>
      </c>
      <c r="T429" s="3" t="s">
        <v>31</v>
      </c>
      <c r="U429" s="3" t="s">
        <v>37</v>
      </c>
      <c r="V429" s="3" t="s">
        <v>310</v>
      </c>
      <c r="W429" s="3" t="s">
        <v>312</v>
      </c>
      <c r="X429" s="3" t="s">
        <v>313</v>
      </c>
      <c r="Y429" s="3" t="s">
        <v>314</v>
      </c>
      <c r="Z429" s="3" t="s">
        <v>63</v>
      </c>
      <c r="AA429" s="3" t="s">
        <v>148</v>
      </c>
      <c r="AB429" s="3" t="s">
        <v>78</v>
      </c>
      <c r="AC429" s="3" t="s">
        <v>66</v>
      </c>
      <c r="AD429" s="3">
        <v>0</v>
      </c>
    </row>
    <row r="430" spans="1:30" x14ac:dyDescent="0.3">
      <c r="A430" s="3" t="s">
        <v>591</v>
      </c>
      <c r="B430" s="3" t="s">
        <v>377</v>
      </c>
      <c r="C430" s="3" t="s">
        <v>310</v>
      </c>
      <c r="D430" s="3" t="s">
        <v>31</v>
      </c>
      <c r="E430" s="3" t="s">
        <v>32</v>
      </c>
      <c r="F430" s="12">
        <v>44926</v>
      </c>
      <c r="G430" s="3">
        <v>2022</v>
      </c>
      <c r="H430" s="3" t="s">
        <v>44</v>
      </c>
      <c r="I430" s="3" t="s">
        <v>45</v>
      </c>
      <c r="J430" s="3"/>
      <c r="K430" s="3">
        <f>894406923/1000000</f>
        <v>894.40692300000001</v>
      </c>
      <c r="L430" s="3">
        <f>894406923/1000000</f>
        <v>894.40692300000001</v>
      </c>
      <c r="M430" s="3">
        <f>+L430/K430</f>
        <v>1</v>
      </c>
      <c r="N430" s="3">
        <f t="shared" si="65"/>
        <v>1</v>
      </c>
      <c r="O430" s="3" t="s">
        <v>143</v>
      </c>
      <c r="P430" s="3" t="s">
        <v>143</v>
      </c>
      <c r="Q430" s="3" t="str">
        <f t="shared" si="57"/>
        <v>386.1-2022-12-31</v>
      </c>
      <c r="R430" s="3">
        <v>0</v>
      </c>
      <c r="S430" s="3">
        <v>0</v>
      </c>
      <c r="T430" s="3" t="s">
        <v>443</v>
      </c>
      <c r="U430" s="3" t="s">
        <v>37</v>
      </c>
      <c r="V430" s="3" t="s">
        <v>310</v>
      </c>
      <c r="W430" s="3" t="s">
        <v>312</v>
      </c>
      <c r="X430" s="3" t="s">
        <v>313</v>
      </c>
      <c r="Y430" s="3" t="s">
        <v>314</v>
      </c>
      <c r="Z430" s="3" t="s">
        <v>63</v>
      </c>
      <c r="AA430" s="3" t="s">
        <v>148</v>
      </c>
      <c r="AB430" s="3" t="s">
        <v>78</v>
      </c>
      <c r="AC430" s="3" t="s">
        <v>66</v>
      </c>
      <c r="AD430" s="3">
        <v>0</v>
      </c>
    </row>
    <row r="431" spans="1:30" x14ac:dyDescent="0.3">
      <c r="A431" s="3" t="s">
        <v>591</v>
      </c>
      <c r="B431" s="3" t="s">
        <v>377</v>
      </c>
      <c r="C431" s="3" t="s">
        <v>310</v>
      </c>
      <c r="D431" s="3" t="s">
        <v>31</v>
      </c>
      <c r="E431" s="3" t="s">
        <v>32</v>
      </c>
      <c r="F431" s="12">
        <v>45291</v>
      </c>
      <c r="G431" s="3">
        <v>2023</v>
      </c>
      <c r="H431" s="3" t="s">
        <v>44</v>
      </c>
      <c r="I431" s="3" t="s">
        <v>49</v>
      </c>
      <c r="J431" s="3">
        <v>2</v>
      </c>
      <c r="K431" s="3">
        <v>1357.778</v>
      </c>
      <c r="L431" s="3">
        <f>3779928348/1000000</f>
        <v>3779.9283479999999</v>
      </c>
      <c r="M431" s="3">
        <f>IF(+L431/K431&gt;1.3,1.3,L431/K431)</f>
        <v>1.3</v>
      </c>
      <c r="N431" s="3">
        <f t="shared" si="65"/>
        <v>2.7839074929774967</v>
      </c>
      <c r="O431" s="3" t="s">
        <v>143</v>
      </c>
      <c r="P431" s="3" t="s">
        <v>143</v>
      </c>
      <c r="Q431" s="3" t="str">
        <f t="shared" si="57"/>
        <v>386.1-2023-12-31</v>
      </c>
      <c r="R431" s="3">
        <v>0</v>
      </c>
      <c r="S431" s="3">
        <v>0</v>
      </c>
      <c r="T431" s="3" t="s">
        <v>31</v>
      </c>
      <c r="U431" s="3" t="s">
        <v>37</v>
      </c>
      <c r="V431" s="3" t="s">
        <v>310</v>
      </c>
      <c r="W431" s="3" t="s">
        <v>312</v>
      </c>
      <c r="X431" s="3" t="s">
        <v>313</v>
      </c>
      <c r="Y431" s="3" t="s">
        <v>314</v>
      </c>
      <c r="Z431" s="3" t="s">
        <v>63</v>
      </c>
      <c r="AA431" s="3" t="s">
        <v>148</v>
      </c>
      <c r="AB431" s="3" t="s">
        <v>78</v>
      </c>
      <c r="AC431" s="3" t="s">
        <v>66</v>
      </c>
      <c r="AD431" s="3">
        <v>0</v>
      </c>
    </row>
    <row r="432" spans="1:30" x14ac:dyDescent="0.3">
      <c r="A432" s="3" t="s">
        <v>591</v>
      </c>
      <c r="B432" s="3" t="s">
        <v>377</v>
      </c>
      <c r="C432" s="3" t="s">
        <v>310</v>
      </c>
      <c r="D432" s="3" t="s">
        <v>31</v>
      </c>
      <c r="E432" s="3" t="s">
        <v>32</v>
      </c>
      <c r="F432" s="12">
        <v>45291</v>
      </c>
      <c r="G432" s="3">
        <v>2023</v>
      </c>
      <c r="H432" s="3" t="s">
        <v>44</v>
      </c>
      <c r="I432" s="3" t="s">
        <v>49</v>
      </c>
      <c r="J432" s="3"/>
      <c r="K432" s="3">
        <v>1357.778</v>
      </c>
      <c r="L432" s="3">
        <f>3779928348/1000000</f>
        <v>3779.9283479999999</v>
      </c>
      <c r="M432" s="3">
        <f t="shared" ref="M432:M435" si="66">IF(+L432/K432&gt;1.3,1.3,L432/K432)</f>
        <v>1.3</v>
      </c>
      <c r="N432" s="3">
        <f t="shared" si="65"/>
        <v>2.7839074929774967</v>
      </c>
      <c r="O432" s="3" t="s">
        <v>143</v>
      </c>
      <c r="P432" s="3" t="s">
        <v>143</v>
      </c>
      <c r="Q432" s="3" t="str">
        <f t="shared" si="57"/>
        <v>386.1-2023-12-31</v>
      </c>
      <c r="R432" s="3">
        <v>0</v>
      </c>
      <c r="S432" s="3">
        <v>0</v>
      </c>
      <c r="T432" s="3" t="s">
        <v>443</v>
      </c>
      <c r="U432" s="3" t="s">
        <v>37</v>
      </c>
      <c r="V432" s="3" t="s">
        <v>310</v>
      </c>
      <c r="W432" s="3" t="s">
        <v>312</v>
      </c>
      <c r="X432" s="3" t="s">
        <v>313</v>
      </c>
      <c r="Y432" s="3" t="s">
        <v>314</v>
      </c>
      <c r="Z432" s="3" t="s">
        <v>63</v>
      </c>
      <c r="AA432" s="3" t="s">
        <v>148</v>
      </c>
      <c r="AB432" s="3" t="s">
        <v>78</v>
      </c>
      <c r="AC432" s="3" t="s">
        <v>66</v>
      </c>
      <c r="AD432" s="3">
        <v>0</v>
      </c>
    </row>
    <row r="433" spans="1:30" x14ac:dyDescent="0.3">
      <c r="A433" s="3" t="s">
        <v>591</v>
      </c>
      <c r="B433" s="3" t="s">
        <v>377</v>
      </c>
      <c r="C433" s="3" t="s">
        <v>310</v>
      </c>
      <c r="D433" s="3" t="s">
        <v>31</v>
      </c>
      <c r="E433" s="3" t="s">
        <v>32</v>
      </c>
      <c r="F433" s="12">
        <v>45657</v>
      </c>
      <c r="G433" s="3">
        <v>2024</v>
      </c>
      <c r="H433" s="3" t="s">
        <v>44</v>
      </c>
      <c r="I433" s="3" t="s">
        <v>53</v>
      </c>
      <c r="J433" s="3">
        <v>2</v>
      </c>
      <c r="K433" s="3">
        <v>3424.2073961999995</v>
      </c>
      <c r="L433" s="3">
        <v>4694.2130900000002</v>
      </c>
      <c r="M433" s="3">
        <f t="shared" si="66"/>
        <v>1.3</v>
      </c>
      <c r="N433" s="3">
        <f t="shared" si="65"/>
        <v>1.3708904125402521</v>
      </c>
      <c r="O433" s="3" t="s">
        <v>143</v>
      </c>
      <c r="P433" s="3" t="s">
        <v>143</v>
      </c>
      <c r="Q433" s="3" t="str">
        <f t="shared" si="57"/>
        <v>386.1-2024-12-31</v>
      </c>
      <c r="R433" s="3">
        <v>0</v>
      </c>
      <c r="S433" s="3">
        <v>0</v>
      </c>
      <c r="T433" s="3" t="s">
        <v>31</v>
      </c>
      <c r="U433" s="3" t="s">
        <v>37</v>
      </c>
      <c r="V433" s="3" t="s">
        <v>310</v>
      </c>
      <c r="W433" s="3" t="s">
        <v>312</v>
      </c>
      <c r="X433" s="3" t="s">
        <v>313</v>
      </c>
      <c r="Y433" s="3" t="s">
        <v>314</v>
      </c>
      <c r="Z433" s="3" t="s">
        <v>63</v>
      </c>
      <c r="AA433" s="3" t="s">
        <v>148</v>
      </c>
      <c r="AB433" s="3" t="s">
        <v>78</v>
      </c>
      <c r="AC433" s="3" t="s">
        <v>66</v>
      </c>
      <c r="AD433" s="3">
        <v>0</v>
      </c>
    </row>
    <row r="434" spans="1:30" x14ac:dyDescent="0.3">
      <c r="A434" s="3" t="s">
        <v>591</v>
      </c>
      <c r="B434" s="3" t="s">
        <v>377</v>
      </c>
      <c r="C434" s="3" t="s">
        <v>310</v>
      </c>
      <c r="D434" s="3" t="s">
        <v>31</v>
      </c>
      <c r="E434" s="3" t="s">
        <v>32</v>
      </c>
      <c r="F434" s="12">
        <v>45657</v>
      </c>
      <c r="G434" s="3">
        <v>2024</v>
      </c>
      <c r="H434" s="3" t="s">
        <v>44</v>
      </c>
      <c r="I434" s="3" t="s">
        <v>53</v>
      </c>
      <c r="J434" s="3"/>
      <c r="K434" s="3">
        <v>3424.2073961999995</v>
      </c>
      <c r="L434" s="3">
        <v>4694.2130900000002</v>
      </c>
      <c r="M434" s="3">
        <f t="shared" si="66"/>
        <v>1.3</v>
      </c>
      <c r="N434" s="3">
        <f t="shared" si="65"/>
        <v>1.3708904125402521</v>
      </c>
      <c r="O434" s="3" t="s">
        <v>143</v>
      </c>
      <c r="P434" s="3" t="s">
        <v>143</v>
      </c>
      <c r="Q434" s="3" t="str">
        <f t="shared" si="57"/>
        <v>386.1-2024-12-31</v>
      </c>
      <c r="R434" s="3">
        <v>0</v>
      </c>
      <c r="S434" s="3">
        <v>0</v>
      </c>
      <c r="T434" s="3" t="s">
        <v>443</v>
      </c>
      <c r="U434" s="3" t="s">
        <v>37</v>
      </c>
      <c r="V434" s="3" t="s">
        <v>310</v>
      </c>
      <c r="W434" s="3" t="s">
        <v>312</v>
      </c>
      <c r="X434" s="3" t="s">
        <v>313</v>
      </c>
      <c r="Y434" s="3" t="s">
        <v>314</v>
      </c>
      <c r="Z434" s="3" t="s">
        <v>63</v>
      </c>
      <c r="AA434" s="3" t="s">
        <v>148</v>
      </c>
      <c r="AB434" s="3" t="s">
        <v>78</v>
      </c>
      <c r="AC434" s="3" t="s">
        <v>66</v>
      </c>
      <c r="AD434" s="3">
        <v>0</v>
      </c>
    </row>
    <row r="435" spans="1:30" x14ac:dyDescent="0.3">
      <c r="A435" s="3" t="s">
        <v>591</v>
      </c>
      <c r="B435" s="3" t="s">
        <v>377</v>
      </c>
      <c r="C435" s="3" t="s">
        <v>310</v>
      </c>
      <c r="D435" s="3" t="s">
        <v>31</v>
      </c>
      <c r="E435" s="3" t="s">
        <v>32</v>
      </c>
      <c r="F435" s="12">
        <v>46022</v>
      </c>
      <c r="G435" s="3">
        <v>2025</v>
      </c>
      <c r="H435" s="3" t="s">
        <v>44</v>
      </c>
      <c r="I435" s="3" t="s">
        <v>465</v>
      </c>
      <c r="J435" s="3">
        <v>2</v>
      </c>
      <c r="K435" s="3">
        <f>4042632396/1000000</f>
        <v>4042.632396</v>
      </c>
      <c r="L435" s="3">
        <f>3067372669/1000000</f>
        <v>3067.3726689999999</v>
      </c>
      <c r="M435" s="3">
        <f t="shared" si="66"/>
        <v>0.75875626783059102</v>
      </c>
      <c r="N435" s="3">
        <f t="shared" si="65"/>
        <v>0.75875626783059102</v>
      </c>
      <c r="O435" s="3" t="s">
        <v>143</v>
      </c>
      <c r="P435" s="3" t="s">
        <v>143</v>
      </c>
      <c r="Q435" s="3" t="str">
        <f t="shared" si="57"/>
        <v>386.1-2025-12-31</v>
      </c>
      <c r="R435" s="3">
        <v>0</v>
      </c>
      <c r="S435" s="3">
        <v>0</v>
      </c>
      <c r="T435" s="3" t="s">
        <v>31</v>
      </c>
      <c r="U435" s="3" t="s">
        <v>37</v>
      </c>
      <c r="V435" s="3" t="s">
        <v>310</v>
      </c>
      <c r="W435" s="3" t="s">
        <v>312</v>
      </c>
      <c r="X435" s="3" t="s">
        <v>313</v>
      </c>
      <c r="Y435" s="3" t="s">
        <v>314</v>
      </c>
      <c r="Z435" s="3"/>
      <c r="AA435" s="3"/>
      <c r="AB435" s="3" t="s">
        <v>78</v>
      </c>
      <c r="AC435" s="3" t="s">
        <v>66</v>
      </c>
      <c r="AD435" s="3">
        <v>0</v>
      </c>
    </row>
    <row r="436" spans="1:30" x14ac:dyDescent="0.3">
      <c r="A436" s="3" t="s">
        <v>592</v>
      </c>
      <c r="B436" s="3" t="s">
        <v>382</v>
      </c>
      <c r="C436" s="3" t="s">
        <v>310</v>
      </c>
      <c r="D436" s="3" t="s">
        <v>31</v>
      </c>
      <c r="E436" s="3" t="s">
        <v>32</v>
      </c>
      <c r="F436" s="12">
        <v>44926</v>
      </c>
      <c r="G436" s="3">
        <f>YEAR(F436)</f>
        <v>2022</v>
      </c>
      <c r="H436" s="3" t="s">
        <v>44</v>
      </c>
      <c r="I436" s="3" t="s">
        <v>45</v>
      </c>
      <c r="J436" s="3">
        <v>2</v>
      </c>
      <c r="K436" s="3">
        <f>5335242827/1000000</f>
        <v>5335.242827</v>
      </c>
      <c r="L436" s="3">
        <f>5335242827/1000000</f>
        <v>5335.242827</v>
      </c>
      <c r="M436" s="3">
        <f>L436/K436</f>
        <v>1</v>
      </c>
      <c r="N436" s="3">
        <f>L436/K436</f>
        <v>1</v>
      </c>
      <c r="O436" s="3" t="s">
        <v>143</v>
      </c>
      <c r="P436" s="3" t="s">
        <v>143</v>
      </c>
      <c r="Q436" s="3" t="str">
        <f t="shared" si="57"/>
        <v>386.2-2022-12-31</v>
      </c>
      <c r="R436" s="3">
        <v>0</v>
      </c>
      <c r="S436" s="3">
        <v>0</v>
      </c>
      <c r="T436" s="3" t="s">
        <v>31</v>
      </c>
      <c r="U436" s="3" t="s">
        <v>37</v>
      </c>
      <c r="V436" s="3" t="s">
        <v>310</v>
      </c>
      <c r="W436" s="3" t="s">
        <v>312</v>
      </c>
      <c r="X436" s="3" t="s">
        <v>313</v>
      </c>
      <c r="Y436" s="3" t="s">
        <v>314</v>
      </c>
      <c r="Z436" s="3" t="s">
        <v>63</v>
      </c>
      <c r="AA436" s="3" t="s">
        <v>148</v>
      </c>
      <c r="AB436" s="3" t="s">
        <v>78</v>
      </c>
      <c r="AC436" s="3" t="s">
        <v>66</v>
      </c>
      <c r="AD436" s="3">
        <v>0</v>
      </c>
    </row>
    <row r="437" spans="1:30" x14ac:dyDescent="0.3">
      <c r="A437" s="3" t="s">
        <v>592</v>
      </c>
      <c r="B437" s="3" t="s">
        <v>382</v>
      </c>
      <c r="C437" s="3" t="s">
        <v>310</v>
      </c>
      <c r="D437" s="3" t="s">
        <v>31</v>
      </c>
      <c r="E437" s="3" t="s">
        <v>32</v>
      </c>
      <c r="F437" s="12">
        <v>44926</v>
      </c>
      <c r="G437" s="3">
        <f>YEAR(F437)</f>
        <v>2022</v>
      </c>
      <c r="H437" s="3" t="s">
        <v>44</v>
      </c>
      <c r="I437" s="3" t="s">
        <v>45</v>
      </c>
      <c r="J437" s="3"/>
      <c r="K437" s="3">
        <f>5335242827/1000000</f>
        <v>5335.242827</v>
      </c>
      <c r="L437" s="3">
        <f>5335242827/1000000</f>
        <v>5335.242827</v>
      </c>
      <c r="M437" s="3">
        <f>L437/K437</f>
        <v>1</v>
      </c>
      <c r="N437" s="3">
        <f t="shared" ref="N437:N443" si="67">L437/K437</f>
        <v>1</v>
      </c>
      <c r="O437" s="3" t="s">
        <v>143</v>
      </c>
      <c r="P437" s="3" t="s">
        <v>143</v>
      </c>
      <c r="Q437" s="3" t="str">
        <f t="shared" si="57"/>
        <v>386.2-2022-12-31</v>
      </c>
      <c r="R437" s="3">
        <v>0</v>
      </c>
      <c r="S437" s="3">
        <v>0</v>
      </c>
      <c r="T437" s="3" t="s">
        <v>443</v>
      </c>
      <c r="U437" s="3" t="s">
        <v>37</v>
      </c>
      <c r="V437" s="3" t="s">
        <v>310</v>
      </c>
      <c r="W437" s="3" t="s">
        <v>312</v>
      </c>
      <c r="X437" s="3" t="s">
        <v>313</v>
      </c>
      <c r="Y437" s="3" t="s">
        <v>314</v>
      </c>
      <c r="Z437" s="3" t="s">
        <v>63</v>
      </c>
      <c r="AA437" s="3" t="s">
        <v>148</v>
      </c>
      <c r="AB437" s="3" t="s">
        <v>78</v>
      </c>
      <c r="AC437" s="3" t="s">
        <v>66</v>
      </c>
      <c r="AD437" s="3">
        <v>0</v>
      </c>
    </row>
    <row r="438" spans="1:30" x14ac:dyDescent="0.3">
      <c r="A438" s="3" t="s">
        <v>592</v>
      </c>
      <c r="B438" s="3" t="s">
        <v>382</v>
      </c>
      <c r="C438" s="3" t="s">
        <v>310</v>
      </c>
      <c r="D438" s="3" t="s">
        <v>31</v>
      </c>
      <c r="E438" s="3" t="s">
        <v>32</v>
      </c>
      <c r="F438" s="12">
        <v>45291</v>
      </c>
      <c r="G438" s="3">
        <v>2023</v>
      </c>
      <c r="H438" s="3" t="s">
        <v>44</v>
      </c>
      <c r="I438" s="3" t="s">
        <v>49</v>
      </c>
      <c r="J438" s="3">
        <v>2</v>
      </c>
      <c r="K438" s="3">
        <v>7082.0029999999988</v>
      </c>
      <c r="L438" s="3">
        <f>9868418317/1000000</f>
        <v>9868.4183169999997</v>
      </c>
      <c r="M438" s="3">
        <f t="shared" ref="M438:M443" si="68">L438/K438</f>
        <v>1.393450174618678</v>
      </c>
      <c r="N438" s="3">
        <f t="shared" si="67"/>
        <v>1.393450174618678</v>
      </c>
      <c r="O438" s="3" t="s">
        <v>143</v>
      </c>
      <c r="P438" s="3" t="s">
        <v>143</v>
      </c>
      <c r="Q438" s="3" t="str">
        <f t="shared" si="57"/>
        <v>386.2-2023-12-31</v>
      </c>
      <c r="R438" s="3">
        <v>0</v>
      </c>
      <c r="S438" s="3">
        <v>0</v>
      </c>
      <c r="T438" s="3" t="s">
        <v>31</v>
      </c>
      <c r="U438" s="3" t="s">
        <v>37</v>
      </c>
      <c r="V438" s="3" t="s">
        <v>310</v>
      </c>
      <c r="W438" s="3" t="s">
        <v>312</v>
      </c>
      <c r="X438" s="3" t="s">
        <v>313</v>
      </c>
      <c r="Y438" s="3" t="s">
        <v>314</v>
      </c>
      <c r="Z438" s="3" t="s">
        <v>63</v>
      </c>
      <c r="AA438" s="3" t="s">
        <v>148</v>
      </c>
      <c r="AB438" s="3" t="s">
        <v>78</v>
      </c>
      <c r="AC438" s="3" t="s">
        <v>66</v>
      </c>
      <c r="AD438" s="3">
        <v>0</v>
      </c>
    </row>
    <row r="439" spans="1:30" x14ac:dyDescent="0.3">
      <c r="A439" s="3" t="s">
        <v>592</v>
      </c>
      <c r="B439" s="3" t="s">
        <v>382</v>
      </c>
      <c r="C439" s="3" t="s">
        <v>310</v>
      </c>
      <c r="D439" s="3" t="s">
        <v>31</v>
      </c>
      <c r="E439" s="3" t="s">
        <v>32</v>
      </c>
      <c r="F439" s="12">
        <v>45291</v>
      </c>
      <c r="G439" s="3">
        <v>2023</v>
      </c>
      <c r="H439" s="3" t="s">
        <v>44</v>
      </c>
      <c r="I439" s="3" t="s">
        <v>49</v>
      </c>
      <c r="J439" s="3"/>
      <c r="K439" s="3">
        <v>7082.0029999999988</v>
      </c>
      <c r="L439" s="3">
        <f>9868418317/1000000</f>
        <v>9868.4183169999997</v>
      </c>
      <c r="M439" s="3">
        <f t="shared" si="68"/>
        <v>1.393450174618678</v>
      </c>
      <c r="N439" s="3">
        <f t="shared" si="67"/>
        <v>1.393450174618678</v>
      </c>
      <c r="O439" s="3" t="s">
        <v>143</v>
      </c>
      <c r="P439" s="3" t="s">
        <v>143</v>
      </c>
      <c r="Q439" s="3" t="str">
        <f t="shared" si="57"/>
        <v>386.2-2023-12-31</v>
      </c>
      <c r="R439" s="3">
        <v>0</v>
      </c>
      <c r="S439" s="3">
        <v>0</v>
      </c>
      <c r="T439" s="3" t="s">
        <v>443</v>
      </c>
      <c r="U439" s="3" t="s">
        <v>37</v>
      </c>
      <c r="V439" s="3" t="s">
        <v>310</v>
      </c>
      <c r="W439" s="3" t="s">
        <v>312</v>
      </c>
      <c r="X439" s="3" t="s">
        <v>313</v>
      </c>
      <c r="Y439" s="3" t="s">
        <v>314</v>
      </c>
      <c r="Z439" s="3" t="s">
        <v>63</v>
      </c>
      <c r="AA439" s="3" t="s">
        <v>148</v>
      </c>
      <c r="AB439" s="3" t="s">
        <v>78</v>
      </c>
      <c r="AC439" s="3" t="s">
        <v>66</v>
      </c>
      <c r="AD439" s="3">
        <v>0</v>
      </c>
    </row>
    <row r="440" spans="1:30" x14ac:dyDescent="0.3">
      <c r="A440" s="3" t="s">
        <v>592</v>
      </c>
      <c r="B440" s="3" t="s">
        <v>382</v>
      </c>
      <c r="C440" s="3" t="s">
        <v>310</v>
      </c>
      <c r="D440" s="3" t="s">
        <v>31</v>
      </c>
      <c r="E440" s="3" t="s">
        <v>32</v>
      </c>
      <c r="F440" s="12">
        <v>45657</v>
      </c>
      <c r="G440" s="3">
        <v>2024</v>
      </c>
      <c r="H440" s="3" t="s">
        <v>44</v>
      </c>
      <c r="I440" s="3" t="s">
        <v>53</v>
      </c>
      <c r="J440" s="3">
        <v>2</v>
      </c>
      <c r="K440" s="3">
        <v>7711.1257611000001</v>
      </c>
      <c r="L440" s="3">
        <v>4170.686009</v>
      </c>
      <c r="M440" s="3">
        <f t="shared" si="68"/>
        <v>0.54086603411912804</v>
      </c>
      <c r="N440" s="3">
        <f t="shared" si="67"/>
        <v>0.54086603411912804</v>
      </c>
      <c r="O440" s="3" t="s">
        <v>143</v>
      </c>
      <c r="P440" s="3" t="s">
        <v>143</v>
      </c>
      <c r="Q440" s="3" t="str">
        <f t="shared" si="57"/>
        <v>386.2-2024-12-31</v>
      </c>
      <c r="R440" s="3">
        <v>0</v>
      </c>
      <c r="S440" s="3">
        <v>0</v>
      </c>
      <c r="T440" s="3" t="s">
        <v>31</v>
      </c>
      <c r="U440" s="3" t="s">
        <v>37</v>
      </c>
      <c r="V440" s="3" t="s">
        <v>310</v>
      </c>
      <c r="W440" s="3" t="s">
        <v>312</v>
      </c>
      <c r="X440" s="3" t="s">
        <v>313</v>
      </c>
      <c r="Y440" s="3" t="s">
        <v>314</v>
      </c>
      <c r="Z440" s="3" t="s">
        <v>63</v>
      </c>
      <c r="AA440" s="3" t="s">
        <v>148</v>
      </c>
      <c r="AB440" s="3" t="s">
        <v>78</v>
      </c>
      <c r="AC440" s="3" t="s">
        <v>66</v>
      </c>
      <c r="AD440" s="3">
        <v>0</v>
      </c>
    </row>
    <row r="441" spans="1:30" x14ac:dyDescent="0.3">
      <c r="A441" s="3" t="s">
        <v>592</v>
      </c>
      <c r="B441" s="3" t="s">
        <v>382</v>
      </c>
      <c r="C441" s="3" t="s">
        <v>310</v>
      </c>
      <c r="D441" s="3" t="s">
        <v>31</v>
      </c>
      <c r="E441" s="3" t="s">
        <v>32</v>
      </c>
      <c r="F441" s="12">
        <v>45657</v>
      </c>
      <c r="G441" s="3">
        <v>2024</v>
      </c>
      <c r="H441" s="3" t="s">
        <v>44</v>
      </c>
      <c r="I441" s="3" t="s">
        <v>53</v>
      </c>
      <c r="J441" s="3"/>
      <c r="K441" s="3">
        <v>7711.1257611000001</v>
      </c>
      <c r="L441" s="3">
        <v>4170.686009</v>
      </c>
      <c r="M441" s="3">
        <f t="shared" si="68"/>
        <v>0.54086603411912804</v>
      </c>
      <c r="N441" s="3">
        <f t="shared" si="67"/>
        <v>0.54086603411912804</v>
      </c>
      <c r="O441" s="3" t="s">
        <v>143</v>
      </c>
      <c r="P441" s="3" t="s">
        <v>143</v>
      </c>
      <c r="Q441" s="3" t="str">
        <f t="shared" si="57"/>
        <v>386.2-2024-12-31</v>
      </c>
      <c r="R441" s="3">
        <v>0</v>
      </c>
      <c r="S441" s="3">
        <v>0</v>
      </c>
      <c r="T441" s="3" t="s">
        <v>443</v>
      </c>
      <c r="U441" s="3" t="s">
        <v>37</v>
      </c>
      <c r="V441" s="3" t="s">
        <v>310</v>
      </c>
      <c r="W441" s="3" t="s">
        <v>312</v>
      </c>
      <c r="X441" s="3" t="s">
        <v>313</v>
      </c>
      <c r="Y441" s="3" t="s">
        <v>314</v>
      </c>
      <c r="Z441" s="3" t="s">
        <v>63</v>
      </c>
      <c r="AA441" s="3" t="s">
        <v>148</v>
      </c>
      <c r="AB441" s="3" t="s">
        <v>78</v>
      </c>
      <c r="AC441" s="3" t="s">
        <v>66</v>
      </c>
      <c r="AD441" s="3">
        <v>0</v>
      </c>
    </row>
    <row r="442" spans="1:30" x14ac:dyDescent="0.3">
      <c r="A442" s="3" t="s">
        <v>592</v>
      </c>
      <c r="B442" s="3" t="s">
        <v>382</v>
      </c>
      <c r="C442" s="3" t="s">
        <v>310</v>
      </c>
      <c r="D442" s="3" t="s">
        <v>31</v>
      </c>
      <c r="E442" s="3" t="s">
        <v>32</v>
      </c>
      <c r="F442" s="12">
        <v>46022</v>
      </c>
      <c r="G442" s="3">
        <v>2025</v>
      </c>
      <c r="H442" s="3" t="s">
        <v>44</v>
      </c>
      <c r="I442" s="3" t="s">
        <v>465</v>
      </c>
      <c r="J442" s="3">
        <v>2</v>
      </c>
      <c r="K442" s="3">
        <f>7446830696/1000000</f>
        <v>7446.830696</v>
      </c>
      <c r="L442" s="3">
        <f>7810013171/1000000</f>
        <v>7810.0131709999996</v>
      </c>
      <c r="M442" s="3">
        <f t="shared" si="68"/>
        <v>1.0487700727767424</v>
      </c>
      <c r="N442" s="3">
        <f t="shared" si="67"/>
        <v>1.0487700727767424</v>
      </c>
      <c r="O442" s="3" t="s">
        <v>143</v>
      </c>
      <c r="P442" s="3" t="s">
        <v>143</v>
      </c>
      <c r="Q442" s="3" t="str">
        <f t="shared" si="57"/>
        <v>386.2-2025-12-31</v>
      </c>
      <c r="R442" s="3">
        <v>0</v>
      </c>
      <c r="S442" s="3">
        <v>0</v>
      </c>
      <c r="T442" s="3" t="s">
        <v>31</v>
      </c>
      <c r="U442" s="3" t="s">
        <v>37</v>
      </c>
      <c r="V442" s="3" t="s">
        <v>310</v>
      </c>
      <c r="W442" s="3" t="s">
        <v>312</v>
      </c>
      <c r="X442" s="3" t="s">
        <v>313</v>
      </c>
      <c r="Y442" s="3" t="s">
        <v>314</v>
      </c>
      <c r="Z442" s="3"/>
      <c r="AA442" s="3"/>
      <c r="AB442" s="3" t="s">
        <v>78</v>
      </c>
      <c r="AC442" s="3" t="s">
        <v>66</v>
      </c>
      <c r="AD442" s="3">
        <v>0</v>
      </c>
    </row>
    <row r="443" spans="1:30" x14ac:dyDescent="0.3">
      <c r="A443" s="3" t="s">
        <v>592</v>
      </c>
      <c r="B443" s="3" t="s">
        <v>382</v>
      </c>
      <c r="C443" s="3" t="s">
        <v>310</v>
      </c>
      <c r="D443" s="3" t="s">
        <v>31</v>
      </c>
      <c r="E443" s="3" t="s">
        <v>32</v>
      </c>
      <c r="F443" s="12">
        <v>46022</v>
      </c>
      <c r="G443" s="3">
        <v>2025</v>
      </c>
      <c r="H443" s="3" t="s">
        <v>44</v>
      </c>
      <c r="I443" s="3" t="s">
        <v>465</v>
      </c>
      <c r="J443" s="3"/>
      <c r="K443" s="3">
        <f>7446830696/1000000</f>
        <v>7446.830696</v>
      </c>
      <c r="L443" s="3">
        <f>7810013171/1000000</f>
        <v>7810.0131709999996</v>
      </c>
      <c r="M443" s="3">
        <f t="shared" si="68"/>
        <v>1.0487700727767424</v>
      </c>
      <c r="N443" s="3">
        <f t="shared" si="67"/>
        <v>1.0487700727767424</v>
      </c>
      <c r="O443" s="3" t="s">
        <v>143</v>
      </c>
      <c r="P443" s="3" t="s">
        <v>143</v>
      </c>
      <c r="Q443" s="3" t="str">
        <f t="shared" si="57"/>
        <v>386.2-2025-12-31</v>
      </c>
      <c r="R443" s="3">
        <v>0</v>
      </c>
      <c r="S443" s="3">
        <v>0</v>
      </c>
      <c r="T443" s="3" t="s">
        <v>443</v>
      </c>
      <c r="U443" s="3" t="s">
        <v>37</v>
      </c>
      <c r="V443" s="3" t="s">
        <v>310</v>
      </c>
      <c r="W443" s="3" t="s">
        <v>312</v>
      </c>
      <c r="X443" s="3" t="s">
        <v>313</v>
      </c>
      <c r="Y443" s="3" t="s">
        <v>314</v>
      </c>
      <c r="Z443" s="3"/>
      <c r="AA443" s="3"/>
      <c r="AB443" s="3" t="s">
        <v>78</v>
      </c>
      <c r="AC443" s="3" t="s">
        <v>66</v>
      </c>
      <c r="AD443" s="3">
        <v>0</v>
      </c>
    </row>
    <row r="444" spans="1:30" x14ac:dyDescent="0.3">
      <c r="A444" s="3" t="s">
        <v>593</v>
      </c>
      <c r="B444" s="3" t="s">
        <v>387</v>
      </c>
      <c r="C444" s="3" t="s">
        <v>310</v>
      </c>
      <c r="D444" s="3" t="s">
        <v>31</v>
      </c>
      <c r="E444" s="3" t="s">
        <v>32</v>
      </c>
      <c r="F444" s="12">
        <v>44926</v>
      </c>
      <c r="G444" s="3">
        <v>2022</v>
      </c>
      <c r="H444" s="3" t="s">
        <v>44</v>
      </c>
      <c r="I444" s="3" t="s">
        <v>45</v>
      </c>
      <c r="J444" s="3">
        <v>2</v>
      </c>
      <c r="K444" s="3">
        <f>3805662141/1000000</f>
        <v>3805.6621409999998</v>
      </c>
      <c r="L444" s="3">
        <f>3805662141/1000000</f>
        <v>3805.6621409999998</v>
      </c>
      <c r="M444" s="3">
        <f>IF(L444/K444&gt;1.3,1.3,L444/K444)</f>
        <v>1</v>
      </c>
      <c r="N444" s="3">
        <f>L444/K444</f>
        <v>1</v>
      </c>
      <c r="O444" s="3" t="s">
        <v>143</v>
      </c>
      <c r="P444" s="3" t="s">
        <v>143</v>
      </c>
      <c r="Q444" s="3" t="str">
        <f t="shared" si="57"/>
        <v>386.3-2022-12-31</v>
      </c>
      <c r="R444" s="3">
        <v>0</v>
      </c>
      <c r="S444" s="3">
        <v>0</v>
      </c>
      <c r="T444" s="3" t="s">
        <v>31</v>
      </c>
      <c r="U444" s="3" t="s">
        <v>37</v>
      </c>
      <c r="V444" s="3" t="s">
        <v>310</v>
      </c>
      <c r="W444" s="3" t="s">
        <v>312</v>
      </c>
      <c r="X444" s="3" t="s">
        <v>313</v>
      </c>
      <c r="Y444" s="3" t="s">
        <v>314</v>
      </c>
      <c r="Z444" s="3" t="s">
        <v>63</v>
      </c>
      <c r="AA444" s="3" t="s">
        <v>148</v>
      </c>
      <c r="AB444" s="3" t="s">
        <v>78</v>
      </c>
      <c r="AC444" s="3" t="s">
        <v>66</v>
      </c>
      <c r="AD444" s="3">
        <v>0</v>
      </c>
    </row>
    <row r="445" spans="1:30" x14ac:dyDescent="0.3">
      <c r="A445" s="3" t="s">
        <v>593</v>
      </c>
      <c r="B445" s="3" t="s">
        <v>387</v>
      </c>
      <c r="C445" s="3" t="s">
        <v>310</v>
      </c>
      <c r="D445" s="3" t="s">
        <v>31</v>
      </c>
      <c r="E445" s="3" t="s">
        <v>32</v>
      </c>
      <c r="F445" s="12">
        <v>44926</v>
      </c>
      <c r="G445" s="3">
        <v>2022</v>
      </c>
      <c r="H445" s="3" t="s">
        <v>44</v>
      </c>
      <c r="I445" s="3" t="s">
        <v>45</v>
      </c>
      <c r="J445" s="3"/>
      <c r="K445" s="3">
        <f>3805662141/1000000</f>
        <v>3805.6621409999998</v>
      </c>
      <c r="L445" s="3">
        <f>3805662141/1000000</f>
        <v>3805.6621409999998</v>
      </c>
      <c r="M445" s="3">
        <f t="shared" ref="M445:M451" si="69">IF(L445/K445&gt;1.3,1.3,L445/K445)</f>
        <v>1</v>
      </c>
      <c r="N445" s="3">
        <f t="shared" ref="N445:N451" si="70">L445/K445</f>
        <v>1</v>
      </c>
      <c r="O445" s="3" t="s">
        <v>143</v>
      </c>
      <c r="P445" s="3" t="s">
        <v>143</v>
      </c>
      <c r="Q445" s="3" t="str">
        <f t="shared" si="57"/>
        <v>386.3-2022-12-31</v>
      </c>
      <c r="R445" s="3">
        <v>0</v>
      </c>
      <c r="S445" s="3">
        <v>0</v>
      </c>
      <c r="T445" s="3" t="s">
        <v>443</v>
      </c>
      <c r="U445" s="3" t="s">
        <v>37</v>
      </c>
      <c r="V445" s="3" t="s">
        <v>310</v>
      </c>
      <c r="W445" s="3" t="s">
        <v>312</v>
      </c>
      <c r="X445" s="3" t="s">
        <v>313</v>
      </c>
      <c r="Y445" s="3" t="s">
        <v>314</v>
      </c>
      <c r="Z445" s="3" t="s">
        <v>63</v>
      </c>
      <c r="AA445" s="3" t="s">
        <v>148</v>
      </c>
      <c r="AB445" s="3" t="s">
        <v>78</v>
      </c>
      <c r="AC445" s="3" t="s">
        <v>66</v>
      </c>
      <c r="AD445" s="3">
        <v>0</v>
      </c>
    </row>
    <row r="446" spans="1:30" x14ac:dyDescent="0.3">
      <c r="A446" s="3" t="s">
        <v>593</v>
      </c>
      <c r="B446" s="3" t="s">
        <v>387</v>
      </c>
      <c r="C446" s="3" t="s">
        <v>310</v>
      </c>
      <c r="D446" s="3" t="s">
        <v>31</v>
      </c>
      <c r="E446" s="3" t="s">
        <v>32</v>
      </c>
      <c r="F446" s="12">
        <v>45291</v>
      </c>
      <c r="G446" s="3">
        <v>2023</v>
      </c>
      <c r="H446" s="3" t="s">
        <v>44</v>
      </c>
      <c r="I446" s="3" t="s">
        <v>49</v>
      </c>
      <c r="J446" s="3">
        <v>2</v>
      </c>
      <c r="K446" s="3">
        <v>5657.94</v>
      </c>
      <c r="L446" s="3">
        <f>4048733862/1000000</f>
        <v>4048.733862</v>
      </c>
      <c r="M446" s="3">
        <f t="shared" si="69"/>
        <v>0.71558444628256934</v>
      </c>
      <c r="N446" s="3">
        <f t="shared" si="70"/>
        <v>0.71558444628256934</v>
      </c>
      <c r="O446" s="3" t="s">
        <v>143</v>
      </c>
      <c r="P446" s="3" t="s">
        <v>143</v>
      </c>
      <c r="Q446" s="3" t="str">
        <f t="shared" si="57"/>
        <v>386.3-2023-12-31</v>
      </c>
      <c r="R446" s="3">
        <v>0</v>
      </c>
      <c r="S446" s="3">
        <v>0</v>
      </c>
      <c r="T446" s="3" t="s">
        <v>31</v>
      </c>
      <c r="U446" s="3" t="s">
        <v>37</v>
      </c>
      <c r="V446" s="3" t="s">
        <v>310</v>
      </c>
      <c r="W446" s="3" t="s">
        <v>312</v>
      </c>
      <c r="X446" s="3" t="s">
        <v>313</v>
      </c>
      <c r="Y446" s="3" t="s">
        <v>314</v>
      </c>
      <c r="Z446" s="3" t="s">
        <v>63</v>
      </c>
      <c r="AA446" s="3" t="s">
        <v>148</v>
      </c>
      <c r="AB446" s="3" t="s">
        <v>78</v>
      </c>
      <c r="AC446" s="3" t="s">
        <v>66</v>
      </c>
      <c r="AD446" s="3">
        <v>0</v>
      </c>
    </row>
    <row r="447" spans="1:30" x14ac:dyDescent="0.3">
      <c r="A447" s="3" t="s">
        <v>593</v>
      </c>
      <c r="B447" s="3" t="s">
        <v>387</v>
      </c>
      <c r="C447" s="3" t="s">
        <v>310</v>
      </c>
      <c r="D447" s="3" t="s">
        <v>31</v>
      </c>
      <c r="E447" s="3" t="s">
        <v>32</v>
      </c>
      <c r="F447" s="12">
        <v>45291</v>
      </c>
      <c r="G447" s="3">
        <v>2023</v>
      </c>
      <c r="H447" s="3" t="s">
        <v>44</v>
      </c>
      <c r="I447" s="3" t="s">
        <v>49</v>
      </c>
      <c r="J447" s="3"/>
      <c r="K447" s="3">
        <v>5657.94</v>
      </c>
      <c r="L447" s="3">
        <f>4048733862/1000000</f>
        <v>4048.733862</v>
      </c>
      <c r="M447" s="3">
        <f t="shared" si="69"/>
        <v>0.71558444628256934</v>
      </c>
      <c r="N447" s="3">
        <f t="shared" si="70"/>
        <v>0.71558444628256934</v>
      </c>
      <c r="O447" s="3" t="s">
        <v>143</v>
      </c>
      <c r="P447" s="3" t="s">
        <v>143</v>
      </c>
      <c r="Q447" s="3" t="str">
        <f t="shared" si="57"/>
        <v>386.3-2023-12-31</v>
      </c>
      <c r="R447" s="3">
        <v>0</v>
      </c>
      <c r="S447" s="3">
        <v>0</v>
      </c>
      <c r="T447" s="3" t="s">
        <v>443</v>
      </c>
      <c r="U447" s="3" t="s">
        <v>37</v>
      </c>
      <c r="V447" s="3" t="s">
        <v>310</v>
      </c>
      <c r="W447" s="3" t="s">
        <v>312</v>
      </c>
      <c r="X447" s="3" t="s">
        <v>313</v>
      </c>
      <c r="Y447" s="3" t="s">
        <v>314</v>
      </c>
      <c r="Z447" s="3" t="s">
        <v>63</v>
      </c>
      <c r="AA447" s="3" t="s">
        <v>148</v>
      </c>
      <c r="AB447" s="3" t="s">
        <v>78</v>
      </c>
      <c r="AC447" s="3" t="s">
        <v>66</v>
      </c>
      <c r="AD447" s="3">
        <v>0</v>
      </c>
    </row>
    <row r="448" spans="1:30" x14ac:dyDescent="0.3">
      <c r="A448" s="3" t="s">
        <v>593</v>
      </c>
      <c r="B448" s="3" t="s">
        <v>387</v>
      </c>
      <c r="C448" s="3" t="s">
        <v>310</v>
      </c>
      <c r="D448" s="3" t="s">
        <v>31</v>
      </c>
      <c r="E448" s="3" t="s">
        <v>32</v>
      </c>
      <c r="F448" s="12">
        <v>45657</v>
      </c>
      <c r="G448" s="3">
        <v>2024</v>
      </c>
      <c r="H448" s="3" t="s">
        <v>44</v>
      </c>
      <c r="I448" s="3" t="s">
        <v>53</v>
      </c>
      <c r="J448" s="3">
        <v>2</v>
      </c>
      <c r="K448" s="3">
        <v>4372.1599426999992</v>
      </c>
      <c r="L448" s="3">
        <v>4378.2397499999997</v>
      </c>
      <c r="M448" s="3">
        <f t="shared" si="69"/>
        <v>1.0013905729387031</v>
      </c>
      <c r="N448" s="3">
        <f t="shared" si="70"/>
        <v>1.0013905729387031</v>
      </c>
      <c r="O448" s="3" t="s">
        <v>143</v>
      </c>
      <c r="P448" s="3" t="s">
        <v>143</v>
      </c>
      <c r="Q448" s="3" t="str">
        <f t="shared" si="57"/>
        <v>386.3-2024-12-31</v>
      </c>
      <c r="R448" s="3">
        <v>0</v>
      </c>
      <c r="S448" s="3">
        <v>0</v>
      </c>
      <c r="T448" s="3" t="s">
        <v>31</v>
      </c>
      <c r="U448" s="3" t="s">
        <v>37</v>
      </c>
      <c r="V448" s="3" t="s">
        <v>310</v>
      </c>
      <c r="W448" s="3" t="s">
        <v>312</v>
      </c>
      <c r="X448" s="3" t="s">
        <v>313</v>
      </c>
      <c r="Y448" s="3" t="s">
        <v>314</v>
      </c>
      <c r="Z448" s="3" t="s">
        <v>63</v>
      </c>
      <c r="AA448" s="3" t="s">
        <v>148</v>
      </c>
      <c r="AB448" s="3" t="s">
        <v>78</v>
      </c>
      <c r="AC448" s="3" t="s">
        <v>66</v>
      </c>
      <c r="AD448" s="3">
        <v>0</v>
      </c>
    </row>
    <row r="449" spans="1:30" x14ac:dyDescent="0.3">
      <c r="A449" s="3" t="s">
        <v>593</v>
      </c>
      <c r="B449" s="3" t="s">
        <v>387</v>
      </c>
      <c r="C449" s="3" t="s">
        <v>310</v>
      </c>
      <c r="D449" s="3" t="s">
        <v>31</v>
      </c>
      <c r="E449" s="3" t="s">
        <v>32</v>
      </c>
      <c r="F449" s="12">
        <v>45657</v>
      </c>
      <c r="G449" s="3">
        <v>2024</v>
      </c>
      <c r="H449" s="3" t="s">
        <v>44</v>
      </c>
      <c r="I449" s="3" t="s">
        <v>53</v>
      </c>
      <c r="J449" s="3"/>
      <c r="K449" s="3">
        <v>4372.1599426999992</v>
      </c>
      <c r="L449" s="3">
        <v>4378.2397499999997</v>
      </c>
      <c r="M449" s="3">
        <f t="shared" si="69"/>
        <v>1.0013905729387031</v>
      </c>
      <c r="N449" s="3">
        <f t="shared" si="70"/>
        <v>1.0013905729387031</v>
      </c>
      <c r="O449" s="3" t="s">
        <v>143</v>
      </c>
      <c r="P449" s="3" t="s">
        <v>143</v>
      </c>
      <c r="Q449" s="3" t="str">
        <f t="shared" si="57"/>
        <v>386.3-2024-12-31</v>
      </c>
      <c r="R449" s="3">
        <v>0</v>
      </c>
      <c r="S449" s="3">
        <v>0</v>
      </c>
      <c r="T449" s="3" t="s">
        <v>443</v>
      </c>
      <c r="U449" s="3" t="s">
        <v>37</v>
      </c>
      <c r="V449" s="3" t="s">
        <v>310</v>
      </c>
      <c r="W449" s="3" t="s">
        <v>312</v>
      </c>
      <c r="X449" s="3" t="s">
        <v>313</v>
      </c>
      <c r="Y449" s="3" t="s">
        <v>314</v>
      </c>
      <c r="Z449" s="3" t="s">
        <v>63</v>
      </c>
      <c r="AA449" s="3" t="s">
        <v>148</v>
      </c>
      <c r="AB449" s="3" t="s">
        <v>78</v>
      </c>
      <c r="AC449" s="3" t="s">
        <v>66</v>
      </c>
      <c r="AD449" s="3">
        <v>0</v>
      </c>
    </row>
    <row r="450" spans="1:30" x14ac:dyDescent="0.3">
      <c r="A450" s="3" t="s">
        <v>593</v>
      </c>
      <c r="B450" s="3" t="s">
        <v>387</v>
      </c>
      <c r="C450" s="3" t="s">
        <v>310</v>
      </c>
      <c r="D450" s="3" t="s">
        <v>31</v>
      </c>
      <c r="E450" s="3" t="s">
        <v>32</v>
      </c>
      <c r="F450" s="12">
        <v>46022</v>
      </c>
      <c r="G450" s="3">
        <v>2025</v>
      </c>
      <c r="H450" s="3" t="s">
        <v>44</v>
      </c>
      <c r="I450" s="3" t="s">
        <v>465</v>
      </c>
      <c r="J450" s="3">
        <v>2</v>
      </c>
      <c r="K450" s="3">
        <f>(5278611105+290168214)/1000000</f>
        <v>5568.7793190000002</v>
      </c>
      <c r="L450" s="3">
        <f>6478863550/1000000</f>
        <v>6478.86355</v>
      </c>
      <c r="M450" s="3">
        <f t="shared" si="69"/>
        <v>1.1634261619768094</v>
      </c>
      <c r="N450" s="3">
        <f t="shared" si="70"/>
        <v>1.1634261619768094</v>
      </c>
      <c r="O450" s="3" t="s">
        <v>143</v>
      </c>
      <c r="P450" s="3" t="s">
        <v>143</v>
      </c>
      <c r="Q450" s="3" t="str">
        <f t="shared" si="57"/>
        <v>386.3-2025-12-31</v>
      </c>
      <c r="R450" s="3">
        <v>0</v>
      </c>
      <c r="S450" s="3">
        <v>0</v>
      </c>
      <c r="T450" s="3" t="s">
        <v>31</v>
      </c>
      <c r="U450" s="3" t="s">
        <v>37</v>
      </c>
      <c r="V450" s="3" t="s">
        <v>310</v>
      </c>
      <c r="W450" s="3" t="s">
        <v>312</v>
      </c>
      <c r="X450" s="3" t="s">
        <v>313</v>
      </c>
      <c r="Y450" s="3" t="s">
        <v>314</v>
      </c>
      <c r="Z450" s="3"/>
      <c r="AA450" s="3"/>
      <c r="AB450" s="3" t="s">
        <v>78</v>
      </c>
      <c r="AC450" s="3" t="s">
        <v>66</v>
      </c>
      <c r="AD450" s="3">
        <v>0</v>
      </c>
    </row>
    <row r="451" spans="1:30" x14ac:dyDescent="0.3">
      <c r="A451" s="3" t="s">
        <v>593</v>
      </c>
      <c r="B451" s="3" t="s">
        <v>387</v>
      </c>
      <c r="C451" s="3" t="s">
        <v>310</v>
      </c>
      <c r="D451" s="3" t="s">
        <v>31</v>
      </c>
      <c r="E451" s="3" t="s">
        <v>32</v>
      </c>
      <c r="F451" s="12">
        <v>46022</v>
      </c>
      <c r="G451" s="3">
        <v>2025</v>
      </c>
      <c r="H451" s="3" t="s">
        <v>44</v>
      </c>
      <c r="I451" s="3" t="s">
        <v>465</v>
      </c>
      <c r="J451" s="3"/>
      <c r="K451" s="3">
        <f>(5278611105+290168214)/1000000</f>
        <v>5568.7793190000002</v>
      </c>
      <c r="L451" s="3">
        <f>6478863550/1000000</f>
        <v>6478.86355</v>
      </c>
      <c r="M451" s="3">
        <f t="shared" si="69"/>
        <v>1.1634261619768094</v>
      </c>
      <c r="N451" s="3">
        <f t="shared" si="70"/>
        <v>1.1634261619768094</v>
      </c>
      <c r="O451" s="3" t="s">
        <v>143</v>
      </c>
      <c r="P451" s="3" t="s">
        <v>143</v>
      </c>
      <c r="Q451" s="3" t="str">
        <f t="shared" ref="Q451:Q514" si="71">A451&amp;"-"&amp;YEAR(F451)&amp;"-"&amp;IF(LEN(MONTH(F451))=1,"0"&amp;MONTH(F451),MONTH(F451))&amp;"-"&amp;IF(LEN(DAY(F451))=1,"0"&amp;DAY(F451),DAY(F451))</f>
        <v>386.3-2025-12-31</v>
      </c>
      <c r="R451" s="3">
        <v>0</v>
      </c>
      <c r="S451" s="3">
        <v>0</v>
      </c>
      <c r="T451" s="3" t="s">
        <v>443</v>
      </c>
      <c r="U451" s="3" t="s">
        <v>37</v>
      </c>
      <c r="V451" s="3" t="s">
        <v>310</v>
      </c>
      <c r="W451" s="3" t="s">
        <v>312</v>
      </c>
      <c r="X451" s="3" t="s">
        <v>313</v>
      </c>
      <c r="Y451" s="3" t="s">
        <v>314</v>
      </c>
      <c r="Z451" s="3"/>
      <c r="AA451" s="3"/>
      <c r="AB451" s="3" t="s">
        <v>78</v>
      </c>
      <c r="AC451" s="3" t="s">
        <v>66</v>
      </c>
      <c r="AD451" s="3">
        <v>0</v>
      </c>
    </row>
    <row r="452" spans="1:30" x14ac:dyDescent="0.3">
      <c r="A452" s="3">
        <v>423</v>
      </c>
      <c r="B452" s="3" t="s">
        <v>320</v>
      </c>
      <c r="C452" s="3" t="s">
        <v>83</v>
      </c>
      <c r="D452" s="3" t="s">
        <v>66</v>
      </c>
      <c r="E452" s="3" t="s">
        <v>32</v>
      </c>
      <c r="F452" s="12">
        <v>44926</v>
      </c>
      <c r="G452" s="3">
        <v>2022</v>
      </c>
      <c r="H452" s="3" t="s">
        <v>44</v>
      </c>
      <c r="I452" s="3" t="s">
        <v>45</v>
      </c>
      <c r="J452" s="3">
        <v>2</v>
      </c>
      <c r="K452" s="3">
        <v>8.8000000000000007</v>
      </c>
      <c r="L452" s="3">
        <v>7.8</v>
      </c>
      <c r="M452" s="3">
        <f>+L452/K452</f>
        <v>0.88636363636363624</v>
      </c>
      <c r="N452" s="3">
        <f>+L452/K452</f>
        <v>0.88636363636363624</v>
      </c>
      <c r="O452" s="3" t="s">
        <v>245</v>
      </c>
      <c r="P452" s="3" t="s">
        <v>245</v>
      </c>
      <c r="Q452" s="3" t="str">
        <f t="shared" si="71"/>
        <v>423-2022-12-31</v>
      </c>
      <c r="R452" s="3">
        <v>1</v>
      </c>
      <c r="S452" s="3">
        <v>1</v>
      </c>
      <c r="T452" s="3" t="s">
        <v>31</v>
      </c>
      <c r="U452" s="3" t="s">
        <v>37</v>
      </c>
      <c r="V452" s="3" t="s">
        <v>83</v>
      </c>
      <c r="W452" s="3" t="s">
        <v>38</v>
      </c>
      <c r="X452" s="3" t="s">
        <v>39</v>
      </c>
      <c r="Y452" s="3" t="s">
        <v>322</v>
      </c>
      <c r="Z452" s="3" t="s">
        <v>274</v>
      </c>
      <c r="AA452" s="3" t="s">
        <v>275</v>
      </c>
      <c r="AB452" s="3" t="s">
        <v>43</v>
      </c>
      <c r="AC452" s="3" t="s">
        <v>66</v>
      </c>
      <c r="AD452" s="3">
        <v>0</v>
      </c>
    </row>
    <row r="453" spans="1:30" x14ac:dyDescent="0.3">
      <c r="A453" s="3">
        <v>423</v>
      </c>
      <c r="B453" s="3" t="s">
        <v>320</v>
      </c>
      <c r="C453" s="3" t="s">
        <v>83</v>
      </c>
      <c r="D453" s="3" t="s">
        <v>66</v>
      </c>
      <c r="E453" s="3" t="s">
        <v>32</v>
      </c>
      <c r="F453" s="12">
        <v>44926</v>
      </c>
      <c r="G453" s="3">
        <v>2022</v>
      </c>
      <c r="H453" s="3" t="s">
        <v>44</v>
      </c>
      <c r="I453" s="3" t="s">
        <v>45</v>
      </c>
      <c r="J453" s="3"/>
      <c r="K453" s="3">
        <v>8.8000000000000007</v>
      </c>
      <c r="L453" s="3">
        <v>7.8</v>
      </c>
      <c r="M453" s="3">
        <f t="shared" ref="M453:M458" si="72">+L453/K453</f>
        <v>0.88636363636363624</v>
      </c>
      <c r="N453" s="3">
        <f t="shared" ref="N453:N458" si="73">+L453/K453</f>
        <v>0.88636363636363624</v>
      </c>
      <c r="O453" s="3" t="s">
        <v>245</v>
      </c>
      <c r="P453" s="3" t="s">
        <v>245</v>
      </c>
      <c r="Q453" s="3" t="str">
        <f t="shared" si="71"/>
        <v>423-2022-12-31</v>
      </c>
      <c r="R453" s="3">
        <v>1</v>
      </c>
      <c r="S453" s="3">
        <v>1</v>
      </c>
      <c r="T453" s="3" t="s">
        <v>443</v>
      </c>
      <c r="U453" s="3" t="s">
        <v>37</v>
      </c>
      <c r="V453" s="3" t="s">
        <v>83</v>
      </c>
      <c r="W453" s="3" t="s">
        <v>38</v>
      </c>
      <c r="X453" s="3" t="s">
        <v>39</v>
      </c>
      <c r="Y453" s="3" t="s">
        <v>322</v>
      </c>
      <c r="Z453" s="3" t="s">
        <v>274</v>
      </c>
      <c r="AA453" s="3" t="s">
        <v>275</v>
      </c>
      <c r="AB453" s="3" t="s">
        <v>43</v>
      </c>
      <c r="AC453" s="3" t="s">
        <v>66</v>
      </c>
      <c r="AD453" s="3">
        <v>0</v>
      </c>
    </row>
    <row r="454" spans="1:30" x14ac:dyDescent="0.3">
      <c r="A454" s="3">
        <v>423</v>
      </c>
      <c r="B454" s="3" t="s">
        <v>320</v>
      </c>
      <c r="C454" s="3" t="s">
        <v>83</v>
      </c>
      <c r="D454" s="3" t="s">
        <v>66</v>
      </c>
      <c r="E454" s="3" t="s">
        <v>32</v>
      </c>
      <c r="F454" s="12">
        <v>45291</v>
      </c>
      <c r="G454" s="3">
        <v>2023</v>
      </c>
      <c r="H454" s="3" t="s">
        <v>44</v>
      </c>
      <c r="I454" s="3" t="s">
        <v>49</v>
      </c>
      <c r="J454" s="3">
        <v>2</v>
      </c>
      <c r="K454" s="3">
        <v>8.4</v>
      </c>
      <c r="L454" s="3">
        <v>7.9</v>
      </c>
      <c r="M454" s="3">
        <f t="shared" si="72"/>
        <v>0.94047619047619047</v>
      </c>
      <c r="N454" s="3">
        <f t="shared" si="73"/>
        <v>0.94047619047619047</v>
      </c>
      <c r="O454" s="3" t="s">
        <v>245</v>
      </c>
      <c r="P454" s="3" t="s">
        <v>245</v>
      </c>
      <c r="Q454" s="3" t="str">
        <f t="shared" si="71"/>
        <v>423-2023-12-31</v>
      </c>
      <c r="R454" s="3">
        <v>1</v>
      </c>
      <c r="S454" s="3">
        <v>1</v>
      </c>
      <c r="T454" s="3" t="s">
        <v>31</v>
      </c>
      <c r="U454" s="3" t="s">
        <v>37</v>
      </c>
      <c r="V454" s="3" t="s">
        <v>83</v>
      </c>
      <c r="W454" s="3" t="s">
        <v>38</v>
      </c>
      <c r="X454" s="3" t="s">
        <v>39</v>
      </c>
      <c r="Y454" s="3" t="s">
        <v>322</v>
      </c>
      <c r="Z454" s="3" t="s">
        <v>274</v>
      </c>
      <c r="AA454" s="3" t="s">
        <v>275</v>
      </c>
      <c r="AB454" s="3" t="s">
        <v>43</v>
      </c>
      <c r="AC454" s="3" t="s">
        <v>66</v>
      </c>
      <c r="AD454" s="3">
        <v>0</v>
      </c>
    </row>
    <row r="455" spans="1:30" x14ac:dyDescent="0.3">
      <c r="A455" s="3">
        <v>423</v>
      </c>
      <c r="B455" s="3" t="s">
        <v>320</v>
      </c>
      <c r="C455" s="3" t="s">
        <v>83</v>
      </c>
      <c r="D455" s="3" t="s">
        <v>66</v>
      </c>
      <c r="E455" s="3" t="s">
        <v>32</v>
      </c>
      <c r="F455" s="12">
        <v>45291</v>
      </c>
      <c r="G455" s="3">
        <v>2023</v>
      </c>
      <c r="H455" s="3" t="s">
        <v>44</v>
      </c>
      <c r="I455" s="3" t="s">
        <v>49</v>
      </c>
      <c r="J455" s="3"/>
      <c r="K455" s="3">
        <v>8.4</v>
      </c>
      <c r="L455" s="3">
        <v>7.9</v>
      </c>
      <c r="M455" s="3">
        <f t="shared" si="72"/>
        <v>0.94047619047619047</v>
      </c>
      <c r="N455" s="3">
        <f t="shared" si="73"/>
        <v>0.94047619047619047</v>
      </c>
      <c r="O455" s="3" t="s">
        <v>245</v>
      </c>
      <c r="P455" s="3" t="s">
        <v>245</v>
      </c>
      <c r="Q455" s="3" t="str">
        <f t="shared" si="71"/>
        <v>423-2023-12-31</v>
      </c>
      <c r="R455" s="3">
        <v>1</v>
      </c>
      <c r="S455" s="3">
        <v>1</v>
      </c>
      <c r="T455" s="3" t="s">
        <v>443</v>
      </c>
      <c r="U455" s="3" t="s">
        <v>37</v>
      </c>
      <c r="V455" s="3" t="s">
        <v>83</v>
      </c>
      <c r="W455" s="3" t="s">
        <v>38</v>
      </c>
      <c r="X455" s="3" t="s">
        <v>39</v>
      </c>
      <c r="Y455" s="3" t="s">
        <v>322</v>
      </c>
      <c r="Z455" s="3" t="s">
        <v>274</v>
      </c>
      <c r="AA455" s="3" t="s">
        <v>275</v>
      </c>
      <c r="AB455" s="3" t="s">
        <v>43</v>
      </c>
      <c r="AC455" s="3" t="s">
        <v>66</v>
      </c>
      <c r="AD455" s="3">
        <v>0</v>
      </c>
    </row>
    <row r="456" spans="1:30" x14ac:dyDescent="0.3">
      <c r="A456" s="3">
        <v>423</v>
      </c>
      <c r="B456" s="3" t="s">
        <v>320</v>
      </c>
      <c r="C456" s="3" t="s">
        <v>83</v>
      </c>
      <c r="D456" s="3" t="s">
        <v>66</v>
      </c>
      <c r="E456" s="3" t="s">
        <v>32</v>
      </c>
      <c r="F456" s="12">
        <v>45657</v>
      </c>
      <c r="G456" s="3">
        <v>2024</v>
      </c>
      <c r="H456" s="3" t="s">
        <v>44</v>
      </c>
      <c r="I456" s="3" t="s">
        <v>53</v>
      </c>
      <c r="J456" s="3">
        <v>2</v>
      </c>
      <c r="K456" s="3">
        <v>8.3000000000000007</v>
      </c>
      <c r="L456" s="3">
        <v>12.4</v>
      </c>
      <c r="M456" s="3">
        <f t="shared" si="72"/>
        <v>1.4939759036144578</v>
      </c>
      <c r="N456" s="3">
        <f t="shared" si="73"/>
        <v>1.4939759036144578</v>
      </c>
      <c r="O456" s="3" t="s">
        <v>245</v>
      </c>
      <c r="P456" s="3" t="s">
        <v>245</v>
      </c>
      <c r="Q456" s="3" t="str">
        <f t="shared" si="71"/>
        <v>423-2024-12-31</v>
      </c>
      <c r="R456" s="3">
        <v>1</v>
      </c>
      <c r="S456" s="3">
        <v>1</v>
      </c>
      <c r="T456" s="3" t="s">
        <v>31</v>
      </c>
      <c r="U456" s="3" t="s">
        <v>37</v>
      </c>
      <c r="V456" s="3" t="s">
        <v>83</v>
      </c>
      <c r="W456" s="3" t="s">
        <v>38</v>
      </c>
      <c r="X456" s="3" t="s">
        <v>39</v>
      </c>
      <c r="Y456" s="3" t="s">
        <v>322</v>
      </c>
      <c r="Z456" s="3" t="s">
        <v>274</v>
      </c>
      <c r="AA456" s="3" t="s">
        <v>275</v>
      </c>
      <c r="AB456" s="3" t="s">
        <v>43</v>
      </c>
      <c r="AC456" s="3" t="s">
        <v>66</v>
      </c>
      <c r="AD456" s="3">
        <v>0</v>
      </c>
    </row>
    <row r="457" spans="1:30" x14ac:dyDescent="0.3">
      <c r="A457" s="3">
        <v>423</v>
      </c>
      <c r="B457" s="3" t="s">
        <v>320</v>
      </c>
      <c r="C457" s="3" t="s">
        <v>83</v>
      </c>
      <c r="D457" s="3" t="s">
        <v>66</v>
      </c>
      <c r="E457" s="3" t="s">
        <v>32</v>
      </c>
      <c r="F457" s="12">
        <v>45657</v>
      </c>
      <c r="G457" s="3">
        <v>2024</v>
      </c>
      <c r="H457" s="3" t="s">
        <v>44</v>
      </c>
      <c r="I457" s="3" t="s">
        <v>53</v>
      </c>
      <c r="J457" s="3"/>
      <c r="K457" s="3">
        <v>8.3000000000000007</v>
      </c>
      <c r="L457" s="3">
        <v>12.4</v>
      </c>
      <c r="M457" s="3">
        <f t="shared" si="72"/>
        <v>1.4939759036144578</v>
      </c>
      <c r="N457" s="3">
        <f t="shared" si="73"/>
        <v>1.4939759036144578</v>
      </c>
      <c r="O457" s="3" t="s">
        <v>245</v>
      </c>
      <c r="P457" s="3" t="s">
        <v>245</v>
      </c>
      <c r="Q457" s="3" t="str">
        <f t="shared" si="71"/>
        <v>423-2024-12-31</v>
      </c>
      <c r="R457" s="3">
        <v>1</v>
      </c>
      <c r="S457" s="3">
        <v>1</v>
      </c>
      <c r="T457" s="3" t="s">
        <v>443</v>
      </c>
      <c r="U457" s="3" t="s">
        <v>37</v>
      </c>
      <c r="V457" s="3" t="s">
        <v>83</v>
      </c>
      <c r="W457" s="3" t="s">
        <v>38</v>
      </c>
      <c r="X457" s="3" t="s">
        <v>39</v>
      </c>
      <c r="Y457" s="3" t="s">
        <v>322</v>
      </c>
      <c r="Z457" s="3" t="s">
        <v>274</v>
      </c>
      <c r="AA457" s="3" t="s">
        <v>275</v>
      </c>
      <c r="AB457" s="3" t="s">
        <v>43</v>
      </c>
      <c r="AC457" s="3" t="s">
        <v>66</v>
      </c>
      <c r="AD457" s="3">
        <v>0</v>
      </c>
    </row>
    <row r="458" spans="1:30" x14ac:dyDescent="0.3">
      <c r="A458" s="3">
        <v>423</v>
      </c>
      <c r="B458" s="3" t="s">
        <v>320</v>
      </c>
      <c r="C458" s="3" t="s">
        <v>83</v>
      </c>
      <c r="D458" s="3" t="s">
        <v>66</v>
      </c>
      <c r="E458" s="3" t="s">
        <v>32</v>
      </c>
      <c r="F458" s="12">
        <v>46022</v>
      </c>
      <c r="G458" s="3">
        <v>2025</v>
      </c>
      <c r="H458" s="3" t="s">
        <v>44</v>
      </c>
      <c r="I458" s="3" t="s">
        <v>465</v>
      </c>
      <c r="J458" s="3">
        <v>2</v>
      </c>
      <c r="K458" s="3">
        <v>12</v>
      </c>
      <c r="L458" s="3">
        <v>15.1</v>
      </c>
      <c r="M458" s="3">
        <f t="shared" si="72"/>
        <v>1.2583333333333333</v>
      </c>
      <c r="N458" s="3">
        <f t="shared" si="73"/>
        <v>1.2583333333333333</v>
      </c>
      <c r="O458" s="3" t="s">
        <v>245</v>
      </c>
      <c r="P458" s="3" t="s">
        <v>245</v>
      </c>
      <c r="Q458" s="3" t="str">
        <f t="shared" si="71"/>
        <v>423-2025-12-31</v>
      </c>
      <c r="R458" s="3">
        <v>1</v>
      </c>
      <c r="S458" s="3">
        <v>1</v>
      </c>
      <c r="T458" s="3" t="s">
        <v>31</v>
      </c>
      <c r="U458" s="3" t="s">
        <v>37</v>
      </c>
      <c r="V458" s="3" t="s">
        <v>83</v>
      </c>
      <c r="W458" s="3" t="s">
        <v>38</v>
      </c>
      <c r="X458" s="3" t="s">
        <v>39</v>
      </c>
      <c r="Y458" s="3" t="s">
        <v>322</v>
      </c>
      <c r="Z458" s="3" t="s">
        <v>274</v>
      </c>
      <c r="AA458" s="3" t="s">
        <v>275</v>
      </c>
      <c r="AB458" s="3" t="s">
        <v>43</v>
      </c>
      <c r="AC458" s="3" t="s">
        <v>66</v>
      </c>
      <c r="AD458" s="3">
        <v>0</v>
      </c>
    </row>
    <row r="459" spans="1:30" x14ac:dyDescent="0.3">
      <c r="A459" s="3">
        <v>424</v>
      </c>
      <c r="B459" s="3" t="s">
        <v>325</v>
      </c>
      <c r="C459" s="3" t="s">
        <v>83</v>
      </c>
      <c r="D459" s="3" t="s">
        <v>66</v>
      </c>
      <c r="E459" s="3" t="s">
        <v>32</v>
      </c>
      <c r="F459" s="12">
        <v>44926</v>
      </c>
      <c r="G459" s="3">
        <v>2022</v>
      </c>
      <c r="H459" s="3" t="s">
        <v>44</v>
      </c>
      <c r="I459" s="3" t="s">
        <v>45</v>
      </c>
      <c r="J459" s="3">
        <v>2</v>
      </c>
      <c r="K459" s="3">
        <v>6.5</v>
      </c>
      <c r="L459" s="3">
        <v>5</v>
      </c>
      <c r="M459" s="3">
        <f>+L459/K459</f>
        <v>0.76923076923076927</v>
      </c>
      <c r="N459" s="3">
        <f>+L459/K459</f>
        <v>0.76923076923076927</v>
      </c>
      <c r="O459" s="3" t="s">
        <v>245</v>
      </c>
      <c r="P459" s="3" t="s">
        <v>35</v>
      </c>
      <c r="Q459" s="3" t="str">
        <f t="shared" si="71"/>
        <v>424-2022-12-31</v>
      </c>
      <c r="R459" s="3">
        <v>0</v>
      </c>
      <c r="S459" s="3">
        <v>0</v>
      </c>
      <c r="T459" s="3" t="s">
        <v>31</v>
      </c>
      <c r="U459" s="3" t="s">
        <v>37</v>
      </c>
      <c r="V459" s="3" t="s">
        <v>83</v>
      </c>
      <c r="W459" s="3" t="s">
        <v>38</v>
      </c>
      <c r="X459" s="3" t="s">
        <v>39</v>
      </c>
      <c r="Y459" s="3" t="s">
        <v>322</v>
      </c>
      <c r="Z459" s="3" t="s">
        <v>274</v>
      </c>
      <c r="AA459" s="3" t="s">
        <v>275</v>
      </c>
      <c r="AB459" s="3" t="s">
        <v>43</v>
      </c>
      <c r="AC459" s="3" t="s">
        <v>66</v>
      </c>
      <c r="AD459" s="3">
        <v>0</v>
      </c>
    </row>
    <row r="460" spans="1:30" x14ac:dyDescent="0.3">
      <c r="A460" s="3">
        <v>424</v>
      </c>
      <c r="B460" s="3" t="s">
        <v>325</v>
      </c>
      <c r="C460" s="3" t="s">
        <v>83</v>
      </c>
      <c r="D460" s="3" t="s">
        <v>66</v>
      </c>
      <c r="E460" s="3" t="s">
        <v>32</v>
      </c>
      <c r="F460" s="12">
        <v>44926</v>
      </c>
      <c r="G460" s="3">
        <v>2022</v>
      </c>
      <c r="H460" s="3" t="s">
        <v>44</v>
      </c>
      <c r="I460" s="3" t="s">
        <v>45</v>
      </c>
      <c r="J460" s="3"/>
      <c r="K460" s="3">
        <v>6.5</v>
      </c>
      <c r="L460" s="3">
        <v>5</v>
      </c>
      <c r="M460" s="3">
        <f t="shared" ref="M460:M465" si="74">+L460/K460</f>
        <v>0.76923076923076927</v>
      </c>
      <c r="N460" s="3">
        <f t="shared" ref="N460:N465" si="75">+L460/K460</f>
        <v>0.76923076923076927</v>
      </c>
      <c r="O460" s="3" t="s">
        <v>245</v>
      </c>
      <c r="P460" s="3" t="s">
        <v>35</v>
      </c>
      <c r="Q460" s="3" t="str">
        <f t="shared" si="71"/>
        <v>424-2022-12-31</v>
      </c>
      <c r="R460" s="3">
        <v>1</v>
      </c>
      <c r="S460" s="3">
        <v>0</v>
      </c>
      <c r="T460" s="3" t="s">
        <v>443</v>
      </c>
      <c r="U460" s="3" t="s">
        <v>37</v>
      </c>
      <c r="V460" s="3" t="s">
        <v>83</v>
      </c>
      <c r="W460" s="3" t="s">
        <v>38</v>
      </c>
      <c r="X460" s="3" t="s">
        <v>39</v>
      </c>
      <c r="Y460" s="3" t="s">
        <v>322</v>
      </c>
      <c r="Z460" s="3" t="s">
        <v>274</v>
      </c>
      <c r="AA460" s="3" t="s">
        <v>275</v>
      </c>
      <c r="AB460" s="3" t="s">
        <v>43</v>
      </c>
      <c r="AC460" s="3" t="s">
        <v>66</v>
      </c>
      <c r="AD460" s="3">
        <v>0</v>
      </c>
    </row>
    <row r="461" spans="1:30" x14ac:dyDescent="0.3">
      <c r="A461" s="3">
        <v>424</v>
      </c>
      <c r="B461" s="3" t="s">
        <v>325</v>
      </c>
      <c r="C461" s="3" t="s">
        <v>83</v>
      </c>
      <c r="D461" s="3" t="s">
        <v>66</v>
      </c>
      <c r="E461" s="3" t="s">
        <v>32</v>
      </c>
      <c r="F461" s="12">
        <v>45291</v>
      </c>
      <c r="G461" s="3">
        <v>2023</v>
      </c>
      <c r="H461" s="3" t="s">
        <v>44</v>
      </c>
      <c r="I461" s="3" t="s">
        <v>49</v>
      </c>
      <c r="J461" s="3">
        <v>2</v>
      </c>
      <c r="K461" s="3">
        <v>6</v>
      </c>
      <c r="L461" s="3">
        <v>6</v>
      </c>
      <c r="M461" s="3">
        <f t="shared" si="74"/>
        <v>1</v>
      </c>
      <c r="N461" s="3">
        <f t="shared" si="75"/>
        <v>1</v>
      </c>
      <c r="O461" s="3" t="s">
        <v>35</v>
      </c>
      <c r="P461" s="3" t="s">
        <v>35</v>
      </c>
      <c r="Q461" s="3" t="str">
        <f t="shared" si="71"/>
        <v>424-2023-12-31</v>
      </c>
      <c r="R461" s="3">
        <v>0</v>
      </c>
      <c r="S461" s="3">
        <v>0</v>
      </c>
      <c r="T461" s="3" t="s">
        <v>31</v>
      </c>
      <c r="U461" s="3" t="s">
        <v>37</v>
      </c>
      <c r="V461" s="3" t="s">
        <v>83</v>
      </c>
      <c r="W461" s="3" t="s">
        <v>38</v>
      </c>
      <c r="X461" s="3" t="s">
        <v>39</v>
      </c>
      <c r="Y461" s="3" t="s">
        <v>322</v>
      </c>
      <c r="Z461" s="3" t="s">
        <v>274</v>
      </c>
      <c r="AA461" s="3" t="s">
        <v>275</v>
      </c>
      <c r="AB461" s="3" t="s">
        <v>43</v>
      </c>
      <c r="AC461" s="3" t="s">
        <v>66</v>
      </c>
      <c r="AD461" s="3">
        <v>0</v>
      </c>
    </row>
    <row r="462" spans="1:30" x14ac:dyDescent="0.3">
      <c r="A462" s="3">
        <v>424</v>
      </c>
      <c r="B462" s="3" t="s">
        <v>325</v>
      </c>
      <c r="C462" s="3" t="s">
        <v>83</v>
      </c>
      <c r="D462" s="3" t="s">
        <v>66</v>
      </c>
      <c r="E462" s="3" t="s">
        <v>32</v>
      </c>
      <c r="F462" s="12">
        <v>45291</v>
      </c>
      <c r="G462" s="3">
        <v>2023</v>
      </c>
      <c r="H462" s="3" t="s">
        <v>44</v>
      </c>
      <c r="I462" s="3" t="s">
        <v>49</v>
      </c>
      <c r="J462" s="3"/>
      <c r="K462" s="3">
        <v>6</v>
      </c>
      <c r="L462" s="3">
        <v>6</v>
      </c>
      <c r="M462" s="3">
        <f t="shared" si="74"/>
        <v>1</v>
      </c>
      <c r="N462" s="3">
        <f t="shared" si="75"/>
        <v>1</v>
      </c>
      <c r="O462" s="3" t="s">
        <v>35</v>
      </c>
      <c r="P462" s="3" t="s">
        <v>35</v>
      </c>
      <c r="Q462" s="3" t="str">
        <f t="shared" si="71"/>
        <v>424-2023-12-31</v>
      </c>
      <c r="R462" s="3">
        <v>0</v>
      </c>
      <c r="S462" s="3">
        <v>0</v>
      </c>
      <c r="T462" s="3" t="s">
        <v>443</v>
      </c>
      <c r="U462" s="3" t="s">
        <v>37</v>
      </c>
      <c r="V462" s="3" t="s">
        <v>83</v>
      </c>
      <c r="W462" s="3" t="s">
        <v>38</v>
      </c>
      <c r="X462" s="3" t="s">
        <v>39</v>
      </c>
      <c r="Y462" s="3" t="s">
        <v>322</v>
      </c>
      <c r="Z462" s="3" t="s">
        <v>274</v>
      </c>
      <c r="AA462" s="3" t="s">
        <v>275</v>
      </c>
      <c r="AB462" s="3" t="s">
        <v>43</v>
      </c>
      <c r="AC462" s="3" t="s">
        <v>66</v>
      </c>
      <c r="AD462" s="3">
        <v>0</v>
      </c>
    </row>
    <row r="463" spans="1:30" x14ac:dyDescent="0.3">
      <c r="A463" s="3">
        <v>424</v>
      </c>
      <c r="B463" s="3" t="s">
        <v>325</v>
      </c>
      <c r="C463" s="3" t="s">
        <v>83</v>
      </c>
      <c r="D463" s="3" t="s">
        <v>66</v>
      </c>
      <c r="E463" s="3" t="s">
        <v>32</v>
      </c>
      <c r="F463" s="12">
        <v>45657</v>
      </c>
      <c r="G463" s="3">
        <v>2024</v>
      </c>
      <c r="H463" s="3" t="s">
        <v>44</v>
      </c>
      <c r="I463" s="3" t="s">
        <v>53</v>
      </c>
      <c r="J463" s="3">
        <v>2</v>
      </c>
      <c r="K463" s="3">
        <v>7</v>
      </c>
      <c r="L463" s="3">
        <v>9</v>
      </c>
      <c r="M463" s="3">
        <f t="shared" si="74"/>
        <v>1.2857142857142858</v>
      </c>
      <c r="N463" s="3">
        <f t="shared" si="75"/>
        <v>1.2857142857142858</v>
      </c>
      <c r="O463" s="3" t="s">
        <v>35</v>
      </c>
      <c r="P463" s="3" t="s">
        <v>35</v>
      </c>
      <c r="Q463" s="3" t="str">
        <f t="shared" si="71"/>
        <v>424-2024-12-31</v>
      </c>
      <c r="R463" s="3">
        <v>0</v>
      </c>
      <c r="S463" s="3">
        <v>0</v>
      </c>
      <c r="T463" s="3" t="s">
        <v>31</v>
      </c>
      <c r="U463" s="3" t="s">
        <v>37</v>
      </c>
      <c r="V463" s="3" t="s">
        <v>83</v>
      </c>
      <c r="W463" s="3" t="s">
        <v>38</v>
      </c>
      <c r="X463" s="3" t="s">
        <v>39</v>
      </c>
      <c r="Y463" s="3" t="s">
        <v>322</v>
      </c>
      <c r="Z463" s="3" t="s">
        <v>274</v>
      </c>
      <c r="AA463" s="3" t="s">
        <v>275</v>
      </c>
      <c r="AB463" s="3" t="s">
        <v>43</v>
      </c>
      <c r="AC463" s="3" t="s">
        <v>66</v>
      </c>
      <c r="AD463" s="3">
        <v>0</v>
      </c>
    </row>
    <row r="464" spans="1:30" x14ac:dyDescent="0.3">
      <c r="A464" s="3">
        <v>424</v>
      </c>
      <c r="B464" s="3" t="s">
        <v>325</v>
      </c>
      <c r="C464" s="3" t="s">
        <v>83</v>
      </c>
      <c r="D464" s="3" t="s">
        <v>66</v>
      </c>
      <c r="E464" s="3" t="s">
        <v>32</v>
      </c>
      <c r="F464" s="12">
        <v>45657</v>
      </c>
      <c r="G464" s="3">
        <v>2024</v>
      </c>
      <c r="H464" s="3" t="s">
        <v>44</v>
      </c>
      <c r="I464" s="3" t="s">
        <v>53</v>
      </c>
      <c r="J464" s="3"/>
      <c r="K464" s="3">
        <v>7</v>
      </c>
      <c r="L464" s="3">
        <v>9</v>
      </c>
      <c r="M464" s="3">
        <f t="shared" si="74"/>
        <v>1.2857142857142858</v>
      </c>
      <c r="N464" s="3">
        <f t="shared" si="75"/>
        <v>1.2857142857142858</v>
      </c>
      <c r="O464" s="3" t="s">
        <v>35</v>
      </c>
      <c r="P464" s="3" t="s">
        <v>35</v>
      </c>
      <c r="Q464" s="3" t="str">
        <f t="shared" si="71"/>
        <v>424-2024-12-31</v>
      </c>
      <c r="R464" s="3">
        <v>0</v>
      </c>
      <c r="S464" s="3">
        <v>0</v>
      </c>
      <c r="T464" s="3" t="s">
        <v>443</v>
      </c>
      <c r="U464" s="3" t="s">
        <v>37</v>
      </c>
      <c r="V464" s="3" t="s">
        <v>83</v>
      </c>
      <c r="W464" s="3" t="s">
        <v>38</v>
      </c>
      <c r="X464" s="3" t="s">
        <v>39</v>
      </c>
      <c r="Y464" s="3" t="s">
        <v>322</v>
      </c>
      <c r="Z464" s="3" t="s">
        <v>274</v>
      </c>
      <c r="AA464" s="3" t="s">
        <v>275</v>
      </c>
      <c r="AB464" s="3" t="s">
        <v>43</v>
      </c>
      <c r="AC464" s="3" t="s">
        <v>66</v>
      </c>
      <c r="AD464" s="3">
        <v>0</v>
      </c>
    </row>
    <row r="465" spans="1:30" x14ac:dyDescent="0.3">
      <c r="A465" s="3">
        <v>424</v>
      </c>
      <c r="B465" s="3" t="s">
        <v>325</v>
      </c>
      <c r="C465" s="3" t="s">
        <v>83</v>
      </c>
      <c r="D465" s="3" t="s">
        <v>66</v>
      </c>
      <c r="E465" s="3" t="s">
        <v>32</v>
      </c>
      <c r="F465" s="12">
        <v>46022</v>
      </c>
      <c r="G465" s="3">
        <v>2025</v>
      </c>
      <c r="H465" s="3" t="s">
        <v>44</v>
      </c>
      <c r="I465" s="3" t="s">
        <v>465</v>
      </c>
      <c r="J465" s="3">
        <v>2</v>
      </c>
      <c r="K465" s="3">
        <v>9</v>
      </c>
      <c r="L465" s="3">
        <v>11</v>
      </c>
      <c r="M465" s="3">
        <f t="shared" si="74"/>
        <v>1.2222222222222223</v>
      </c>
      <c r="N465" s="3">
        <f t="shared" si="75"/>
        <v>1.2222222222222223</v>
      </c>
      <c r="O465" s="3" t="s">
        <v>35</v>
      </c>
      <c r="P465" s="3" t="s">
        <v>35</v>
      </c>
      <c r="Q465" s="3" t="str">
        <f t="shared" si="71"/>
        <v>424-2025-12-31</v>
      </c>
      <c r="R465" s="3">
        <v>0</v>
      </c>
      <c r="S465" s="3">
        <v>0</v>
      </c>
      <c r="T465" s="3" t="s">
        <v>31</v>
      </c>
      <c r="U465" s="3" t="s">
        <v>37</v>
      </c>
      <c r="V465" s="3" t="s">
        <v>83</v>
      </c>
      <c r="W465" s="3" t="s">
        <v>38</v>
      </c>
      <c r="X465" s="3" t="s">
        <v>39</v>
      </c>
      <c r="Y465" s="3" t="s">
        <v>322</v>
      </c>
      <c r="Z465" s="3" t="s">
        <v>274</v>
      </c>
      <c r="AA465" s="3" t="s">
        <v>275</v>
      </c>
      <c r="AB465" s="3" t="s">
        <v>43</v>
      </c>
      <c r="AC465" s="3" t="s">
        <v>66</v>
      </c>
      <c r="AD465" s="3">
        <v>0</v>
      </c>
    </row>
    <row r="466" spans="1:30" x14ac:dyDescent="0.3">
      <c r="A466" s="3">
        <v>460</v>
      </c>
      <c r="B466" s="3" t="s">
        <v>329</v>
      </c>
      <c r="C466" s="3" t="s">
        <v>130</v>
      </c>
      <c r="D466" s="3" t="s">
        <v>66</v>
      </c>
      <c r="E466" s="3" t="s">
        <v>32</v>
      </c>
      <c r="F466" s="12">
        <v>45291</v>
      </c>
      <c r="G466" s="3">
        <v>2023</v>
      </c>
      <c r="H466" s="3" t="s">
        <v>44</v>
      </c>
      <c r="I466" s="3" t="s">
        <v>49</v>
      </c>
      <c r="J466" s="3">
        <v>2</v>
      </c>
      <c r="K466" s="3"/>
      <c r="L466" s="3">
        <v>94.85</v>
      </c>
      <c r="M466" s="3"/>
      <c r="N466" s="3"/>
      <c r="O466" s="3" t="s">
        <v>284</v>
      </c>
      <c r="P466" s="3" t="s">
        <v>58</v>
      </c>
      <c r="Q466" s="3" t="str">
        <f t="shared" si="71"/>
        <v>460-2023-12-31</v>
      </c>
      <c r="R466" s="3">
        <v>0</v>
      </c>
      <c r="S466" s="3">
        <v>0</v>
      </c>
      <c r="T466" s="3" t="s">
        <v>31</v>
      </c>
      <c r="U466" s="3" t="s">
        <v>37</v>
      </c>
      <c r="V466" s="3" t="s">
        <v>130</v>
      </c>
      <c r="W466" s="3" t="s">
        <v>73</v>
      </c>
      <c r="X466" s="3" t="s">
        <v>218</v>
      </c>
      <c r="Y466" s="3" t="s">
        <v>331</v>
      </c>
      <c r="Z466" s="3" t="s">
        <v>134</v>
      </c>
      <c r="AA466" s="3" t="s">
        <v>135</v>
      </c>
      <c r="AB466" s="3" t="s">
        <v>43</v>
      </c>
      <c r="AC466" s="3" t="s">
        <v>66</v>
      </c>
      <c r="AD466" s="3">
        <v>0</v>
      </c>
    </row>
    <row r="467" spans="1:30" x14ac:dyDescent="0.3">
      <c r="A467" s="3">
        <v>460</v>
      </c>
      <c r="B467" s="3" t="s">
        <v>329</v>
      </c>
      <c r="C467" s="3" t="s">
        <v>130</v>
      </c>
      <c r="D467" s="3" t="s">
        <v>66</v>
      </c>
      <c r="E467" s="3" t="s">
        <v>32</v>
      </c>
      <c r="F467" s="12">
        <v>45291</v>
      </c>
      <c r="G467" s="3">
        <v>2023</v>
      </c>
      <c r="H467" s="3" t="s">
        <v>44</v>
      </c>
      <c r="I467" s="3" t="s">
        <v>49</v>
      </c>
      <c r="J467" s="3"/>
      <c r="K467" s="3"/>
      <c r="L467" s="3">
        <v>94.85</v>
      </c>
      <c r="M467" s="3"/>
      <c r="N467" s="3"/>
      <c r="O467" s="3" t="s">
        <v>284</v>
      </c>
      <c r="P467" s="3" t="s">
        <v>58</v>
      </c>
      <c r="Q467" s="3" t="str">
        <f t="shared" si="71"/>
        <v>460-2023-12-31</v>
      </c>
      <c r="R467" s="3">
        <v>0</v>
      </c>
      <c r="S467" s="3">
        <v>0</v>
      </c>
      <c r="T467" s="3" t="s">
        <v>443</v>
      </c>
      <c r="U467" s="3" t="s">
        <v>37</v>
      </c>
      <c r="V467" s="3" t="s">
        <v>130</v>
      </c>
      <c r="W467" s="3" t="s">
        <v>73</v>
      </c>
      <c r="X467" s="3" t="s">
        <v>218</v>
      </c>
      <c r="Y467" s="3" t="s">
        <v>331</v>
      </c>
      <c r="Z467" s="3" t="s">
        <v>134</v>
      </c>
      <c r="AA467" s="3" t="s">
        <v>135</v>
      </c>
      <c r="AB467" s="3" t="s">
        <v>43</v>
      </c>
      <c r="AC467" s="3" t="s">
        <v>66</v>
      </c>
      <c r="AD467" s="3">
        <v>0</v>
      </c>
    </row>
    <row r="468" spans="1:30" x14ac:dyDescent="0.3">
      <c r="A468" s="3">
        <v>460</v>
      </c>
      <c r="B468" s="3" t="s">
        <v>329</v>
      </c>
      <c r="C468" s="3" t="s">
        <v>130</v>
      </c>
      <c r="D468" s="3" t="s">
        <v>66</v>
      </c>
      <c r="E468" s="3" t="s">
        <v>32</v>
      </c>
      <c r="F468" s="12">
        <v>45657</v>
      </c>
      <c r="G468" s="3">
        <v>2024</v>
      </c>
      <c r="H468" s="3" t="s">
        <v>44</v>
      </c>
      <c r="I468" s="3" t="s">
        <v>53</v>
      </c>
      <c r="J468" s="3">
        <v>2</v>
      </c>
      <c r="K468" s="3">
        <v>80</v>
      </c>
      <c r="L468" s="3">
        <v>91.44</v>
      </c>
      <c r="M468" s="3">
        <v>1.143</v>
      </c>
      <c r="N468" s="3">
        <v>1.143</v>
      </c>
      <c r="O468" s="3" t="s">
        <v>58</v>
      </c>
      <c r="P468" s="3" t="s">
        <v>58</v>
      </c>
      <c r="Q468" s="3" t="str">
        <f t="shared" si="71"/>
        <v>460-2024-12-31</v>
      </c>
      <c r="R468" s="3">
        <v>0</v>
      </c>
      <c r="S468" s="3">
        <v>0</v>
      </c>
      <c r="T468" s="3" t="s">
        <v>31</v>
      </c>
      <c r="U468" s="3" t="s">
        <v>37</v>
      </c>
      <c r="V468" s="3" t="s">
        <v>130</v>
      </c>
      <c r="W468" s="3" t="s">
        <v>73</v>
      </c>
      <c r="X468" s="3" t="s">
        <v>218</v>
      </c>
      <c r="Y468" s="3" t="s">
        <v>331</v>
      </c>
      <c r="Z468" s="3" t="s">
        <v>134</v>
      </c>
      <c r="AA468" s="3" t="s">
        <v>135</v>
      </c>
      <c r="AB468" s="3" t="s">
        <v>43</v>
      </c>
      <c r="AC468" s="3" t="s">
        <v>66</v>
      </c>
      <c r="AD468" s="3">
        <v>0</v>
      </c>
    </row>
    <row r="469" spans="1:30" x14ac:dyDescent="0.3">
      <c r="A469" s="3">
        <v>460</v>
      </c>
      <c r="B469" s="3" t="s">
        <v>329</v>
      </c>
      <c r="C469" s="3" t="s">
        <v>130</v>
      </c>
      <c r="D469" s="3" t="s">
        <v>66</v>
      </c>
      <c r="E469" s="3" t="s">
        <v>32</v>
      </c>
      <c r="F469" s="12">
        <v>45657</v>
      </c>
      <c r="G469" s="3">
        <v>2024</v>
      </c>
      <c r="H469" s="3" t="s">
        <v>44</v>
      </c>
      <c r="I469" s="3" t="s">
        <v>53</v>
      </c>
      <c r="J469" s="3"/>
      <c r="K469" s="3">
        <v>80</v>
      </c>
      <c r="L469" s="3">
        <v>91.44</v>
      </c>
      <c r="M469" s="3">
        <v>1.143</v>
      </c>
      <c r="N469" s="3">
        <v>1.143</v>
      </c>
      <c r="O469" s="3" t="s">
        <v>58</v>
      </c>
      <c r="P469" s="3" t="s">
        <v>58</v>
      </c>
      <c r="Q469" s="3" t="str">
        <f t="shared" si="71"/>
        <v>460-2024-12-31</v>
      </c>
      <c r="R469" s="3">
        <v>0</v>
      </c>
      <c r="S469" s="3">
        <v>1</v>
      </c>
      <c r="T469" s="3" t="s">
        <v>443</v>
      </c>
      <c r="U469" s="3" t="s">
        <v>37</v>
      </c>
      <c r="V469" s="3" t="s">
        <v>130</v>
      </c>
      <c r="W469" s="3" t="s">
        <v>73</v>
      </c>
      <c r="X469" s="3" t="s">
        <v>218</v>
      </c>
      <c r="Y469" s="3" t="s">
        <v>331</v>
      </c>
      <c r="Z469" s="3" t="s">
        <v>134</v>
      </c>
      <c r="AA469" s="3" t="s">
        <v>135</v>
      </c>
      <c r="AB469" s="3" t="s">
        <v>43</v>
      </c>
      <c r="AC469" s="3" t="s">
        <v>66</v>
      </c>
      <c r="AD469" s="3">
        <v>0</v>
      </c>
    </row>
    <row r="470" spans="1:30" x14ac:dyDescent="0.3">
      <c r="A470" s="3">
        <v>460</v>
      </c>
      <c r="B470" s="3" t="s">
        <v>329</v>
      </c>
      <c r="C470" s="3" t="s">
        <v>130</v>
      </c>
      <c r="D470" s="3" t="s">
        <v>66</v>
      </c>
      <c r="E470" s="3" t="s">
        <v>32</v>
      </c>
      <c r="F470" s="12">
        <v>45838</v>
      </c>
      <c r="G470" s="3">
        <v>2025</v>
      </c>
      <c r="H470" s="3" t="s">
        <v>33</v>
      </c>
      <c r="I470" s="3" t="s">
        <v>404</v>
      </c>
      <c r="J470" s="3">
        <v>2</v>
      </c>
      <c r="K470" s="3">
        <v>80</v>
      </c>
      <c r="L470" s="3">
        <v>91.44</v>
      </c>
      <c r="M470" s="3">
        <v>1.143</v>
      </c>
      <c r="N470" s="3">
        <v>1.143</v>
      </c>
      <c r="O470" s="3" t="s">
        <v>58</v>
      </c>
      <c r="P470" s="3" t="s">
        <v>58</v>
      </c>
      <c r="Q470" s="3" t="str">
        <f t="shared" si="71"/>
        <v>460-2025-06-30</v>
      </c>
      <c r="R470" s="3">
        <v>0</v>
      </c>
      <c r="S470" s="3">
        <v>1</v>
      </c>
      <c r="T470" s="3" t="s">
        <v>443</v>
      </c>
      <c r="U470" s="3" t="s">
        <v>37</v>
      </c>
      <c r="V470" s="3" t="s">
        <v>130</v>
      </c>
      <c r="W470" s="3" t="s">
        <v>73</v>
      </c>
      <c r="X470" s="3" t="s">
        <v>218</v>
      </c>
      <c r="Y470" s="3" t="s">
        <v>331</v>
      </c>
      <c r="Z470" s="3" t="s">
        <v>134</v>
      </c>
      <c r="AA470" s="3" t="s">
        <v>135</v>
      </c>
      <c r="AB470" s="3" t="s">
        <v>43</v>
      </c>
      <c r="AC470" s="3" t="s">
        <v>66</v>
      </c>
      <c r="AD470" s="3">
        <v>0</v>
      </c>
    </row>
    <row r="471" spans="1:30" x14ac:dyDescent="0.3">
      <c r="A471" s="3">
        <v>466</v>
      </c>
      <c r="B471" s="3" t="s">
        <v>341</v>
      </c>
      <c r="C471" s="3" t="s">
        <v>30</v>
      </c>
      <c r="D471" s="3" t="s">
        <v>31</v>
      </c>
      <c r="E471" s="3" t="s">
        <v>32</v>
      </c>
      <c r="F471" s="12">
        <v>44926</v>
      </c>
      <c r="G471" s="3">
        <v>2022</v>
      </c>
      <c r="H471" s="3" t="s">
        <v>44</v>
      </c>
      <c r="I471" s="3" t="s">
        <v>45</v>
      </c>
      <c r="J471" s="3">
        <v>2</v>
      </c>
      <c r="K471" s="3">
        <v>25</v>
      </c>
      <c r="L471" s="3">
        <v>43.56</v>
      </c>
      <c r="M471" s="3">
        <v>1.3</v>
      </c>
      <c r="N471" s="3">
        <f>+L471/K471</f>
        <v>1.7424000000000002</v>
      </c>
      <c r="O471" s="3" t="s">
        <v>35</v>
      </c>
      <c r="P471" s="3" t="s">
        <v>245</v>
      </c>
      <c r="Q471" s="3" t="str">
        <f t="shared" si="71"/>
        <v>466-2022-12-31</v>
      </c>
      <c r="R471" s="3">
        <v>1</v>
      </c>
      <c r="S471" s="3">
        <v>1</v>
      </c>
      <c r="T471" s="3" t="s">
        <v>31</v>
      </c>
      <c r="U471" s="3" t="s">
        <v>37</v>
      </c>
      <c r="V471" s="3" t="s">
        <v>342</v>
      </c>
      <c r="W471" s="3" t="s">
        <v>112</v>
      </c>
      <c r="X471" s="3" t="s">
        <v>113</v>
      </c>
      <c r="Y471" s="3" t="s">
        <v>114</v>
      </c>
      <c r="Z471" s="3" t="s">
        <v>41</v>
      </c>
      <c r="AA471" s="3" t="s">
        <v>102</v>
      </c>
      <c r="AB471" s="3" t="s">
        <v>43</v>
      </c>
      <c r="AC471" s="3" t="s">
        <v>66</v>
      </c>
      <c r="AD471" s="3">
        <v>0</v>
      </c>
    </row>
    <row r="472" spans="1:30" x14ac:dyDescent="0.3">
      <c r="A472" s="3">
        <v>466</v>
      </c>
      <c r="B472" s="3" t="s">
        <v>341</v>
      </c>
      <c r="C472" s="3" t="s">
        <v>30</v>
      </c>
      <c r="D472" s="3" t="s">
        <v>31</v>
      </c>
      <c r="E472" s="3" t="s">
        <v>32</v>
      </c>
      <c r="F472" s="12">
        <v>44926</v>
      </c>
      <c r="G472" s="3">
        <v>2022</v>
      </c>
      <c r="H472" s="3" t="s">
        <v>44</v>
      </c>
      <c r="I472" s="3" t="s">
        <v>45</v>
      </c>
      <c r="J472" s="3"/>
      <c r="K472" s="3">
        <v>25</v>
      </c>
      <c r="L472" s="3">
        <v>43.56</v>
      </c>
      <c r="M472" s="3">
        <v>1.3</v>
      </c>
      <c r="N472" s="3">
        <f t="shared" ref="N472:N479" si="76">+L472/K472</f>
        <v>1.7424000000000002</v>
      </c>
      <c r="O472" s="3" t="s">
        <v>35</v>
      </c>
      <c r="P472" s="3" t="s">
        <v>245</v>
      </c>
      <c r="Q472" s="3" t="str">
        <f t="shared" si="71"/>
        <v>466-2022-12-31</v>
      </c>
      <c r="R472" s="3">
        <v>1</v>
      </c>
      <c r="S472" s="3">
        <v>1</v>
      </c>
      <c r="T472" s="3" t="s">
        <v>443</v>
      </c>
      <c r="U472" s="3" t="s">
        <v>37</v>
      </c>
      <c r="V472" s="3" t="s">
        <v>342</v>
      </c>
      <c r="W472" s="3" t="s">
        <v>112</v>
      </c>
      <c r="X472" s="3" t="s">
        <v>113</v>
      </c>
      <c r="Y472" s="3" t="s">
        <v>114</v>
      </c>
      <c r="Z472" s="3" t="s">
        <v>41</v>
      </c>
      <c r="AA472" s="3" t="s">
        <v>102</v>
      </c>
      <c r="AB472" s="3" t="s">
        <v>43</v>
      </c>
      <c r="AC472" s="3" t="s">
        <v>66</v>
      </c>
      <c r="AD472" s="3">
        <v>0</v>
      </c>
    </row>
    <row r="473" spans="1:30" x14ac:dyDescent="0.3">
      <c r="A473" s="3">
        <v>466</v>
      </c>
      <c r="B473" s="3" t="s">
        <v>341</v>
      </c>
      <c r="C473" s="3" t="s">
        <v>30</v>
      </c>
      <c r="D473" s="3" t="s">
        <v>31</v>
      </c>
      <c r="E473" s="3" t="s">
        <v>32</v>
      </c>
      <c r="F473" s="12">
        <v>45291</v>
      </c>
      <c r="G473" s="3">
        <v>2023</v>
      </c>
      <c r="H473" s="3" t="s">
        <v>44</v>
      </c>
      <c r="I473" s="3" t="s">
        <v>49</v>
      </c>
      <c r="J473" s="3">
        <v>2</v>
      </c>
      <c r="K473" s="3">
        <v>42</v>
      </c>
      <c r="L473" s="3">
        <v>53.34</v>
      </c>
      <c r="M473" s="3">
        <v>1.27</v>
      </c>
      <c r="N473" s="3">
        <f t="shared" si="76"/>
        <v>1.27</v>
      </c>
      <c r="O473" s="3" t="s">
        <v>35</v>
      </c>
      <c r="P473" s="3" t="s">
        <v>245</v>
      </c>
      <c r="Q473" s="3" t="str">
        <f t="shared" si="71"/>
        <v>466-2023-12-31</v>
      </c>
      <c r="R473" s="3">
        <v>1</v>
      </c>
      <c r="S473" s="3">
        <v>1</v>
      </c>
      <c r="T473" s="3" t="s">
        <v>31</v>
      </c>
      <c r="U473" s="3" t="s">
        <v>37</v>
      </c>
      <c r="V473" s="3" t="s">
        <v>342</v>
      </c>
      <c r="W473" s="3" t="s">
        <v>112</v>
      </c>
      <c r="X473" s="3" t="s">
        <v>113</v>
      </c>
      <c r="Y473" s="3" t="s">
        <v>114</v>
      </c>
      <c r="Z473" s="3" t="s">
        <v>41</v>
      </c>
      <c r="AA473" s="3" t="s">
        <v>102</v>
      </c>
      <c r="AB473" s="3" t="s">
        <v>43</v>
      </c>
      <c r="AC473" s="3" t="s">
        <v>66</v>
      </c>
      <c r="AD473" s="3">
        <v>0</v>
      </c>
    </row>
    <row r="474" spans="1:30" x14ac:dyDescent="0.3">
      <c r="A474" s="3">
        <v>466</v>
      </c>
      <c r="B474" s="3" t="s">
        <v>341</v>
      </c>
      <c r="C474" s="3" t="s">
        <v>30</v>
      </c>
      <c r="D474" s="3" t="s">
        <v>31</v>
      </c>
      <c r="E474" s="3" t="s">
        <v>32</v>
      </c>
      <c r="F474" s="12">
        <v>45291</v>
      </c>
      <c r="G474" s="3">
        <v>2023</v>
      </c>
      <c r="H474" s="3" t="s">
        <v>44</v>
      </c>
      <c r="I474" s="3" t="s">
        <v>49</v>
      </c>
      <c r="J474" s="3"/>
      <c r="K474" s="3">
        <v>42</v>
      </c>
      <c r="L474" s="3">
        <v>53.34</v>
      </c>
      <c r="M474" s="3">
        <v>1.27</v>
      </c>
      <c r="N474" s="3">
        <f t="shared" si="76"/>
        <v>1.27</v>
      </c>
      <c r="O474" s="3" t="s">
        <v>35</v>
      </c>
      <c r="P474" s="3" t="s">
        <v>245</v>
      </c>
      <c r="Q474" s="3" t="str">
        <f t="shared" si="71"/>
        <v>466-2023-12-31</v>
      </c>
      <c r="R474" s="3">
        <v>1</v>
      </c>
      <c r="S474" s="3">
        <v>1</v>
      </c>
      <c r="T474" s="3" t="s">
        <v>443</v>
      </c>
      <c r="U474" s="3" t="s">
        <v>37</v>
      </c>
      <c r="V474" s="3" t="s">
        <v>342</v>
      </c>
      <c r="W474" s="3" t="s">
        <v>112</v>
      </c>
      <c r="X474" s="3" t="s">
        <v>113</v>
      </c>
      <c r="Y474" s="3" t="s">
        <v>114</v>
      </c>
      <c r="Z474" s="3" t="s">
        <v>41</v>
      </c>
      <c r="AA474" s="3" t="s">
        <v>102</v>
      </c>
      <c r="AB474" s="3" t="s">
        <v>43</v>
      </c>
      <c r="AC474" s="3" t="s">
        <v>66</v>
      </c>
      <c r="AD474" s="3">
        <v>0</v>
      </c>
    </row>
    <row r="475" spans="1:30" x14ac:dyDescent="0.3">
      <c r="A475" s="3">
        <v>466</v>
      </c>
      <c r="B475" s="3" t="s">
        <v>341</v>
      </c>
      <c r="C475" s="3" t="s">
        <v>30</v>
      </c>
      <c r="D475" s="3" t="s">
        <v>31</v>
      </c>
      <c r="E475" s="3" t="s">
        <v>32</v>
      </c>
      <c r="F475" s="12">
        <v>45657</v>
      </c>
      <c r="G475" s="3">
        <v>2024</v>
      </c>
      <c r="H475" s="3" t="s">
        <v>44</v>
      </c>
      <c r="I475" s="3" t="s">
        <v>53</v>
      </c>
      <c r="J475" s="3">
        <v>2</v>
      </c>
      <c r="K475" s="3">
        <v>50</v>
      </c>
      <c r="L475" s="3">
        <v>53.8</v>
      </c>
      <c r="M475" s="3">
        <v>1.0760000000000001</v>
      </c>
      <c r="N475" s="3">
        <f t="shared" si="76"/>
        <v>1.0759999999999998</v>
      </c>
      <c r="O475" s="3" t="s">
        <v>35</v>
      </c>
      <c r="P475" s="3" t="s">
        <v>245</v>
      </c>
      <c r="Q475" s="3" t="str">
        <f t="shared" si="71"/>
        <v>466-2024-12-31</v>
      </c>
      <c r="R475" s="3">
        <v>1</v>
      </c>
      <c r="S475" s="3">
        <v>1</v>
      </c>
      <c r="T475" s="3" t="s">
        <v>31</v>
      </c>
      <c r="U475" s="3" t="s">
        <v>37</v>
      </c>
      <c r="V475" s="3" t="s">
        <v>342</v>
      </c>
      <c r="W475" s="3" t="s">
        <v>112</v>
      </c>
      <c r="X475" s="3" t="s">
        <v>113</v>
      </c>
      <c r="Y475" s="3" t="s">
        <v>114</v>
      </c>
      <c r="Z475" s="3" t="s">
        <v>41</v>
      </c>
      <c r="AA475" s="3" t="s">
        <v>102</v>
      </c>
      <c r="AB475" s="3" t="s">
        <v>43</v>
      </c>
      <c r="AC475" s="3" t="s">
        <v>66</v>
      </c>
      <c r="AD475" s="3">
        <v>0</v>
      </c>
    </row>
    <row r="476" spans="1:30" x14ac:dyDescent="0.3">
      <c r="A476" s="3">
        <v>466</v>
      </c>
      <c r="B476" s="3" t="s">
        <v>341</v>
      </c>
      <c r="C476" s="3" t="s">
        <v>342</v>
      </c>
      <c r="D476" s="3" t="s">
        <v>31</v>
      </c>
      <c r="E476" s="3" t="s">
        <v>32</v>
      </c>
      <c r="F476" s="12">
        <v>45657</v>
      </c>
      <c r="G476" s="3">
        <v>2024</v>
      </c>
      <c r="H476" s="3" t="s">
        <v>44</v>
      </c>
      <c r="I476" s="3" t="s">
        <v>53</v>
      </c>
      <c r="J476" s="3"/>
      <c r="K476" s="3">
        <v>50</v>
      </c>
      <c r="L476" s="3">
        <v>53.8</v>
      </c>
      <c r="M476" s="3">
        <v>1.0760000000000001</v>
      </c>
      <c r="N476" s="3">
        <f t="shared" si="76"/>
        <v>1.0759999999999998</v>
      </c>
      <c r="O476" s="3" t="s">
        <v>35</v>
      </c>
      <c r="P476" s="3" t="s">
        <v>245</v>
      </c>
      <c r="Q476" s="3" t="str">
        <f t="shared" si="71"/>
        <v>466-2024-12-31</v>
      </c>
      <c r="R476" s="3">
        <v>0</v>
      </c>
      <c r="S476" s="3">
        <v>0</v>
      </c>
      <c r="T476" s="3" t="s">
        <v>443</v>
      </c>
      <c r="U476" s="3" t="s">
        <v>37</v>
      </c>
      <c r="V476" s="3" t="s">
        <v>342</v>
      </c>
      <c r="W476" s="3" t="s">
        <v>112</v>
      </c>
      <c r="X476" s="3" t="s">
        <v>113</v>
      </c>
      <c r="Y476" s="3" t="s">
        <v>114</v>
      </c>
      <c r="Z476" s="3" t="s">
        <v>41</v>
      </c>
      <c r="AA476" s="3" t="s">
        <v>102</v>
      </c>
      <c r="AB476" s="3" t="s">
        <v>43</v>
      </c>
      <c r="AC476" s="3" t="s">
        <v>66</v>
      </c>
      <c r="AD476" s="3">
        <v>0</v>
      </c>
    </row>
    <row r="477" spans="1:30" x14ac:dyDescent="0.3">
      <c r="A477" s="3">
        <v>466</v>
      </c>
      <c r="B477" s="3" t="s">
        <v>341</v>
      </c>
      <c r="C477" s="3" t="s">
        <v>30</v>
      </c>
      <c r="D477" s="3" t="s">
        <v>31</v>
      </c>
      <c r="E477" s="3" t="s">
        <v>32</v>
      </c>
      <c r="F477" s="12">
        <v>46022</v>
      </c>
      <c r="G477" s="3">
        <v>2025</v>
      </c>
      <c r="H477" s="3" t="s">
        <v>44</v>
      </c>
      <c r="I477" s="3" t="s">
        <v>465</v>
      </c>
      <c r="J477" s="3">
        <v>2</v>
      </c>
      <c r="K477" s="3">
        <v>55</v>
      </c>
      <c r="L477" s="3">
        <v>58.6</v>
      </c>
      <c r="M477" s="3">
        <f t="shared" ref="M477:M482" si="77">+L477/K477</f>
        <v>1.0654545454545454</v>
      </c>
      <c r="N477" s="3">
        <f t="shared" si="76"/>
        <v>1.0654545454545454</v>
      </c>
      <c r="O477" s="3" t="s">
        <v>35</v>
      </c>
      <c r="P477" s="3" t="s">
        <v>245</v>
      </c>
      <c r="Q477" s="3" t="str">
        <f t="shared" si="71"/>
        <v>466-2025-12-31</v>
      </c>
      <c r="R477" s="3">
        <v>1</v>
      </c>
      <c r="S477" s="3">
        <v>1</v>
      </c>
      <c r="T477" s="3" t="s">
        <v>31</v>
      </c>
      <c r="U477" s="3" t="s">
        <v>37</v>
      </c>
      <c r="V477" s="3" t="s">
        <v>342</v>
      </c>
      <c r="W477" s="3" t="s">
        <v>112</v>
      </c>
      <c r="X477" s="3" t="s">
        <v>113</v>
      </c>
      <c r="Y477" s="3" t="s">
        <v>114</v>
      </c>
      <c r="Z477" s="3" t="s">
        <v>41</v>
      </c>
      <c r="AA477" s="3" t="s">
        <v>102</v>
      </c>
      <c r="AB477" s="3" t="s">
        <v>43</v>
      </c>
      <c r="AC477" s="3" t="s">
        <v>66</v>
      </c>
      <c r="AD477" s="3">
        <v>0</v>
      </c>
    </row>
    <row r="478" spans="1:30" x14ac:dyDescent="0.3">
      <c r="A478" s="3">
        <v>203</v>
      </c>
      <c r="B478" s="3" t="s">
        <v>141</v>
      </c>
      <c r="C478" s="3" t="s">
        <v>142</v>
      </c>
      <c r="D478" s="3" t="s">
        <v>31</v>
      </c>
      <c r="E478" s="3" t="s">
        <v>32</v>
      </c>
      <c r="F478" s="12">
        <v>46022</v>
      </c>
      <c r="G478" s="3">
        <f>YEAR(F478)</f>
        <v>2025</v>
      </c>
      <c r="H478" s="3" t="str">
        <f>PROPER(TEXT(F478,"mmmm"))</f>
        <v>Diciembre</v>
      </c>
      <c r="I478" s="3" t="str">
        <f>IF(H478="Junio",G478&amp;"-1",G478&amp;"-2")</f>
        <v>2025-2</v>
      </c>
      <c r="J478" s="3">
        <v>2</v>
      </c>
      <c r="K478" s="3">
        <f>159353929960/1000000</f>
        <v>159353.92996000001</v>
      </c>
      <c r="L478" s="3">
        <v>165190.90430007299</v>
      </c>
      <c r="M478" s="3">
        <f t="shared" si="77"/>
        <v>1.0366289952280319</v>
      </c>
      <c r="N478" s="3">
        <f t="shared" si="76"/>
        <v>1.0366289952280319</v>
      </c>
      <c r="O478" s="3" t="s">
        <v>143</v>
      </c>
      <c r="P478" s="3" t="s">
        <v>143</v>
      </c>
      <c r="Q478" s="3" t="str">
        <f t="shared" si="71"/>
        <v>203-2025-12-31</v>
      </c>
      <c r="R478" s="3">
        <v>0</v>
      </c>
      <c r="S478" s="3">
        <v>0</v>
      </c>
      <c r="T478" s="3" t="s">
        <v>31</v>
      </c>
      <c r="U478" s="3" t="s">
        <v>37</v>
      </c>
      <c r="V478" s="3" t="s">
        <v>142</v>
      </c>
      <c r="W478" s="3" t="s">
        <v>145</v>
      </c>
      <c r="X478" s="3" t="s">
        <v>146</v>
      </c>
      <c r="Y478" s="3" t="s">
        <v>147</v>
      </c>
      <c r="Z478" s="3" t="s">
        <v>63</v>
      </c>
      <c r="AA478" s="3" t="s">
        <v>148</v>
      </c>
      <c r="AB478" s="3" t="s">
        <v>78</v>
      </c>
      <c r="AC478" s="3" t="s">
        <v>66</v>
      </c>
      <c r="AD478" s="3">
        <v>0</v>
      </c>
    </row>
    <row r="479" spans="1:30" x14ac:dyDescent="0.3">
      <c r="A479" s="3">
        <v>203</v>
      </c>
      <c r="B479" s="3" t="s">
        <v>141</v>
      </c>
      <c r="C479" s="3" t="s">
        <v>142</v>
      </c>
      <c r="D479" s="3" t="s">
        <v>31</v>
      </c>
      <c r="E479" s="3" t="s">
        <v>32</v>
      </c>
      <c r="F479" s="12">
        <v>46022</v>
      </c>
      <c r="G479" s="3">
        <f>YEAR(F479)</f>
        <v>2025</v>
      </c>
      <c r="H479" s="3" t="str">
        <f>PROPER(TEXT(F479,"mmmm"))</f>
        <v>Diciembre</v>
      </c>
      <c r="I479" s="3" t="str">
        <f>IF(H479="Junio",G479&amp;"-1",G479&amp;"-2")</f>
        <v>2025-2</v>
      </c>
      <c r="J479" s="3"/>
      <c r="K479" s="3">
        <f>309304697290/1000000</f>
        <v>309304.69728999998</v>
      </c>
      <c r="L479" s="3">
        <f>332786049596.973/1000000</f>
        <v>332786.049596973</v>
      </c>
      <c r="M479" s="3">
        <f t="shared" si="77"/>
        <v>1.0759165719522106</v>
      </c>
      <c r="N479" s="3">
        <f t="shared" si="76"/>
        <v>1.0759165719522106</v>
      </c>
      <c r="O479" s="3" t="s">
        <v>143</v>
      </c>
      <c r="P479" s="3" t="s">
        <v>143</v>
      </c>
      <c r="Q479" s="3" t="str">
        <f t="shared" si="71"/>
        <v>203-2025-12-31</v>
      </c>
      <c r="R479" s="3">
        <v>0</v>
      </c>
      <c r="S479" s="3">
        <v>0</v>
      </c>
      <c r="T479" s="3" t="s">
        <v>443</v>
      </c>
      <c r="U479" s="3" t="s">
        <v>37</v>
      </c>
      <c r="V479" s="3" t="s">
        <v>142</v>
      </c>
      <c r="W479" s="3" t="s">
        <v>145</v>
      </c>
      <c r="X479" s="3" t="s">
        <v>146</v>
      </c>
      <c r="Y479" s="3" t="s">
        <v>147</v>
      </c>
      <c r="Z479" s="3" t="s">
        <v>63</v>
      </c>
      <c r="AA479" s="3" t="s">
        <v>148</v>
      </c>
      <c r="AB479" s="3" t="s">
        <v>78</v>
      </c>
      <c r="AC479" s="3" t="s">
        <v>66</v>
      </c>
      <c r="AD479" s="3">
        <v>0</v>
      </c>
    </row>
    <row r="480" spans="1:30" x14ac:dyDescent="0.3">
      <c r="A480" s="3">
        <v>148</v>
      </c>
      <c r="B480" s="3" t="s">
        <v>104</v>
      </c>
      <c r="C480" s="3" t="s">
        <v>105</v>
      </c>
      <c r="D480" s="3" t="s">
        <v>31</v>
      </c>
      <c r="E480" s="3" t="s">
        <v>32</v>
      </c>
      <c r="F480" s="12">
        <v>46022</v>
      </c>
      <c r="G480" s="3">
        <v>2025</v>
      </c>
      <c r="H480" s="3" t="s">
        <v>44</v>
      </c>
      <c r="I480" s="3" t="s">
        <v>465</v>
      </c>
      <c r="J480" s="3">
        <v>2</v>
      </c>
      <c r="K480" s="3">
        <v>5</v>
      </c>
      <c r="L480" s="3">
        <v>6.78</v>
      </c>
      <c r="M480" s="3">
        <f>IF(+L480/K480&gt;1.3,1.3,L480/K480)</f>
        <v>1.3</v>
      </c>
      <c r="N480" s="3">
        <f>+L480/K480</f>
        <v>1.3560000000000001</v>
      </c>
      <c r="O480" s="3" t="s">
        <v>58</v>
      </c>
      <c r="P480" s="3" t="s">
        <v>58</v>
      </c>
      <c r="Q480" s="3" t="str">
        <f t="shared" si="71"/>
        <v>148-2025-12-31</v>
      </c>
      <c r="R480" s="3">
        <v>0</v>
      </c>
      <c r="S480" s="3">
        <v>1</v>
      </c>
      <c r="T480" s="3" t="s">
        <v>443</v>
      </c>
      <c r="U480" s="3" t="s">
        <v>37</v>
      </c>
      <c r="V480" s="3" t="s">
        <v>105</v>
      </c>
      <c r="W480" s="3" t="s">
        <v>73</v>
      </c>
      <c r="X480" s="3" t="s">
        <v>74</v>
      </c>
      <c r="Y480" s="3" t="s">
        <v>585</v>
      </c>
      <c r="Z480" s="3" t="s">
        <v>76</v>
      </c>
      <c r="AA480" s="3" t="s">
        <v>77</v>
      </c>
      <c r="AB480" s="3" t="s">
        <v>43</v>
      </c>
      <c r="AC480" s="3" t="s">
        <v>31</v>
      </c>
      <c r="AD480" s="3">
        <v>0</v>
      </c>
    </row>
    <row r="481" spans="1:30" x14ac:dyDescent="0.3">
      <c r="A481" s="3">
        <v>466</v>
      </c>
      <c r="B481" s="3" t="s">
        <v>341</v>
      </c>
      <c r="C481" s="3" t="s">
        <v>30</v>
      </c>
      <c r="D481" s="3" t="s">
        <v>31</v>
      </c>
      <c r="E481" s="3" t="s">
        <v>32</v>
      </c>
      <c r="F481" s="12">
        <v>46022</v>
      </c>
      <c r="G481" s="3">
        <v>2025</v>
      </c>
      <c r="H481" s="3" t="s">
        <v>44</v>
      </c>
      <c r="I481" s="3" t="s">
        <v>465</v>
      </c>
      <c r="J481" s="3"/>
      <c r="K481" s="3">
        <v>55</v>
      </c>
      <c r="L481" s="3">
        <v>58.6</v>
      </c>
      <c r="M481" s="3">
        <f t="shared" si="77"/>
        <v>1.0654545454545454</v>
      </c>
      <c r="N481" s="3">
        <f>+L481/K481</f>
        <v>1.0654545454545454</v>
      </c>
      <c r="O481" s="3" t="s">
        <v>35</v>
      </c>
      <c r="P481" s="3" t="s">
        <v>245</v>
      </c>
      <c r="Q481" s="3" t="str">
        <f t="shared" si="71"/>
        <v>466-2025-12-31</v>
      </c>
      <c r="R481" s="3">
        <v>1</v>
      </c>
      <c r="S481" s="3">
        <v>1</v>
      </c>
      <c r="T481" s="3" t="s">
        <v>443</v>
      </c>
      <c r="U481" s="3" t="s">
        <v>37</v>
      </c>
      <c r="V481" s="3" t="s">
        <v>342</v>
      </c>
      <c r="W481" s="3" t="s">
        <v>112</v>
      </c>
      <c r="X481" s="3" t="s">
        <v>113</v>
      </c>
      <c r="Y481" s="3" t="s">
        <v>114</v>
      </c>
      <c r="Z481" s="3" t="s">
        <v>41</v>
      </c>
      <c r="AA481" s="3" t="s">
        <v>102</v>
      </c>
      <c r="AB481" s="3" t="s">
        <v>43</v>
      </c>
      <c r="AC481" s="3" t="s">
        <v>66</v>
      </c>
      <c r="AD481" s="3">
        <v>0</v>
      </c>
    </row>
    <row r="482" spans="1:30" x14ac:dyDescent="0.3">
      <c r="A482" s="3">
        <v>109</v>
      </c>
      <c r="B482" s="3" t="s">
        <v>96</v>
      </c>
      <c r="C482" s="3" t="s">
        <v>99</v>
      </c>
      <c r="D482" s="3" t="s">
        <v>66</v>
      </c>
      <c r="E482" s="3" t="s">
        <v>32</v>
      </c>
      <c r="F482" s="12">
        <v>46022</v>
      </c>
      <c r="G482" s="3">
        <v>2024</v>
      </c>
      <c r="H482" s="3" t="s">
        <v>44</v>
      </c>
      <c r="I482" s="3" t="s">
        <v>465</v>
      </c>
      <c r="J482" s="3">
        <v>2</v>
      </c>
      <c r="K482" s="3">
        <v>80</v>
      </c>
      <c r="L482" s="3">
        <v>94</v>
      </c>
      <c r="M482" s="3">
        <f t="shared" si="77"/>
        <v>1.175</v>
      </c>
      <c r="N482" s="3">
        <v>1.0625</v>
      </c>
      <c r="O482" s="3" t="s">
        <v>58</v>
      </c>
      <c r="P482" s="3" t="s">
        <v>58</v>
      </c>
      <c r="Q482" s="3" t="str">
        <f t="shared" si="71"/>
        <v>109-2025-12-31</v>
      </c>
      <c r="R482" s="3">
        <v>0</v>
      </c>
      <c r="S482" s="3">
        <v>0</v>
      </c>
      <c r="T482" s="3" t="s">
        <v>31</v>
      </c>
      <c r="U482" s="3" t="s">
        <v>37</v>
      </c>
      <c r="V482" s="3" t="s">
        <v>99</v>
      </c>
      <c r="W482" s="3" t="s">
        <v>60</v>
      </c>
      <c r="X482" s="3" t="s">
        <v>100</v>
      </c>
      <c r="Y482" s="3" t="s">
        <v>584</v>
      </c>
      <c r="Z482" s="3" t="s">
        <v>101</v>
      </c>
      <c r="AA482" s="3" t="s">
        <v>102</v>
      </c>
      <c r="AB482" s="3" t="s">
        <v>65</v>
      </c>
      <c r="AC482" s="3" t="s">
        <v>66</v>
      </c>
      <c r="AD482" s="3">
        <v>0</v>
      </c>
    </row>
    <row r="483" spans="1:30" x14ac:dyDescent="0.3">
      <c r="A483" s="3" t="s">
        <v>591</v>
      </c>
      <c r="B483" s="3" t="s">
        <v>377</v>
      </c>
      <c r="C483" s="3" t="s">
        <v>310</v>
      </c>
      <c r="D483" s="3" t="s">
        <v>31</v>
      </c>
      <c r="E483" s="3" t="s">
        <v>32</v>
      </c>
      <c r="F483" s="12">
        <v>46022</v>
      </c>
      <c r="G483" s="3">
        <v>2025</v>
      </c>
      <c r="H483" s="3" t="s">
        <v>44</v>
      </c>
      <c r="I483" s="3" t="s">
        <v>465</v>
      </c>
      <c r="J483" s="3"/>
      <c r="K483" s="3">
        <f>4042632396/1000000</f>
        <v>4042.632396</v>
      </c>
      <c r="L483" s="3">
        <f>3067372669/1000000</f>
        <v>3067.3726689999999</v>
      </c>
      <c r="M483" s="3">
        <f>IF(+L483/K483&gt;1.3,1.3,L483/K483)</f>
        <v>0.75875626783059102</v>
      </c>
      <c r="N483" s="3">
        <f>+L483/K483</f>
        <v>0.75875626783059102</v>
      </c>
      <c r="O483" s="3" t="s">
        <v>143</v>
      </c>
      <c r="P483" s="3" t="s">
        <v>143</v>
      </c>
      <c r="Q483" s="3" t="str">
        <f t="shared" si="71"/>
        <v>386.1-2025-12-31</v>
      </c>
      <c r="R483" s="3">
        <v>0</v>
      </c>
      <c r="S483" s="3">
        <v>0</v>
      </c>
      <c r="T483" s="3" t="s">
        <v>443</v>
      </c>
      <c r="U483" s="3" t="s">
        <v>37</v>
      </c>
      <c r="V483" s="3" t="s">
        <v>310</v>
      </c>
      <c r="W483" s="3" t="s">
        <v>312</v>
      </c>
      <c r="X483" s="3" t="s">
        <v>313</v>
      </c>
      <c r="Y483" s="3" t="s">
        <v>314</v>
      </c>
      <c r="Z483" s="3"/>
      <c r="AA483" s="3"/>
      <c r="AB483" s="3" t="s">
        <v>78</v>
      </c>
      <c r="AC483" s="3" t="s">
        <v>66</v>
      </c>
      <c r="AD483" s="3">
        <v>0</v>
      </c>
    </row>
    <row r="484" spans="1:30" x14ac:dyDescent="0.3">
      <c r="A484" s="3">
        <v>385</v>
      </c>
      <c r="B484" s="3" t="s">
        <v>309</v>
      </c>
      <c r="C484" s="3" t="s">
        <v>310</v>
      </c>
      <c r="D484" s="3" t="s">
        <v>31</v>
      </c>
      <c r="E484" s="3" t="s">
        <v>32</v>
      </c>
      <c r="F484" s="12">
        <v>46022</v>
      </c>
      <c r="G484" s="3">
        <v>2025</v>
      </c>
      <c r="H484" s="3" t="s">
        <v>44</v>
      </c>
      <c r="I484" s="3" t="s">
        <v>465</v>
      </c>
      <c r="J484" s="3"/>
      <c r="K484" s="3">
        <f>17058242411/1000000</f>
        <v>17058.242410999999</v>
      </c>
      <c r="L484" s="3">
        <f>17356249390/1000000</f>
        <v>17356.249390000001</v>
      </c>
      <c r="M484" s="3">
        <f>L484/K484</f>
        <v>1.0174699697553735</v>
      </c>
      <c r="N484" s="3">
        <f>L484/K484</f>
        <v>1.0174699697553735</v>
      </c>
      <c r="O484" s="3" t="s">
        <v>143</v>
      </c>
      <c r="P484" s="3" t="s">
        <v>143</v>
      </c>
      <c r="Q484" s="3" t="str">
        <f t="shared" si="71"/>
        <v>385-2025-12-31</v>
      </c>
      <c r="R484" s="3">
        <v>0</v>
      </c>
      <c r="S484" s="3">
        <v>0</v>
      </c>
      <c r="T484" s="3" t="s">
        <v>443</v>
      </c>
      <c r="U484" s="3" t="s">
        <v>37</v>
      </c>
      <c r="V484" s="3" t="s">
        <v>310</v>
      </c>
      <c r="W484" s="3" t="s">
        <v>312</v>
      </c>
      <c r="X484" s="3" t="s">
        <v>313</v>
      </c>
      <c r="Y484" s="3" t="s">
        <v>314</v>
      </c>
      <c r="Z484" s="3"/>
      <c r="AA484" s="3"/>
      <c r="AB484" s="3" t="s">
        <v>43</v>
      </c>
      <c r="AC484" s="3" t="s">
        <v>66</v>
      </c>
      <c r="AD484" s="3">
        <v>0</v>
      </c>
    </row>
    <row r="485" spans="1:30" x14ac:dyDescent="0.3">
      <c r="A485" s="3">
        <v>423</v>
      </c>
      <c r="B485" s="3" t="s">
        <v>320</v>
      </c>
      <c r="C485" s="3" t="s">
        <v>83</v>
      </c>
      <c r="D485" s="3" t="s">
        <v>66</v>
      </c>
      <c r="E485" s="3" t="s">
        <v>32</v>
      </c>
      <c r="F485" s="12">
        <v>46022</v>
      </c>
      <c r="G485" s="3">
        <v>2025</v>
      </c>
      <c r="H485" s="3" t="s">
        <v>44</v>
      </c>
      <c r="I485" s="3" t="s">
        <v>465</v>
      </c>
      <c r="J485" s="3"/>
      <c r="K485" s="3">
        <v>12</v>
      </c>
      <c r="L485" s="3">
        <v>15.1</v>
      </c>
      <c r="M485" s="3">
        <f>+L485/K485</f>
        <v>1.2583333333333333</v>
      </c>
      <c r="N485" s="3">
        <f>+L485/K485</f>
        <v>1.2583333333333333</v>
      </c>
      <c r="O485" s="3" t="s">
        <v>245</v>
      </c>
      <c r="P485" s="3" t="s">
        <v>245</v>
      </c>
      <c r="Q485" s="3" t="str">
        <f t="shared" si="71"/>
        <v>423-2025-12-31</v>
      </c>
      <c r="R485" s="3">
        <v>1</v>
      </c>
      <c r="S485" s="3">
        <v>1</v>
      </c>
      <c r="T485" s="3" t="s">
        <v>443</v>
      </c>
      <c r="U485" s="3" t="s">
        <v>37</v>
      </c>
      <c r="V485" s="3" t="s">
        <v>83</v>
      </c>
      <c r="W485" s="3" t="s">
        <v>38</v>
      </c>
      <c r="X485" s="3" t="s">
        <v>39</v>
      </c>
      <c r="Y485" s="3" t="s">
        <v>322</v>
      </c>
      <c r="Z485" s="3" t="s">
        <v>274</v>
      </c>
      <c r="AA485" s="3" t="s">
        <v>275</v>
      </c>
      <c r="AB485" s="3" t="s">
        <v>43</v>
      </c>
      <c r="AC485" s="3" t="s">
        <v>66</v>
      </c>
      <c r="AD485" s="3">
        <v>0</v>
      </c>
    </row>
    <row r="486" spans="1:30" x14ac:dyDescent="0.3">
      <c r="A486" s="3">
        <v>424</v>
      </c>
      <c r="B486" s="3" t="s">
        <v>325</v>
      </c>
      <c r="C486" s="3" t="s">
        <v>83</v>
      </c>
      <c r="D486" s="3" t="s">
        <v>66</v>
      </c>
      <c r="E486" s="3" t="s">
        <v>32</v>
      </c>
      <c r="F486" s="12">
        <v>46022</v>
      </c>
      <c r="G486" s="3">
        <v>2025</v>
      </c>
      <c r="H486" s="3" t="s">
        <v>44</v>
      </c>
      <c r="I486" s="3" t="s">
        <v>465</v>
      </c>
      <c r="J486" s="3"/>
      <c r="K486" s="3">
        <v>9</v>
      </c>
      <c r="L486" s="3">
        <v>11</v>
      </c>
      <c r="M486" s="3">
        <f>+L486/K486</f>
        <v>1.2222222222222223</v>
      </c>
      <c r="N486" s="3">
        <f>+L486/K486</f>
        <v>1.2222222222222223</v>
      </c>
      <c r="O486" s="3" t="s">
        <v>35</v>
      </c>
      <c r="P486" s="3" t="s">
        <v>35</v>
      </c>
      <c r="Q486" s="3" t="str">
        <f t="shared" si="71"/>
        <v>424-2025-12-31</v>
      </c>
      <c r="R486" s="3">
        <v>0</v>
      </c>
      <c r="S486" s="3">
        <v>0</v>
      </c>
      <c r="T486" s="3" t="s">
        <v>443</v>
      </c>
      <c r="U486" s="3" t="s">
        <v>37</v>
      </c>
      <c r="V486" s="3" t="s">
        <v>83</v>
      </c>
      <c r="W486" s="3" t="s">
        <v>38</v>
      </c>
      <c r="X486" s="3" t="s">
        <v>39</v>
      </c>
      <c r="Y486" s="3" t="s">
        <v>322</v>
      </c>
      <c r="Z486" s="3" t="s">
        <v>274</v>
      </c>
      <c r="AA486" s="3" t="s">
        <v>275</v>
      </c>
      <c r="AB486" s="3" t="s">
        <v>43</v>
      </c>
      <c r="AC486" s="3" t="s">
        <v>66</v>
      </c>
      <c r="AD486" s="3">
        <v>0</v>
      </c>
    </row>
    <row r="487" spans="1:30" x14ac:dyDescent="0.3">
      <c r="A487" s="3">
        <v>377</v>
      </c>
      <c r="B487" s="3" t="s">
        <v>296</v>
      </c>
      <c r="C487" s="3" t="s">
        <v>142</v>
      </c>
      <c r="D487" s="3" t="s">
        <v>31</v>
      </c>
      <c r="E487" s="3" t="s">
        <v>32</v>
      </c>
      <c r="F487" s="12">
        <v>46022</v>
      </c>
      <c r="G487" s="3">
        <v>2025</v>
      </c>
      <c r="H487" s="3" t="s">
        <v>44</v>
      </c>
      <c r="I487" s="3" t="s">
        <v>465</v>
      </c>
      <c r="J487" s="3"/>
      <c r="K487" s="3"/>
      <c r="L487" s="3">
        <v>10285.243493</v>
      </c>
      <c r="M487" s="3"/>
      <c r="N487" s="3"/>
      <c r="O487" s="3" t="s">
        <v>143</v>
      </c>
      <c r="P487" s="3" t="s">
        <v>143</v>
      </c>
      <c r="Q487" s="3" t="str">
        <f t="shared" si="71"/>
        <v>377-2025-12-31</v>
      </c>
      <c r="R487" s="3">
        <v>0</v>
      </c>
      <c r="S487" s="3">
        <v>0</v>
      </c>
      <c r="T487" s="3" t="s">
        <v>443</v>
      </c>
      <c r="U487" s="3" t="s">
        <v>37</v>
      </c>
      <c r="V487" s="3" t="s">
        <v>142</v>
      </c>
      <c r="W487" s="3" t="s">
        <v>145</v>
      </c>
      <c r="X487" s="3" t="s">
        <v>146</v>
      </c>
      <c r="Y487" s="3" t="s">
        <v>147</v>
      </c>
      <c r="Z487" s="3" t="s">
        <v>63</v>
      </c>
      <c r="AA487" s="3" t="s">
        <v>148</v>
      </c>
      <c r="AB487" s="3" t="s">
        <v>78</v>
      </c>
      <c r="AC487" s="3" t="s">
        <v>66</v>
      </c>
      <c r="AD487" s="3">
        <v>0</v>
      </c>
    </row>
    <row r="488" spans="1:30" x14ac:dyDescent="0.3">
      <c r="A488" s="3">
        <v>367</v>
      </c>
      <c r="B488" s="3" t="s">
        <v>481</v>
      </c>
      <c r="C488" s="3" t="s">
        <v>267</v>
      </c>
      <c r="D488" s="3" t="s">
        <v>66</v>
      </c>
      <c r="E488" s="3" t="s">
        <v>32</v>
      </c>
      <c r="F488" s="12">
        <v>46022</v>
      </c>
      <c r="G488" s="3">
        <v>2025</v>
      </c>
      <c r="H488" s="3" t="s">
        <v>44</v>
      </c>
      <c r="I488" s="3" t="s">
        <v>465</v>
      </c>
      <c r="J488" s="3"/>
      <c r="K488" s="3">
        <v>5</v>
      </c>
      <c r="L488" s="3">
        <v>3.82</v>
      </c>
      <c r="M488" s="3">
        <f>+L488/K488</f>
        <v>0.76400000000000001</v>
      </c>
      <c r="N488" s="3">
        <f>+L488/K488</f>
        <v>0.76400000000000001</v>
      </c>
      <c r="O488" s="3" t="s">
        <v>58</v>
      </c>
      <c r="P488" s="3" t="s">
        <v>58</v>
      </c>
      <c r="Q488" s="3" t="str">
        <f t="shared" si="71"/>
        <v>367-2025-12-31</v>
      </c>
      <c r="R488" s="3">
        <v>1</v>
      </c>
      <c r="S488" s="3">
        <v>2</v>
      </c>
      <c r="T488" s="3" t="s">
        <v>443</v>
      </c>
      <c r="U488" s="3" t="s">
        <v>37</v>
      </c>
      <c r="V488" s="3" t="s">
        <v>267</v>
      </c>
      <c r="W488" s="3" t="s">
        <v>145</v>
      </c>
      <c r="X488" s="3" t="s">
        <v>179</v>
      </c>
      <c r="Y488" s="3" t="s">
        <v>281</v>
      </c>
      <c r="Z488" s="3" t="s">
        <v>41</v>
      </c>
      <c r="AA488" s="3" t="s">
        <v>42</v>
      </c>
      <c r="AB488" s="3" t="s">
        <v>43</v>
      </c>
      <c r="AC488" s="3" t="s">
        <v>66</v>
      </c>
      <c r="AD488" s="3">
        <v>0</v>
      </c>
    </row>
    <row r="489" spans="1:30" x14ac:dyDescent="0.3">
      <c r="A489" s="3">
        <v>244</v>
      </c>
      <c r="B489" s="3" t="s">
        <v>182</v>
      </c>
      <c r="C489" s="3" t="s">
        <v>177</v>
      </c>
      <c r="D489" s="3" t="s">
        <v>66</v>
      </c>
      <c r="E489" s="3" t="s">
        <v>171</v>
      </c>
      <c r="F489" s="12">
        <v>46022</v>
      </c>
      <c r="G489" s="3">
        <v>2025</v>
      </c>
      <c r="H489" s="3" t="s">
        <v>44</v>
      </c>
      <c r="I489" s="3" t="s">
        <v>465</v>
      </c>
      <c r="J489" s="3"/>
      <c r="K489" s="3">
        <v>25</v>
      </c>
      <c r="L489" s="3">
        <v>13</v>
      </c>
      <c r="M489" s="3">
        <f>IF(K489/L489&gt;1.3,1.3,K489/L489)</f>
        <v>1.3</v>
      </c>
      <c r="N489" s="3">
        <f>+K489/L489</f>
        <v>1.9230769230769231</v>
      </c>
      <c r="O489" s="3" t="s">
        <v>35</v>
      </c>
      <c r="P489" s="3" t="s">
        <v>35</v>
      </c>
      <c r="Q489" s="3" t="str">
        <f t="shared" si="71"/>
        <v>244-2025-12-31</v>
      </c>
      <c r="R489" s="3">
        <v>0</v>
      </c>
      <c r="S489" s="3">
        <v>0</v>
      </c>
      <c r="T489" s="3" t="s">
        <v>443</v>
      </c>
      <c r="U489" s="3" t="s">
        <v>37</v>
      </c>
      <c r="V489" s="3" t="s">
        <v>177</v>
      </c>
      <c r="W489" s="3" t="s">
        <v>145</v>
      </c>
      <c r="X489" s="3" t="s">
        <v>179</v>
      </c>
      <c r="Y489" s="3" t="s">
        <v>180</v>
      </c>
      <c r="Z489" s="3" t="s">
        <v>63</v>
      </c>
      <c r="AA489" s="3" t="s">
        <v>64</v>
      </c>
      <c r="AB489" s="3" t="s">
        <v>43</v>
      </c>
      <c r="AC489" s="3" t="s">
        <v>66</v>
      </c>
      <c r="AD489" s="3">
        <v>0</v>
      </c>
    </row>
    <row r="490" spans="1:30" x14ac:dyDescent="0.3">
      <c r="A490" s="3">
        <v>334</v>
      </c>
      <c r="B490" s="3" t="s">
        <v>248</v>
      </c>
      <c r="C490" s="3" t="s">
        <v>130</v>
      </c>
      <c r="D490" s="3" t="s">
        <v>66</v>
      </c>
      <c r="E490" s="3" t="s">
        <v>32</v>
      </c>
      <c r="F490" s="12">
        <v>46022</v>
      </c>
      <c r="G490" s="3">
        <v>2025</v>
      </c>
      <c r="H490" s="3" t="s">
        <v>44</v>
      </c>
      <c r="I490" s="3" t="s">
        <v>465</v>
      </c>
      <c r="J490" s="3"/>
      <c r="K490" s="3">
        <v>89</v>
      </c>
      <c r="L490" s="3">
        <v>89</v>
      </c>
      <c r="M490" s="3">
        <v>1</v>
      </c>
      <c r="N490" s="3">
        <v>1</v>
      </c>
      <c r="O490" s="3" t="s">
        <v>35</v>
      </c>
      <c r="P490" s="3" t="s">
        <v>245</v>
      </c>
      <c r="Q490" s="3" t="str">
        <f t="shared" si="71"/>
        <v>334-2025-12-31</v>
      </c>
      <c r="R490" s="3">
        <v>0</v>
      </c>
      <c r="S490" s="3">
        <v>1</v>
      </c>
      <c r="T490" s="3" t="s">
        <v>443</v>
      </c>
      <c r="U490" s="3" t="s">
        <v>37</v>
      </c>
      <c r="V490" s="3" t="s">
        <v>130</v>
      </c>
      <c r="W490" s="3" t="s">
        <v>60</v>
      </c>
      <c r="X490" s="3" t="s">
        <v>100</v>
      </c>
      <c r="Y490" s="3" t="s">
        <v>586</v>
      </c>
      <c r="Z490" s="3" t="s">
        <v>134</v>
      </c>
      <c r="AA490" s="3" t="s">
        <v>250</v>
      </c>
      <c r="AB490" s="3" t="s">
        <v>43</v>
      </c>
      <c r="AC490" s="3" t="s">
        <v>66</v>
      </c>
      <c r="AD490" s="3">
        <v>0</v>
      </c>
    </row>
    <row r="491" spans="1:30" x14ac:dyDescent="0.3">
      <c r="A491" s="3">
        <v>77</v>
      </c>
      <c r="B491" s="3" t="s">
        <v>55</v>
      </c>
      <c r="C491" s="3" t="s">
        <v>56</v>
      </c>
      <c r="D491" s="3" t="s">
        <v>57</v>
      </c>
      <c r="E491" s="3" t="s">
        <v>32</v>
      </c>
      <c r="F491" s="12">
        <v>46022</v>
      </c>
      <c r="G491" s="3">
        <v>2025</v>
      </c>
      <c r="H491" s="3" t="s">
        <v>44</v>
      </c>
      <c r="I491" s="3" t="s">
        <v>465</v>
      </c>
      <c r="J491" s="3"/>
      <c r="K491" s="3">
        <v>97</v>
      </c>
      <c r="L491" s="3">
        <v>95.74545454545455</v>
      </c>
      <c r="M491" s="3">
        <f>+L491/K491</f>
        <v>0.98706654170571706</v>
      </c>
      <c r="N491" s="3">
        <f>+L491/K491</f>
        <v>0.98706654170571706</v>
      </c>
      <c r="O491" s="3" t="s">
        <v>58</v>
      </c>
      <c r="P491" s="3" t="s">
        <v>58</v>
      </c>
      <c r="Q491" s="3" t="str">
        <f t="shared" si="71"/>
        <v>77-2025-12-31</v>
      </c>
      <c r="R491" s="3">
        <v>0</v>
      </c>
      <c r="S491" s="3">
        <v>1</v>
      </c>
      <c r="T491" s="3" t="s">
        <v>443</v>
      </c>
      <c r="U491" s="3" t="s">
        <v>37</v>
      </c>
      <c r="V491" s="3" t="s">
        <v>56</v>
      </c>
      <c r="W491" s="3" t="s">
        <v>60</v>
      </c>
      <c r="X491" s="3" t="s">
        <v>61</v>
      </c>
      <c r="Y491" s="3" t="s">
        <v>62</v>
      </c>
      <c r="Z491" s="3" t="s">
        <v>63</v>
      </c>
      <c r="AA491" s="3" t="s">
        <v>64</v>
      </c>
      <c r="AB491" s="3" t="s">
        <v>65</v>
      </c>
      <c r="AC491" s="3" t="s">
        <v>66</v>
      </c>
      <c r="AD491" s="3">
        <v>0</v>
      </c>
    </row>
    <row r="492" spans="1:30" x14ac:dyDescent="0.3">
      <c r="A492" s="3">
        <v>96</v>
      </c>
      <c r="B492" s="3" t="s">
        <v>70</v>
      </c>
      <c r="C492" s="3" t="s">
        <v>71</v>
      </c>
      <c r="D492" s="3" t="s">
        <v>66</v>
      </c>
      <c r="E492" s="3" t="s">
        <v>32</v>
      </c>
      <c r="F492" s="12">
        <v>46022</v>
      </c>
      <c r="G492" s="3">
        <v>2025</v>
      </c>
      <c r="H492" s="3" t="s">
        <v>44</v>
      </c>
      <c r="I492" s="3" t="s">
        <v>465</v>
      </c>
      <c r="J492" s="3">
        <v>2</v>
      </c>
      <c r="K492" s="3">
        <v>739</v>
      </c>
      <c r="L492" s="3">
        <v>373</v>
      </c>
      <c r="M492" s="3">
        <f>+L492/K492</f>
        <v>0.50473612990527739</v>
      </c>
      <c r="N492" s="3">
        <f>+L492/K492</f>
        <v>0.50473612990527739</v>
      </c>
      <c r="O492" s="3" t="s">
        <v>35</v>
      </c>
      <c r="P492" s="3" t="s">
        <v>35</v>
      </c>
      <c r="Q492" s="3" t="str">
        <f t="shared" si="71"/>
        <v>96-2025-12-31</v>
      </c>
      <c r="R492" s="3">
        <v>0</v>
      </c>
      <c r="S492" s="3">
        <v>0</v>
      </c>
      <c r="T492" s="3" t="s">
        <v>31</v>
      </c>
      <c r="U492" s="3" t="s">
        <v>37</v>
      </c>
      <c r="V492" s="3" t="s">
        <v>71</v>
      </c>
      <c r="W492" s="3" t="s">
        <v>73</v>
      </c>
      <c r="X492" s="3" t="s">
        <v>74</v>
      </c>
      <c r="Y492" s="3" t="s">
        <v>585</v>
      </c>
      <c r="Z492" s="3" t="s">
        <v>76</v>
      </c>
      <c r="AA492" s="3" t="s">
        <v>77</v>
      </c>
      <c r="AB492" s="3" t="s">
        <v>78</v>
      </c>
      <c r="AC492" s="3" t="s">
        <v>66</v>
      </c>
      <c r="AD492" s="3">
        <v>0</v>
      </c>
    </row>
    <row r="493" spans="1:30" x14ac:dyDescent="0.3">
      <c r="A493" s="3">
        <v>96</v>
      </c>
      <c r="B493" s="3" t="s">
        <v>70</v>
      </c>
      <c r="C493" s="3" t="s">
        <v>71</v>
      </c>
      <c r="D493" s="3" t="s">
        <v>66</v>
      </c>
      <c r="E493" s="3" t="s">
        <v>32</v>
      </c>
      <c r="F493" s="12">
        <v>46022</v>
      </c>
      <c r="G493" s="3">
        <v>2025</v>
      </c>
      <c r="H493" s="3" t="s">
        <v>44</v>
      </c>
      <c r="I493" s="3" t="s">
        <v>465</v>
      </c>
      <c r="J493" s="3"/>
      <c r="K493" s="3">
        <v>739</v>
      </c>
      <c r="L493" s="3">
        <v>373</v>
      </c>
      <c r="M493" s="3">
        <f>+L493/K493</f>
        <v>0.50473612990527739</v>
      </c>
      <c r="N493" s="3">
        <f>+L493/K493</f>
        <v>0.50473612990527739</v>
      </c>
      <c r="O493" s="3" t="s">
        <v>35</v>
      </c>
      <c r="P493" s="3" t="s">
        <v>35</v>
      </c>
      <c r="Q493" s="3" t="str">
        <f t="shared" si="71"/>
        <v>96-2025-12-31</v>
      </c>
      <c r="R493" s="3">
        <v>0</v>
      </c>
      <c r="S493" s="3">
        <v>0</v>
      </c>
      <c r="T493" s="3" t="s">
        <v>443</v>
      </c>
      <c r="U493" s="3" t="s">
        <v>37</v>
      </c>
      <c r="V493" s="3" t="s">
        <v>71</v>
      </c>
      <c r="W493" s="3" t="s">
        <v>73</v>
      </c>
      <c r="X493" s="3" t="s">
        <v>74</v>
      </c>
      <c r="Y493" s="3" t="s">
        <v>585</v>
      </c>
      <c r="Z493" s="3" t="s">
        <v>76</v>
      </c>
      <c r="AA493" s="3" t="s">
        <v>77</v>
      </c>
      <c r="AB493" s="3" t="s">
        <v>78</v>
      </c>
      <c r="AC493" s="3" t="s">
        <v>66</v>
      </c>
      <c r="AD493" s="3">
        <v>0</v>
      </c>
    </row>
    <row r="494" spans="1:30" x14ac:dyDescent="0.3">
      <c r="A494" s="3">
        <v>193</v>
      </c>
      <c r="B494" s="13" t="s">
        <v>478</v>
      </c>
      <c r="C494" s="3" t="s">
        <v>30</v>
      </c>
      <c r="D494" s="3" t="s">
        <v>31</v>
      </c>
      <c r="E494" s="3" t="s">
        <v>32</v>
      </c>
      <c r="F494" s="12">
        <v>46022</v>
      </c>
      <c r="G494" s="3">
        <v>2025</v>
      </c>
      <c r="H494" s="3" t="s">
        <v>44</v>
      </c>
      <c r="I494" s="3" t="s">
        <v>465</v>
      </c>
      <c r="J494" s="3"/>
      <c r="K494" s="3">
        <v>94</v>
      </c>
      <c r="L494" s="3">
        <v>95</v>
      </c>
      <c r="M494" s="3">
        <f>+L494/K494</f>
        <v>1.0106382978723405</v>
      </c>
      <c r="N494" s="3">
        <f>+L494/K494</f>
        <v>1.0106382978723405</v>
      </c>
      <c r="O494" s="3" t="s">
        <v>58</v>
      </c>
      <c r="P494" s="3" t="s">
        <v>58</v>
      </c>
      <c r="Q494" s="3" t="str">
        <f t="shared" si="71"/>
        <v>193-2025-12-31</v>
      </c>
      <c r="R494" s="3">
        <v>1</v>
      </c>
      <c r="S494" s="3">
        <v>1</v>
      </c>
      <c r="T494" s="3" t="s">
        <v>443</v>
      </c>
      <c r="U494" s="3" t="s">
        <v>37</v>
      </c>
      <c r="V494" s="3" t="s">
        <v>30</v>
      </c>
      <c r="W494" s="3" t="s">
        <v>112</v>
      </c>
      <c r="X494" s="3" t="s">
        <v>113</v>
      </c>
      <c r="Y494" s="3" t="s">
        <v>114</v>
      </c>
      <c r="Z494" s="3" t="s">
        <v>63</v>
      </c>
      <c r="AA494" s="3" t="s">
        <v>115</v>
      </c>
      <c r="AB494" s="3" t="s">
        <v>65</v>
      </c>
      <c r="AC494" s="3" t="s">
        <v>31</v>
      </c>
      <c r="AD494" s="3">
        <v>0</v>
      </c>
    </row>
    <row r="495" spans="1:30" x14ac:dyDescent="0.3">
      <c r="A495" s="3">
        <v>194</v>
      </c>
      <c r="B495" s="3" t="s">
        <v>121</v>
      </c>
      <c r="C495" s="3" t="s">
        <v>30</v>
      </c>
      <c r="D495" s="3" t="s">
        <v>31</v>
      </c>
      <c r="E495" s="3" t="s">
        <v>32</v>
      </c>
      <c r="F495" s="12">
        <v>46022</v>
      </c>
      <c r="G495" s="3">
        <v>2025</v>
      </c>
      <c r="H495" s="3" t="s">
        <v>44</v>
      </c>
      <c r="I495" s="3" t="s">
        <v>465</v>
      </c>
      <c r="J495" s="3"/>
      <c r="K495" s="3">
        <v>85</v>
      </c>
      <c r="L495" s="3">
        <v>89.9</v>
      </c>
      <c r="M495" s="3">
        <f t="shared" ref="M495" si="78">+L495/K495</f>
        <v>1.0576470588235294</v>
      </c>
      <c r="N495" s="3">
        <f t="shared" ref="N495" si="79">+L495/K495</f>
        <v>1.0576470588235294</v>
      </c>
      <c r="O495" s="3" t="s">
        <v>58</v>
      </c>
      <c r="P495" s="3" t="s">
        <v>58</v>
      </c>
      <c r="Q495" s="3" t="str">
        <f t="shared" si="71"/>
        <v>194-2025-12-31</v>
      </c>
      <c r="R495" s="3">
        <v>0</v>
      </c>
      <c r="S495" s="3">
        <v>0</v>
      </c>
      <c r="T495" s="3" t="s">
        <v>443</v>
      </c>
      <c r="U495" s="3" t="s">
        <v>37</v>
      </c>
      <c r="V495" s="3" t="s">
        <v>30</v>
      </c>
      <c r="W495" s="3" t="s">
        <v>112</v>
      </c>
      <c r="X495" s="3" t="s">
        <v>113</v>
      </c>
      <c r="Y495" s="3" t="s">
        <v>123</v>
      </c>
      <c r="Z495" s="3" t="s">
        <v>41</v>
      </c>
      <c r="AA495" s="3" t="s">
        <v>124</v>
      </c>
      <c r="AB495" s="3" t="s">
        <v>43</v>
      </c>
      <c r="AC495" s="3" t="s">
        <v>66</v>
      </c>
      <c r="AD495" s="3">
        <v>0</v>
      </c>
    </row>
    <row r="496" spans="1:30" x14ac:dyDescent="0.3">
      <c r="A496" s="3">
        <v>200</v>
      </c>
      <c r="B496" s="3" t="s">
        <v>129</v>
      </c>
      <c r="C496" s="3" t="s">
        <v>130</v>
      </c>
      <c r="D496" s="3" t="s">
        <v>66</v>
      </c>
      <c r="E496" s="3" t="s">
        <v>32</v>
      </c>
      <c r="F496" s="12">
        <v>46022</v>
      </c>
      <c r="G496" s="3">
        <v>2025</v>
      </c>
      <c r="H496" s="3" t="s">
        <v>44</v>
      </c>
      <c r="I496" s="3" t="s">
        <v>465</v>
      </c>
      <c r="J496" s="3">
        <v>2</v>
      </c>
      <c r="K496" s="3">
        <v>80</v>
      </c>
      <c r="L496" s="3">
        <v>87.4</v>
      </c>
      <c r="M496" s="3">
        <f>+L496/K496</f>
        <v>1.0925</v>
      </c>
      <c r="N496" s="3">
        <v>1.0925</v>
      </c>
      <c r="O496" s="3" t="s">
        <v>58</v>
      </c>
      <c r="P496" s="3" t="s">
        <v>58</v>
      </c>
      <c r="Q496" s="3" t="str">
        <f t="shared" si="71"/>
        <v>200-2025-12-31</v>
      </c>
      <c r="R496" s="3">
        <v>0</v>
      </c>
      <c r="S496" s="3">
        <v>1</v>
      </c>
      <c r="T496" s="3" t="s">
        <v>31</v>
      </c>
      <c r="U496" s="3" t="s">
        <v>37</v>
      </c>
      <c r="V496" s="3" t="s">
        <v>130</v>
      </c>
      <c r="W496" s="3" t="s">
        <v>60</v>
      </c>
      <c r="X496" s="3" t="s">
        <v>100</v>
      </c>
      <c r="Y496" s="3" t="s">
        <v>133</v>
      </c>
      <c r="Z496" s="3" t="s">
        <v>134</v>
      </c>
      <c r="AA496" s="3" t="s">
        <v>135</v>
      </c>
      <c r="AB496" s="3" t="s">
        <v>43</v>
      </c>
      <c r="AC496" s="3" t="s">
        <v>66</v>
      </c>
      <c r="AD496" s="3">
        <v>0</v>
      </c>
    </row>
    <row r="497" spans="1:30" x14ac:dyDescent="0.3">
      <c r="A497" s="3">
        <v>200</v>
      </c>
      <c r="B497" s="3" t="s">
        <v>129</v>
      </c>
      <c r="C497" s="3" t="s">
        <v>130</v>
      </c>
      <c r="D497" s="3" t="s">
        <v>66</v>
      </c>
      <c r="E497" s="3" t="s">
        <v>32</v>
      </c>
      <c r="F497" s="12">
        <v>46022</v>
      </c>
      <c r="G497" s="3">
        <v>2025</v>
      </c>
      <c r="H497" s="3" t="s">
        <v>44</v>
      </c>
      <c r="I497" s="3" t="s">
        <v>465</v>
      </c>
      <c r="J497" s="3">
        <v>2</v>
      </c>
      <c r="K497" s="3">
        <v>80</v>
      </c>
      <c r="L497" s="3">
        <v>87.4</v>
      </c>
      <c r="M497" s="3">
        <f>+L497/K497</f>
        <v>1.0925</v>
      </c>
      <c r="N497" s="3">
        <v>1.0925</v>
      </c>
      <c r="O497" s="3" t="s">
        <v>58</v>
      </c>
      <c r="P497" s="3" t="s">
        <v>58</v>
      </c>
      <c r="Q497" s="3" t="str">
        <f t="shared" si="71"/>
        <v>200-2025-12-31</v>
      </c>
      <c r="R497" s="3">
        <v>0</v>
      </c>
      <c r="S497" s="3">
        <v>1</v>
      </c>
      <c r="T497" s="3" t="s">
        <v>443</v>
      </c>
      <c r="U497" s="3" t="s">
        <v>37</v>
      </c>
      <c r="V497" s="3" t="s">
        <v>130</v>
      </c>
      <c r="W497" s="3" t="s">
        <v>60</v>
      </c>
      <c r="X497" s="3" t="s">
        <v>100</v>
      </c>
      <c r="Y497" s="3" t="s">
        <v>133</v>
      </c>
      <c r="Z497" s="3" t="s">
        <v>134</v>
      </c>
      <c r="AA497" s="3" t="s">
        <v>135</v>
      </c>
      <c r="AB497" s="3" t="s">
        <v>43</v>
      </c>
      <c r="AC497" s="3" t="s">
        <v>66</v>
      </c>
      <c r="AD497" s="3">
        <v>0</v>
      </c>
    </row>
    <row r="498" spans="1:30" x14ac:dyDescent="0.3">
      <c r="A498" s="3">
        <v>245</v>
      </c>
      <c r="B498" s="3" t="s">
        <v>185</v>
      </c>
      <c r="C498" s="3" t="s">
        <v>186</v>
      </c>
      <c r="D498" s="3" t="s">
        <v>31</v>
      </c>
      <c r="E498" s="3" t="s">
        <v>32</v>
      </c>
      <c r="F498" s="12">
        <v>46022</v>
      </c>
      <c r="G498" s="3">
        <v>2025</v>
      </c>
      <c r="H498" s="3" t="s">
        <v>44</v>
      </c>
      <c r="I498" s="3" t="s">
        <v>465</v>
      </c>
      <c r="J498" s="3"/>
      <c r="K498" s="3">
        <v>86.1</v>
      </c>
      <c r="L498" s="3">
        <v>86.2</v>
      </c>
      <c r="M498" s="3">
        <f t="shared" ref="M498" si="80">+L498/K498</f>
        <v>1.0011614401858304</v>
      </c>
      <c r="N498" s="3">
        <f t="shared" ref="N498" si="81">+L498/K498</f>
        <v>1.0011614401858304</v>
      </c>
      <c r="O498" s="3" t="s">
        <v>58</v>
      </c>
      <c r="P498" s="3" t="s">
        <v>58</v>
      </c>
      <c r="Q498" s="3" t="str">
        <f t="shared" si="71"/>
        <v>245-2025-12-31</v>
      </c>
      <c r="R498" s="3">
        <v>1</v>
      </c>
      <c r="S498" s="3">
        <v>1</v>
      </c>
      <c r="T498" s="3" t="s">
        <v>443</v>
      </c>
      <c r="U498" s="3" t="s">
        <v>37</v>
      </c>
      <c r="V498" s="3" t="s">
        <v>186</v>
      </c>
      <c r="W498" s="3" t="s">
        <v>112</v>
      </c>
      <c r="X498" s="3" t="s">
        <v>113</v>
      </c>
      <c r="Y498" s="3" t="s">
        <v>123</v>
      </c>
      <c r="Z498" s="3" t="s">
        <v>41</v>
      </c>
      <c r="AA498" s="3" t="s">
        <v>42</v>
      </c>
      <c r="AB498" s="3" t="s">
        <v>65</v>
      </c>
      <c r="AC498" s="3" t="s">
        <v>31</v>
      </c>
      <c r="AD498" s="3">
        <v>0</v>
      </c>
    </row>
    <row r="499" spans="1:30" x14ac:dyDescent="0.3">
      <c r="A499" s="3">
        <v>276</v>
      </c>
      <c r="B499" s="3" t="s">
        <v>201</v>
      </c>
      <c r="C499" s="3" t="s">
        <v>202</v>
      </c>
      <c r="D499" s="3" t="s">
        <v>31</v>
      </c>
      <c r="E499" s="3" t="s">
        <v>171</v>
      </c>
      <c r="F499" s="12">
        <v>46022</v>
      </c>
      <c r="G499" s="3">
        <v>2025</v>
      </c>
      <c r="H499" s="3" t="s">
        <v>44</v>
      </c>
      <c r="I499" s="3" t="s">
        <v>465</v>
      </c>
      <c r="J499" s="3"/>
      <c r="K499" s="3">
        <v>81</v>
      </c>
      <c r="L499" s="3">
        <v>82.81</v>
      </c>
      <c r="M499" s="3">
        <f t="shared" ref="M499:M500" si="82">+K499/L499</f>
        <v>0.97814273638449456</v>
      </c>
      <c r="N499" s="3">
        <f t="shared" ref="N499:N500" si="83">+K499/L499</f>
        <v>0.97814273638449456</v>
      </c>
      <c r="O499" s="3" t="s">
        <v>35</v>
      </c>
      <c r="P499" s="3" t="s">
        <v>245</v>
      </c>
      <c r="Q499" s="3" t="str">
        <f t="shared" si="71"/>
        <v>276-2025-12-31</v>
      </c>
      <c r="R499" s="3">
        <v>0</v>
      </c>
      <c r="S499" s="3">
        <v>1</v>
      </c>
      <c r="T499" s="3" t="s">
        <v>443</v>
      </c>
      <c r="U499" s="3" t="s">
        <v>37</v>
      </c>
      <c r="V499" s="3" t="s">
        <v>202</v>
      </c>
      <c r="W499" s="3" t="s">
        <v>73</v>
      </c>
      <c r="X499" s="3" t="s">
        <v>74</v>
      </c>
      <c r="Y499" s="3" t="s">
        <v>585</v>
      </c>
      <c r="Z499" s="3" t="s">
        <v>86</v>
      </c>
      <c r="AA499" s="3" t="s">
        <v>204</v>
      </c>
      <c r="AB499" s="3" t="s">
        <v>65</v>
      </c>
      <c r="AC499" s="3" t="s">
        <v>31</v>
      </c>
      <c r="AD499" s="3">
        <v>0</v>
      </c>
    </row>
    <row r="500" spans="1:30" x14ac:dyDescent="0.3">
      <c r="A500" s="3">
        <v>277</v>
      </c>
      <c r="B500" s="3" t="s">
        <v>210</v>
      </c>
      <c r="C500" s="3" t="s">
        <v>202</v>
      </c>
      <c r="D500" s="3" t="s">
        <v>31</v>
      </c>
      <c r="E500" s="3" t="s">
        <v>171</v>
      </c>
      <c r="F500" s="12">
        <v>46022</v>
      </c>
      <c r="G500" s="3">
        <v>2025</v>
      </c>
      <c r="H500" s="3" t="s">
        <v>44</v>
      </c>
      <c r="I500" s="3" t="s">
        <v>465</v>
      </c>
      <c r="J500" s="3"/>
      <c r="K500" s="3">
        <v>71</v>
      </c>
      <c r="L500" s="3">
        <v>68.400000000000006</v>
      </c>
      <c r="M500" s="3">
        <f t="shared" si="82"/>
        <v>1.0380116959064327</v>
      </c>
      <c r="N500" s="3">
        <f t="shared" si="83"/>
        <v>1.0380116959064327</v>
      </c>
      <c r="O500" s="3" t="s">
        <v>35</v>
      </c>
      <c r="P500" s="3" t="s">
        <v>245</v>
      </c>
      <c r="Q500" s="3" t="str">
        <f t="shared" si="71"/>
        <v>277-2025-12-31</v>
      </c>
      <c r="R500" s="3">
        <v>1</v>
      </c>
      <c r="S500" s="3">
        <v>1</v>
      </c>
      <c r="T500" s="3" t="s">
        <v>443</v>
      </c>
      <c r="U500" s="3" t="s">
        <v>37</v>
      </c>
      <c r="V500" s="3" t="s">
        <v>202</v>
      </c>
      <c r="W500" s="3" t="s">
        <v>73</v>
      </c>
      <c r="X500" s="3" t="s">
        <v>74</v>
      </c>
      <c r="Y500" s="3" t="s">
        <v>585</v>
      </c>
      <c r="Z500" s="3" t="s">
        <v>86</v>
      </c>
      <c r="AA500" s="3" t="s">
        <v>204</v>
      </c>
      <c r="AB500" s="3" t="s">
        <v>65</v>
      </c>
      <c r="AC500" s="3" t="s">
        <v>31</v>
      </c>
      <c r="AD500" s="3">
        <v>0</v>
      </c>
    </row>
    <row r="501" spans="1:30" x14ac:dyDescent="0.3">
      <c r="A501" s="3">
        <v>364</v>
      </c>
      <c r="B501" s="3" t="s">
        <v>271</v>
      </c>
      <c r="C501" s="3" t="s">
        <v>267</v>
      </c>
      <c r="D501" s="3" t="s">
        <v>31</v>
      </c>
      <c r="E501" s="3" t="s">
        <v>171</v>
      </c>
      <c r="F501" s="12">
        <v>46022</v>
      </c>
      <c r="G501" s="3">
        <v>2025</v>
      </c>
      <c r="H501" s="3" t="s">
        <v>44</v>
      </c>
      <c r="I501" s="3" t="s">
        <v>465</v>
      </c>
      <c r="J501" s="3"/>
      <c r="K501" s="3">
        <v>83197</v>
      </c>
      <c r="L501" s="3">
        <v>70233</v>
      </c>
      <c r="M501" s="3">
        <f t="shared" ref="M501:M502" si="84">+L501/K501</f>
        <v>0.84417707369256101</v>
      </c>
      <c r="N501" s="3">
        <f t="shared" ref="N501" si="85">+L501/K501</f>
        <v>0.84417707369256101</v>
      </c>
      <c r="O501" s="3" t="s">
        <v>35</v>
      </c>
      <c r="P501" s="3" t="s">
        <v>35</v>
      </c>
      <c r="Q501" s="3" t="str">
        <f t="shared" si="71"/>
        <v>364-2025-12-31</v>
      </c>
      <c r="R501" s="3">
        <v>0</v>
      </c>
      <c r="S501" s="3">
        <v>0</v>
      </c>
      <c r="T501" s="3" t="s">
        <v>443</v>
      </c>
      <c r="U501" s="3" t="s">
        <v>37</v>
      </c>
      <c r="V501" s="3" t="s">
        <v>267</v>
      </c>
      <c r="W501" s="3" t="s">
        <v>145</v>
      </c>
      <c r="X501" s="3" t="s">
        <v>179</v>
      </c>
      <c r="Y501" s="3" t="s">
        <v>273</v>
      </c>
      <c r="Z501" s="3" t="s">
        <v>274</v>
      </c>
      <c r="AA501" s="3" t="s">
        <v>275</v>
      </c>
      <c r="AB501" s="3" t="s">
        <v>78</v>
      </c>
      <c r="AC501" s="3" t="s">
        <v>66</v>
      </c>
      <c r="AD501" s="3">
        <v>0</v>
      </c>
    </row>
    <row r="502" spans="1:30" x14ac:dyDescent="0.3">
      <c r="A502" s="3">
        <v>369</v>
      </c>
      <c r="B502" s="3" t="s">
        <v>283</v>
      </c>
      <c r="C502" s="3" t="s">
        <v>267</v>
      </c>
      <c r="D502" s="3" t="s">
        <v>31</v>
      </c>
      <c r="E502" s="3" t="s">
        <v>32</v>
      </c>
      <c r="F502" s="12">
        <v>46022</v>
      </c>
      <c r="G502" s="3">
        <v>2025</v>
      </c>
      <c r="H502" s="3" t="s">
        <v>44</v>
      </c>
      <c r="I502" s="3" t="s">
        <v>465</v>
      </c>
      <c r="J502" s="3"/>
      <c r="K502" s="3">
        <v>190</v>
      </c>
      <c r="L502" s="3">
        <v>190</v>
      </c>
      <c r="M502" s="3">
        <f t="shared" si="84"/>
        <v>1</v>
      </c>
      <c r="N502" s="3">
        <f>+L502/K502</f>
        <v>1</v>
      </c>
      <c r="O502" s="3" t="s">
        <v>35</v>
      </c>
      <c r="P502" s="3" t="s">
        <v>35</v>
      </c>
      <c r="Q502" s="3" t="str">
        <f t="shared" si="71"/>
        <v>369-2025-12-31</v>
      </c>
      <c r="R502" s="3">
        <v>0</v>
      </c>
      <c r="S502" s="3">
        <v>0</v>
      </c>
      <c r="T502" s="3" t="s">
        <v>443</v>
      </c>
      <c r="U502" s="3" t="s">
        <v>37</v>
      </c>
      <c r="V502" s="3" t="s">
        <v>267</v>
      </c>
      <c r="W502" s="3" t="s">
        <v>145</v>
      </c>
      <c r="X502" s="3" t="s">
        <v>179</v>
      </c>
      <c r="Y502" s="3" t="s">
        <v>273</v>
      </c>
      <c r="Z502" s="3" t="s">
        <v>41</v>
      </c>
      <c r="AA502" s="3" t="s">
        <v>42</v>
      </c>
      <c r="AB502" s="3" t="s">
        <v>78</v>
      </c>
      <c r="AC502" s="3" t="s">
        <v>66</v>
      </c>
      <c r="AD502" s="3">
        <v>0</v>
      </c>
    </row>
    <row r="503" spans="1:30" x14ac:dyDescent="0.3">
      <c r="A503" s="3">
        <v>379</v>
      </c>
      <c r="B503" s="3" t="s">
        <v>301</v>
      </c>
      <c r="C503" s="3" t="s">
        <v>302</v>
      </c>
      <c r="D503" s="3" t="s">
        <v>31</v>
      </c>
      <c r="E503" s="3" t="s">
        <v>32</v>
      </c>
      <c r="F503" s="12">
        <v>46022</v>
      </c>
      <c r="G503" s="3">
        <v>2025</v>
      </c>
      <c r="H503" s="3" t="s">
        <v>44</v>
      </c>
      <c r="I503" s="3" t="s">
        <v>465</v>
      </c>
      <c r="J503" s="3"/>
      <c r="K503" s="3">
        <f>+K421+K420</f>
        <v>24628</v>
      </c>
      <c r="L503" s="3">
        <f>+L421+L420</f>
        <v>25426</v>
      </c>
      <c r="M503" s="3">
        <f>+L503/K503</f>
        <v>1.0324021439012505</v>
      </c>
      <c r="N503" s="3">
        <f>+L503/K503</f>
        <v>1.0324021439012505</v>
      </c>
      <c r="O503" s="3" t="s">
        <v>35</v>
      </c>
      <c r="P503" s="3" t="s">
        <v>35</v>
      </c>
      <c r="Q503" s="3" t="str">
        <f t="shared" si="71"/>
        <v>379-2025-12-31</v>
      </c>
      <c r="R503" s="3">
        <v>0</v>
      </c>
      <c r="S503" s="3">
        <v>0</v>
      </c>
      <c r="T503" s="3" t="s">
        <v>443</v>
      </c>
      <c r="U503" s="3" t="s">
        <v>37</v>
      </c>
      <c r="V503" s="3" t="s">
        <v>302</v>
      </c>
      <c r="W503" s="3" t="s">
        <v>38</v>
      </c>
      <c r="X503" s="3" t="s">
        <v>39</v>
      </c>
      <c r="Y503" s="3" t="s">
        <v>40</v>
      </c>
      <c r="Z503" s="3" t="s">
        <v>41</v>
      </c>
      <c r="AA503" s="3" t="s">
        <v>42</v>
      </c>
      <c r="AB503" s="3" t="s">
        <v>78</v>
      </c>
      <c r="AC503" s="3" t="s">
        <v>31</v>
      </c>
      <c r="AD503" s="3">
        <v>0</v>
      </c>
    </row>
    <row r="504" spans="1:30" x14ac:dyDescent="0.3">
      <c r="A504" s="3">
        <v>14</v>
      </c>
      <c r="B504" s="3" t="s">
        <v>29</v>
      </c>
      <c r="C504" s="3" t="s">
        <v>186</v>
      </c>
      <c r="D504" s="3" t="s">
        <v>31</v>
      </c>
      <c r="E504" s="3" t="s">
        <v>32</v>
      </c>
      <c r="F504" s="12">
        <v>46023</v>
      </c>
      <c r="G504" s="3">
        <v>2026</v>
      </c>
      <c r="H504" s="3" t="s">
        <v>484</v>
      </c>
      <c r="I504" s="3" t="s">
        <v>484</v>
      </c>
      <c r="J504" s="3"/>
      <c r="K504" s="3">
        <v>55756</v>
      </c>
      <c r="L504" s="11">
        <v>56931</v>
      </c>
      <c r="M504" s="3">
        <f>+L504/K504</f>
        <v>1.0210739651337972</v>
      </c>
      <c r="N504" s="3">
        <f>+L504/K504</f>
        <v>1.0210739651337972</v>
      </c>
      <c r="O504" s="3" t="s">
        <v>35</v>
      </c>
      <c r="P504" s="3" t="s">
        <v>35</v>
      </c>
      <c r="Q504" s="3" t="str">
        <f t="shared" si="71"/>
        <v>14-2026-01-01</v>
      </c>
      <c r="R504" s="3">
        <v>0</v>
      </c>
      <c r="S504" s="3">
        <v>0</v>
      </c>
      <c r="T504" s="3" t="s">
        <v>484</v>
      </c>
      <c r="U504" s="3" t="s">
        <v>37</v>
      </c>
      <c r="V504" s="3" t="s">
        <v>30</v>
      </c>
      <c r="W504" s="3" t="s">
        <v>38</v>
      </c>
      <c r="X504" s="3" t="s">
        <v>39</v>
      </c>
      <c r="Y504" s="3" t="s">
        <v>40</v>
      </c>
      <c r="Z504" s="3" t="s">
        <v>41</v>
      </c>
      <c r="AA504" s="3" t="s">
        <v>42</v>
      </c>
      <c r="AB504" s="3" t="s">
        <v>43</v>
      </c>
      <c r="AC504" s="3" t="s">
        <v>31</v>
      </c>
      <c r="AD504" s="3">
        <v>0</v>
      </c>
    </row>
    <row r="505" spans="1:30" x14ac:dyDescent="0.3">
      <c r="A505" s="3" t="s">
        <v>587</v>
      </c>
      <c r="B505" s="3" t="s">
        <v>353</v>
      </c>
      <c r="C505" s="3" t="s">
        <v>186</v>
      </c>
      <c r="D505" s="3" t="s">
        <v>31</v>
      </c>
      <c r="E505" s="3" t="s">
        <v>32</v>
      </c>
      <c r="F505" s="12">
        <v>46023</v>
      </c>
      <c r="G505" s="3">
        <v>2026</v>
      </c>
      <c r="H505" s="3" t="s">
        <v>484</v>
      </c>
      <c r="I505" s="3" t="s">
        <v>484</v>
      </c>
      <c r="J505" s="3"/>
      <c r="K505" s="3">
        <v>16981</v>
      </c>
      <c r="L505" s="3">
        <v>17472</v>
      </c>
      <c r="M505" s="3">
        <f>+L505/K505</f>
        <v>1.0289146693363171</v>
      </c>
      <c r="N505" s="3">
        <f>+L505/K505</f>
        <v>1.0289146693363171</v>
      </c>
      <c r="O505" s="3" t="s">
        <v>35</v>
      </c>
      <c r="P505" s="3" t="s">
        <v>35</v>
      </c>
      <c r="Q505" s="3" t="str">
        <f t="shared" si="71"/>
        <v>14.1-2026-01-01</v>
      </c>
      <c r="R505" s="3">
        <v>0</v>
      </c>
      <c r="S505" s="3">
        <v>0</v>
      </c>
      <c r="T505" s="3" t="s">
        <v>484</v>
      </c>
      <c r="U505" s="3" t="s">
        <v>37</v>
      </c>
      <c r="V505" s="3" t="s">
        <v>30</v>
      </c>
      <c r="W505" s="3" t="s">
        <v>38</v>
      </c>
      <c r="X505" s="3" t="s">
        <v>39</v>
      </c>
      <c r="Y505" s="3" t="s">
        <v>40</v>
      </c>
      <c r="Z505" s="3" t="s">
        <v>86</v>
      </c>
      <c r="AA505" s="3" t="s">
        <v>339</v>
      </c>
      <c r="AB505" s="3" t="s">
        <v>78</v>
      </c>
      <c r="AC505" s="3" t="s">
        <v>31</v>
      </c>
      <c r="AD505" s="3">
        <v>0</v>
      </c>
    </row>
    <row r="506" spans="1:30" x14ac:dyDescent="0.3">
      <c r="A506" s="3" t="s">
        <v>588</v>
      </c>
      <c r="B506" s="3" t="s">
        <v>359</v>
      </c>
      <c r="C506" s="3" t="s">
        <v>186</v>
      </c>
      <c r="D506" s="3" t="s">
        <v>31</v>
      </c>
      <c r="E506" s="3" t="s">
        <v>32</v>
      </c>
      <c r="F506" s="12">
        <v>46023</v>
      </c>
      <c r="G506" s="3">
        <v>2026</v>
      </c>
      <c r="H506" s="3" t="s">
        <v>484</v>
      </c>
      <c r="I506" s="3" t="s">
        <v>484</v>
      </c>
      <c r="J506" s="3"/>
      <c r="K506" s="3">
        <v>92409</v>
      </c>
      <c r="L506" s="3">
        <v>95964</v>
      </c>
      <c r="M506" s="3">
        <f>+L506/K506</f>
        <v>1.0384702788689413</v>
      </c>
      <c r="N506" s="3">
        <f>+L506/K506</f>
        <v>1.0384702788689413</v>
      </c>
      <c r="O506" s="3" t="s">
        <v>35</v>
      </c>
      <c r="P506" s="3" t="s">
        <v>35</v>
      </c>
      <c r="Q506" s="3" t="str">
        <f t="shared" si="71"/>
        <v>14.2-2026-01-01</v>
      </c>
      <c r="R506" s="3">
        <v>0</v>
      </c>
      <c r="S506" s="3">
        <v>0</v>
      </c>
      <c r="T506" s="3" t="s">
        <v>484</v>
      </c>
      <c r="U506" s="3" t="s">
        <v>37</v>
      </c>
      <c r="V506" s="3" t="s">
        <v>30</v>
      </c>
      <c r="W506" s="3" t="s">
        <v>38</v>
      </c>
      <c r="X506" s="3" t="s">
        <v>39</v>
      </c>
      <c r="Y506" s="3" t="s">
        <v>40</v>
      </c>
      <c r="Z506" s="3" t="s">
        <v>86</v>
      </c>
      <c r="AA506" s="3" t="s">
        <v>339</v>
      </c>
      <c r="AB506" s="3" t="s">
        <v>78</v>
      </c>
      <c r="AC506" s="3" t="s">
        <v>31</v>
      </c>
      <c r="AD506" s="3">
        <v>0</v>
      </c>
    </row>
    <row r="507" spans="1:30" x14ac:dyDescent="0.3">
      <c r="A507" s="3" t="s">
        <v>589</v>
      </c>
      <c r="B507" s="3" t="s">
        <v>365</v>
      </c>
      <c r="C507" s="3" t="s">
        <v>186</v>
      </c>
      <c r="D507" s="3" t="s">
        <v>31</v>
      </c>
      <c r="E507" s="3" t="s">
        <v>32</v>
      </c>
      <c r="F507" s="12">
        <v>46023</v>
      </c>
      <c r="G507" s="3">
        <v>2026</v>
      </c>
      <c r="H507" s="3" t="s">
        <v>484</v>
      </c>
      <c r="I507" s="3" t="s">
        <v>484</v>
      </c>
      <c r="J507" s="3"/>
      <c r="K507" s="3">
        <v>101379</v>
      </c>
      <c r="L507" s="3">
        <v>104367</v>
      </c>
      <c r="M507" s="3">
        <f t="shared" ref="M507:M508" si="86">+L507/K507</f>
        <v>1.0294735596129376</v>
      </c>
      <c r="N507" s="3">
        <f t="shared" ref="N507:N508" si="87">+L507/K507</f>
        <v>1.0294735596129376</v>
      </c>
      <c r="O507" s="3" t="s">
        <v>35</v>
      </c>
      <c r="P507" s="3" t="s">
        <v>35</v>
      </c>
      <c r="Q507" s="3" t="str">
        <f t="shared" si="71"/>
        <v>14.3-2026-01-01</v>
      </c>
      <c r="R507" s="3">
        <v>0</v>
      </c>
      <c r="S507" s="3">
        <v>0</v>
      </c>
      <c r="T507" s="3" t="s">
        <v>484</v>
      </c>
      <c r="U507" s="3" t="s">
        <v>37</v>
      </c>
      <c r="V507" s="3" t="s">
        <v>30</v>
      </c>
      <c r="W507" s="3" t="s">
        <v>38</v>
      </c>
      <c r="X507" s="3" t="s">
        <v>39</v>
      </c>
      <c r="Y507" s="3" t="s">
        <v>40</v>
      </c>
      <c r="Z507" s="3" t="s">
        <v>86</v>
      </c>
      <c r="AA507" s="3" t="s">
        <v>339</v>
      </c>
      <c r="AB507" s="3" t="s">
        <v>78</v>
      </c>
      <c r="AC507" s="3" t="s">
        <v>31</v>
      </c>
      <c r="AD507" s="3">
        <v>0</v>
      </c>
    </row>
    <row r="508" spans="1:30" x14ac:dyDescent="0.3">
      <c r="A508" s="3" t="s">
        <v>590</v>
      </c>
      <c r="B508" s="3" t="s">
        <v>371</v>
      </c>
      <c r="C508" s="3" t="s">
        <v>186</v>
      </c>
      <c r="D508" s="3" t="s">
        <v>31</v>
      </c>
      <c r="E508" s="3" t="s">
        <v>32</v>
      </c>
      <c r="F508" s="12">
        <v>46023</v>
      </c>
      <c r="G508" s="3">
        <v>2026</v>
      </c>
      <c r="H508" s="3" t="s">
        <v>484</v>
      </c>
      <c r="I508" s="3" t="s">
        <v>484</v>
      </c>
      <c r="J508" s="3"/>
      <c r="K508" s="3">
        <f>+K506+K507</f>
        <v>193788</v>
      </c>
      <c r="L508" s="3">
        <f>+L506+L507</f>
        <v>200331</v>
      </c>
      <c r="M508" s="3">
        <f t="shared" si="86"/>
        <v>1.033763700538733</v>
      </c>
      <c r="N508" s="3">
        <f t="shared" si="87"/>
        <v>1.033763700538733</v>
      </c>
      <c r="O508" s="3" t="s">
        <v>35</v>
      </c>
      <c r="P508" s="3" t="s">
        <v>35</v>
      </c>
      <c r="Q508" s="3" t="str">
        <f t="shared" si="71"/>
        <v>14.4-2026-01-01</v>
      </c>
      <c r="R508" s="3">
        <v>0</v>
      </c>
      <c r="S508" s="3">
        <v>0</v>
      </c>
      <c r="T508" s="3" t="s">
        <v>484</v>
      </c>
      <c r="U508" s="3" t="s">
        <v>37</v>
      </c>
      <c r="V508" s="3" t="s">
        <v>30</v>
      </c>
      <c r="W508" s="3" t="s">
        <v>38</v>
      </c>
      <c r="X508" s="3" t="s">
        <v>39</v>
      </c>
      <c r="Y508" s="3" t="s">
        <v>40</v>
      </c>
      <c r="Z508" s="3" t="s">
        <v>86</v>
      </c>
      <c r="AA508" s="3" t="s">
        <v>339</v>
      </c>
      <c r="AB508" s="3" t="s">
        <v>78</v>
      </c>
      <c r="AC508" s="3" t="s">
        <v>31</v>
      </c>
      <c r="AD508" s="3">
        <v>0</v>
      </c>
    </row>
    <row r="509" spans="1:30" x14ac:dyDescent="0.3">
      <c r="A509" s="3">
        <v>77</v>
      </c>
      <c r="B509" s="3" t="s">
        <v>55</v>
      </c>
      <c r="C509" s="3" t="s">
        <v>56</v>
      </c>
      <c r="D509" s="3" t="s">
        <v>57</v>
      </c>
      <c r="E509" s="3" t="s">
        <v>32</v>
      </c>
      <c r="F509" s="12">
        <v>46023</v>
      </c>
      <c r="G509" s="3">
        <v>2026</v>
      </c>
      <c r="H509" s="3" t="s">
        <v>484</v>
      </c>
      <c r="I509" s="3" t="s">
        <v>484</v>
      </c>
      <c r="J509" s="3"/>
      <c r="K509" s="3">
        <v>97</v>
      </c>
      <c r="L509" s="3">
        <v>97.17</v>
      </c>
      <c r="M509" s="3">
        <f>+L509/K509</f>
        <v>1.0017525773195877</v>
      </c>
      <c r="N509" s="3">
        <f>+L509/K509</f>
        <v>1.0017525773195877</v>
      </c>
      <c r="O509" s="3" t="s">
        <v>58</v>
      </c>
      <c r="P509" s="3" t="s">
        <v>58</v>
      </c>
      <c r="Q509" s="3" t="str">
        <f t="shared" si="71"/>
        <v>77-2026-01-01</v>
      </c>
      <c r="R509" s="3">
        <v>0</v>
      </c>
      <c r="S509" s="3">
        <v>1</v>
      </c>
      <c r="T509" s="3" t="s">
        <v>484</v>
      </c>
      <c r="U509" s="3" t="s">
        <v>37</v>
      </c>
      <c r="V509" s="3" t="s">
        <v>56</v>
      </c>
      <c r="W509" s="3" t="s">
        <v>60</v>
      </c>
      <c r="X509" s="3" t="s">
        <v>61</v>
      </c>
      <c r="Y509" s="3" t="s">
        <v>62</v>
      </c>
      <c r="Z509" s="3" t="s">
        <v>63</v>
      </c>
      <c r="AA509" s="3" t="s">
        <v>64</v>
      </c>
      <c r="AB509" s="3" t="s">
        <v>65</v>
      </c>
      <c r="AC509" s="3" t="s">
        <v>66</v>
      </c>
      <c r="AD509" s="3">
        <v>0</v>
      </c>
    </row>
    <row r="510" spans="1:30" x14ac:dyDescent="0.3">
      <c r="A510" s="3">
        <v>96</v>
      </c>
      <c r="B510" s="3" t="s">
        <v>70</v>
      </c>
      <c r="C510" s="3" t="s">
        <v>71</v>
      </c>
      <c r="D510" s="3" t="s">
        <v>66</v>
      </c>
      <c r="E510" s="3" t="s">
        <v>32</v>
      </c>
      <c r="F510" s="12">
        <v>46023</v>
      </c>
      <c r="G510" s="3">
        <v>2026</v>
      </c>
      <c r="H510" s="3" t="s">
        <v>484</v>
      </c>
      <c r="I510" s="3" t="s">
        <v>484</v>
      </c>
      <c r="J510" s="3"/>
      <c r="K510" s="3">
        <v>2531</v>
      </c>
      <c r="L510" s="3">
        <v>2383</v>
      </c>
      <c r="M510" s="3">
        <f>+L510/K510</f>
        <v>0.94152508889766895</v>
      </c>
      <c r="N510" s="3">
        <f>+L510/K510</f>
        <v>0.94152508889766895</v>
      </c>
      <c r="O510" s="3" t="s">
        <v>35</v>
      </c>
      <c r="P510" s="3" t="s">
        <v>35</v>
      </c>
      <c r="Q510" s="3" t="str">
        <f t="shared" si="71"/>
        <v>96-2026-01-01</v>
      </c>
      <c r="R510" s="3">
        <v>0</v>
      </c>
      <c r="S510" s="3">
        <v>0</v>
      </c>
      <c r="T510" s="3" t="s">
        <v>484</v>
      </c>
      <c r="U510" s="3" t="s">
        <v>37</v>
      </c>
      <c r="V510" s="3" t="s">
        <v>71</v>
      </c>
      <c r="W510" s="3" t="s">
        <v>73</v>
      </c>
      <c r="X510" s="3" t="s">
        <v>74</v>
      </c>
      <c r="Y510" s="3" t="s">
        <v>585</v>
      </c>
      <c r="Z510" s="3" t="s">
        <v>76</v>
      </c>
      <c r="AA510" s="3" t="s">
        <v>77</v>
      </c>
      <c r="AB510" s="3" t="s">
        <v>78</v>
      </c>
      <c r="AC510" s="3" t="s">
        <v>66</v>
      </c>
      <c r="AD510" s="3">
        <v>0</v>
      </c>
    </row>
    <row r="511" spans="1:30" x14ac:dyDescent="0.3">
      <c r="A511" s="3">
        <v>98</v>
      </c>
      <c r="B511" s="3" t="s">
        <v>91</v>
      </c>
      <c r="C511" s="3" t="s">
        <v>83</v>
      </c>
      <c r="D511" s="3" t="s">
        <v>31</v>
      </c>
      <c r="E511" s="3" t="s">
        <v>32</v>
      </c>
      <c r="F511" s="12">
        <v>46022</v>
      </c>
      <c r="G511" s="3">
        <v>2025</v>
      </c>
      <c r="H511" s="3" t="s">
        <v>44</v>
      </c>
      <c r="I511" s="3" t="s">
        <v>465</v>
      </c>
      <c r="J511" s="3"/>
      <c r="K511" s="3">
        <v>10</v>
      </c>
      <c r="L511" s="3">
        <v>10</v>
      </c>
      <c r="M511" s="3">
        <v>1</v>
      </c>
      <c r="N511" s="3">
        <v>1</v>
      </c>
      <c r="O511" s="3" t="s">
        <v>35</v>
      </c>
      <c r="P511" s="3" t="s">
        <v>35</v>
      </c>
      <c r="Q511" s="3" t="str">
        <f t="shared" si="71"/>
        <v>98-2025-12-31</v>
      </c>
      <c r="R511" s="3">
        <v>0</v>
      </c>
      <c r="S511" s="3">
        <v>0</v>
      </c>
      <c r="T511" s="3" t="s">
        <v>443</v>
      </c>
      <c r="U511" s="3" t="s">
        <v>37</v>
      </c>
      <c r="V511" s="3" t="s">
        <v>83</v>
      </c>
      <c r="W511" s="3" t="s">
        <v>38</v>
      </c>
      <c r="X511" s="3" t="s">
        <v>39</v>
      </c>
      <c r="Y511" s="3" t="s">
        <v>85</v>
      </c>
      <c r="Z511" s="3" t="s">
        <v>86</v>
      </c>
      <c r="AA511" s="3" t="s">
        <v>87</v>
      </c>
      <c r="AB511" s="3" t="s">
        <v>78</v>
      </c>
      <c r="AC511" s="3" t="s">
        <v>66</v>
      </c>
      <c r="AD511" s="3">
        <v>0</v>
      </c>
    </row>
    <row r="512" spans="1:30" x14ac:dyDescent="0.3">
      <c r="A512" s="3">
        <v>98</v>
      </c>
      <c r="B512" s="3" t="s">
        <v>91</v>
      </c>
      <c r="C512" s="3" t="s">
        <v>83</v>
      </c>
      <c r="D512" s="3" t="s">
        <v>31</v>
      </c>
      <c r="E512" s="3" t="s">
        <v>32</v>
      </c>
      <c r="F512" s="12">
        <v>46023</v>
      </c>
      <c r="G512" s="3">
        <v>2026</v>
      </c>
      <c r="H512" s="3" t="s">
        <v>484</v>
      </c>
      <c r="I512" s="3" t="s">
        <v>484</v>
      </c>
      <c r="J512" s="3"/>
      <c r="K512" s="3">
        <f>+K141+K144+K147+K511</f>
        <v>20</v>
      </c>
      <c r="L512" s="3">
        <f>+L141+L144+L147+L511</f>
        <v>20</v>
      </c>
      <c r="M512" s="3">
        <v>1</v>
      </c>
      <c r="N512" s="3">
        <v>1</v>
      </c>
      <c r="O512" s="3" t="s">
        <v>35</v>
      </c>
      <c r="P512" s="3" t="s">
        <v>35</v>
      </c>
      <c r="Q512" s="3" t="str">
        <f t="shared" si="71"/>
        <v>98-2026-01-01</v>
      </c>
      <c r="R512" s="3">
        <v>0</v>
      </c>
      <c r="S512" s="3">
        <v>0</v>
      </c>
      <c r="T512" s="3" t="s">
        <v>484</v>
      </c>
      <c r="U512" s="3" t="s">
        <v>37</v>
      </c>
      <c r="V512" s="3" t="s">
        <v>83</v>
      </c>
      <c r="W512" s="3" t="s">
        <v>38</v>
      </c>
      <c r="X512" s="3" t="s">
        <v>39</v>
      </c>
      <c r="Y512" s="3" t="s">
        <v>85</v>
      </c>
      <c r="Z512" s="3" t="s">
        <v>86</v>
      </c>
      <c r="AA512" s="3" t="s">
        <v>87</v>
      </c>
      <c r="AB512" s="3" t="s">
        <v>78</v>
      </c>
      <c r="AC512" s="3" t="s">
        <v>66</v>
      </c>
      <c r="AD512" s="3">
        <v>0</v>
      </c>
    </row>
    <row r="513" spans="1:30" x14ac:dyDescent="0.3">
      <c r="A513" s="3">
        <v>109</v>
      </c>
      <c r="B513" s="3" t="s">
        <v>96</v>
      </c>
      <c r="C513" s="3" t="s">
        <v>99</v>
      </c>
      <c r="D513" s="3" t="s">
        <v>66</v>
      </c>
      <c r="E513" s="3" t="s">
        <v>32</v>
      </c>
      <c r="F513" s="12">
        <v>46023</v>
      </c>
      <c r="G513" s="3">
        <v>2026</v>
      </c>
      <c r="H513" s="3" t="s">
        <v>484</v>
      </c>
      <c r="I513" s="3" t="s">
        <v>484</v>
      </c>
      <c r="J513" s="3"/>
      <c r="K513" s="3">
        <v>80</v>
      </c>
      <c r="L513" s="3">
        <v>94</v>
      </c>
      <c r="M513" s="3">
        <f t="shared" ref="M513" si="88">+L513/K513</f>
        <v>1.175</v>
      </c>
      <c r="N513" s="3">
        <v>1.0625</v>
      </c>
      <c r="O513" s="3" t="s">
        <v>58</v>
      </c>
      <c r="P513" s="3" t="s">
        <v>58</v>
      </c>
      <c r="Q513" s="3" t="str">
        <f t="shared" si="71"/>
        <v>109-2026-01-01</v>
      </c>
      <c r="R513" s="3">
        <v>0</v>
      </c>
      <c r="S513" s="3">
        <v>0</v>
      </c>
      <c r="T513" s="3" t="s">
        <v>484</v>
      </c>
      <c r="U513" s="3" t="s">
        <v>37</v>
      </c>
      <c r="V513" s="3" t="s">
        <v>99</v>
      </c>
      <c r="W513" s="3" t="s">
        <v>60</v>
      </c>
      <c r="X513" s="3" t="s">
        <v>100</v>
      </c>
      <c r="Y513" s="3" t="s">
        <v>584</v>
      </c>
      <c r="Z513" s="3" t="s">
        <v>101</v>
      </c>
      <c r="AA513" s="3" t="s">
        <v>102</v>
      </c>
      <c r="AB513" s="3" t="s">
        <v>65</v>
      </c>
      <c r="AC513" s="3" t="s">
        <v>66</v>
      </c>
      <c r="AD513" s="3">
        <v>0</v>
      </c>
    </row>
    <row r="514" spans="1:30" x14ac:dyDescent="0.3">
      <c r="A514" s="3">
        <v>148</v>
      </c>
      <c r="B514" s="3" t="s">
        <v>104</v>
      </c>
      <c r="C514" s="3" t="s">
        <v>105</v>
      </c>
      <c r="D514" s="3" t="s">
        <v>31</v>
      </c>
      <c r="E514" s="3" t="s">
        <v>32</v>
      </c>
      <c r="F514" s="12">
        <v>46023</v>
      </c>
      <c r="G514" s="3">
        <v>2026</v>
      </c>
      <c r="H514" s="3" t="s">
        <v>484</v>
      </c>
      <c r="I514" s="3" t="s">
        <v>484</v>
      </c>
      <c r="J514" s="3"/>
      <c r="K514" s="3">
        <v>5</v>
      </c>
      <c r="L514" s="3">
        <v>5.8624999999999998</v>
      </c>
      <c r="M514" s="3">
        <f>IF(+L514/K514&gt;1.3,1.3,L514/K514)</f>
        <v>1.1724999999999999</v>
      </c>
      <c r="N514" s="3">
        <f>+L514/K514</f>
        <v>1.1724999999999999</v>
      </c>
      <c r="O514" s="3" t="s">
        <v>58</v>
      </c>
      <c r="P514" s="3" t="s">
        <v>58</v>
      </c>
      <c r="Q514" s="3" t="str">
        <f t="shared" si="71"/>
        <v>148-2026-01-01</v>
      </c>
      <c r="R514" s="3">
        <v>0</v>
      </c>
      <c r="S514" s="3">
        <v>1</v>
      </c>
      <c r="T514" s="3" t="s">
        <v>484</v>
      </c>
      <c r="U514" s="3" t="s">
        <v>37</v>
      </c>
      <c r="V514" s="3" t="s">
        <v>105</v>
      </c>
      <c r="W514" s="3" t="s">
        <v>73</v>
      </c>
      <c r="X514" s="3" t="s">
        <v>74</v>
      </c>
      <c r="Y514" s="3" t="s">
        <v>585</v>
      </c>
      <c r="Z514" s="3" t="s">
        <v>76</v>
      </c>
      <c r="AA514" s="3" t="s">
        <v>77</v>
      </c>
      <c r="AB514" s="3" t="s">
        <v>43</v>
      </c>
      <c r="AC514" s="3" t="s">
        <v>31</v>
      </c>
      <c r="AD514" s="3">
        <v>0</v>
      </c>
    </row>
    <row r="515" spans="1:30" x14ac:dyDescent="0.3">
      <c r="A515" s="3">
        <v>193</v>
      </c>
      <c r="B515" s="13" t="s">
        <v>478</v>
      </c>
      <c r="C515" s="3" t="s">
        <v>30</v>
      </c>
      <c r="D515" s="3" t="s">
        <v>31</v>
      </c>
      <c r="E515" s="3" t="s">
        <v>32</v>
      </c>
      <c r="F515" s="12">
        <v>46023</v>
      </c>
      <c r="G515" s="3">
        <v>2026</v>
      </c>
      <c r="H515" s="3" t="s">
        <v>484</v>
      </c>
      <c r="I515" s="3" t="s">
        <v>484</v>
      </c>
      <c r="J515" s="3"/>
      <c r="K515" s="3">
        <v>94</v>
      </c>
      <c r="L515" s="3">
        <v>95</v>
      </c>
      <c r="M515" s="3">
        <f>+L515/K515</f>
        <v>1.0106382978723405</v>
      </c>
      <c r="N515" s="3">
        <f>+L515/K515</f>
        <v>1.0106382978723405</v>
      </c>
      <c r="O515" s="3" t="s">
        <v>58</v>
      </c>
      <c r="P515" s="3" t="s">
        <v>58</v>
      </c>
      <c r="Q515" s="3" t="str">
        <f t="shared" ref="Q515:Q578" si="89">A515&amp;"-"&amp;YEAR(F515)&amp;"-"&amp;IF(LEN(MONTH(F515))=1,"0"&amp;MONTH(F515),MONTH(F515))&amp;"-"&amp;IF(LEN(DAY(F515))=1,"0"&amp;DAY(F515),DAY(F515))</f>
        <v>193-2026-01-01</v>
      </c>
      <c r="R515" s="3">
        <v>1</v>
      </c>
      <c r="S515" s="3">
        <v>1</v>
      </c>
      <c r="T515" s="3" t="s">
        <v>484</v>
      </c>
      <c r="U515" s="3" t="s">
        <v>37</v>
      </c>
      <c r="V515" s="3" t="s">
        <v>30</v>
      </c>
      <c r="W515" s="3" t="s">
        <v>112</v>
      </c>
      <c r="X515" s="3" t="s">
        <v>113</v>
      </c>
      <c r="Y515" s="3" t="s">
        <v>114</v>
      </c>
      <c r="Z515" s="3" t="s">
        <v>63</v>
      </c>
      <c r="AA515" s="3" t="s">
        <v>115</v>
      </c>
      <c r="AB515" s="3" t="s">
        <v>65</v>
      </c>
      <c r="AC515" s="3" t="s">
        <v>31</v>
      </c>
      <c r="AD515" s="3">
        <v>0</v>
      </c>
    </row>
    <row r="516" spans="1:30" x14ac:dyDescent="0.3">
      <c r="A516" s="3">
        <v>194</v>
      </c>
      <c r="B516" s="3" t="s">
        <v>121</v>
      </c>
      <c r="C516" s="3" t="s">
        <v>30</v>
      </c>
      <c r="D516" s="3" t="s">
        <v>31</v>
      </c>
      <c r="E516" s="3" t="s">
        <v>32</v>
      </c>
      <c r="F516" s="12">
        <v>46023</v>
      </c>
      <c r="G516" s="3">
        <v>2026</v>
      </c>
      <c r="H516" s="3" t="s">
        <v>484</v>
      </c>
      <c r="I516" s="3" t="s">
        <v>484</v>
      </c>
      <c r="J516" s="3"/>
      <c r="K516" s="3">
        <v>85</v>
      </c>
      <c r="L516" s="3">
        <v>89.9</v>
      </c>
      <c r="M516" s="3">
        <f t="shared" ref="M516" si="90">+L516/K516</f>
        <v>1.0576470588235294</v>
      </c>
      <c r="N516" s="3">
        <f t="shared" ref="N516" si="91">+L516/K516</f>
        <v>1.0576470588235294</v>
      </c>
      <c r="O516" s="3" t="s">
        <v>58</v>
      </c>
      <c r="P516" s="3" t="s">
        <v>58</v>
      </c>
      <c r="Q516" s="3" t="str">
        <f t="shared" si="89"/>
        <v>194-2026-01-01</v>
      </c>
      <c r="R516" s="3">
        <v>0</v>
      </c>
      <c r="S516" s="3">
        <v>0</v>
      </c>
      <c r="T516" s="3" t="s">
        <v>484</v>
      </c>
      <c r="U516" s="3" t="s">
        <v>37</v>
      </c>
      <c r="V516" s="3" t="s">
        <v>30</v>
      </c>
      <c r="W516" s="3" t="s">
        <v>112</v>
      </c>
      <c r="X516" s="3" t="s">
        <v>113</v>
      </c>
      <c r="Y516" s="3" t="s">
        <v>123</v>
      </c>
      <c r="Z516" s="3" t="s">
        <v>41</v>
      </c>
      <c r="AA516" s="3" t="s">
        <v>124</v>
      </c>
      <c r="AB516" s="3" t="s">
        <v>43</v>
      </c>
      <c r="AC516" s="3" t="s">
        <v>66</v>
      </c>
      <c r="AD516" s="3">
        <v>0</v>
      </c>
    </row>
    <row r="517" spans="1:30" x14ac:dyDescent="0.3">
      <c r="A517" s="14">
        <v>200</v>
      </c>
      <c r="B517" s="3" t="s">
        <v>129</v>
      </c>
      <c r="C517" s="3" t="s">
        <v>130</v>
      </c>
      <c r="D517" s="3" t="s">
        <v>66</v>
      </c>
      <c r="E517" s="3" t="s">
        <v>32</v>
      </c>
      <c r="F517" s="12">
        <v>46023</v>
      </c>
      <c r="G517" s="3">
        <v>2026</v>
      </c>
      <c r="H517" s="3" t="s">
        <v>484</v>
      </c>
      <c r="I517" s="3" t="s">
        <v>484</v>
      </c>
      <c r="J517" s="3"/>
      <c r="K517" s="3">
        <v>80</v>
      </c>
      <c r="L517" s="3">
        <v>87.4</v>
      </c>
      <c r="M517" s="3">
        <f>+L517/K517</f>
        <v>1.0925</v>
      </c>
      <c r="N517" s="3">
        <v>1.0925</v>
      </c>
      <c r="O517" s="3" t="s">
        <v>58</v>
      </c>
      <c r="P517" s="3" t="s">
        <v>58</v>
      </c>
      <c r="Q517" s="3" t="str">
        <f t="shared" si="89"/>
        <v>200-2026-01-01</v>
      </c>
      <c r="R517" s="3">
        <v>0</v>
      </c>
      <c r="S517" s="3">
        <v>1</v>
      </c>
      <c r="T517" s="3" t="s">
        <v>484</v>
      </c>
      <c r="U517" s="3" t="s">
        <v>37</v>
      </c>
      <c r="V517" s="3" t="s">
        <v>130</v>
      </c>
      <c r="W517" s="3" t="s">
        <v>60</v>
      </c>
      <c r="X517" s="3" t="s">
        <v>100</v>
      </c>
      <c r="Y517" s="3" t="s">
        <v>133</v>
      </c>
      <c r="Z517" s="3" t="s">
        <v>134</v>
      </c>
      <c r="AA517" s="3" t="s">
        <v>135</v>
      </c>
      <c r="AB517" s="3" t="s">
        <v>43</v>
      </c>
      <c r="AC517" s="3" t="s">
        <v>66</v>
      </c>
      <c r="AD517" s="3">
        <v>0</v>
      </c>
    </row>
    <row r="518" spans="1:30" x14ac:dyDescent="0.3">
      <c r="A518" s="3">
        <v>202</v>
      </c>
      <c r="B518" s="3" t="s">
        <v>137</v>
      </c>
      <c r="C518" s="3" t="s">
        <v>130</v>
      </c>
      <c r="D518" s="3" t="s">
        <v>66</v>
      </c>
      <c r="E518" s="3" t="s">
        <v>32</v>
      </c>
      <c r="F518" s="12">
        <v>46023</v>
      </c>
      <c r="G518" s="3">
        <v>2026</v>
      </c>
      <c r="H518" s="3" t="s">
        <v>484</v>
      </c>
      <c r="I518" s="3" t="s">
        <v>484</v>
      </c>
      <c r="J518" s="3"/>
      <c r="K518" s="3">
        <v>68.7</v>
      </c>
      <c r="L518" s="3">
        <v>81</v>
      </c>
      <c r="M518" s="3">
        <f>+L518/K518</f>
        <v>1.1790393013100435</v>
      </c>
      <c r="N518" s="3">
        <f>+L518/K518</f>
        <v>1.1790393013100435</v>
      </c>
      <c r="O518" s="3" t="s">
        <v>245</v>
      </c>
      <c r="P518" s="3" t="s">
        <v>35</v>
      </c>
      <c r="Q518" s="3" t="str">
        <f t="shared" si="89"/>
        <v>202-2026-01-01</v>
      </c>
      <c r="R518" s="3">
        <v>1</v>
      </c>
      <c r="S518" s="3">
        <v>1</v>
      </c>
      <c r="T518" s="3" t="s">
        <v>484</v>
      </c>
      <c r="U518" s="3" t="s">
        <v>37</v>
      </c>
      <c r="V518" s="3" t="s">
        <v>130</v>
      </c>
      <c r="W518" s="3" t="s">
        <v>60</v>
      </c>
      <c r="X518" s="3" t="s">
        <v>100</v>
      </c>
      <c r="Y518" s="3" t="s">
        <v>139</v>
      </c>
      <c r="Z518" s="3" t="s">
        <v>63</v>
      </c>
      <c r="AA518" s="3" t="s">
        <v>115</v>
      </c>
      <c r="AB518" s="3" t="s">
        <v>43</v>
      </c>
      <c r="AC518" s="3" t="s">
        <v>66</v>
      </c>
      <c r="AD518" s="3">
        <v>0</v>
      </c>
    </row>
    <row r="519" spans="1:30" x14ac:dyDescent="0.3">
      <c r="A519" s="3">
        <v>203</v>
      </c>
      <c r="B519" s="3" t="s">
        <v>141</v>
      </c>
      <c r="C519" s="3" t="s">
        <v>142</v>
      </c>
      <c r="D519" s="3" t="s">
        <v>31</v>
      </c>
      <c r="E519" s="3" t="s">
        <v>32</v>
      </c>
      <c r="F519" s="12">
        <v>46023</v>
      </c>
      <c r="G519" s="3">
        <v>2026</v>
      </c>
      <c r="H519" s="3" t="s">
        <v>484</v>
      </c>
      <c r="I519" s="3" t="s">
        <v>484</v>
      </c>
      <c r="J519" s="3"/>
      <c r="K519" s="3">
        <f>+K203+K206+K209+K479</f>
        <v>1088227.5892360001</v>
      </c>
      <c r="L519" s="3">
        <f>+L203+L206+L209+L479</f>
        <v>1146226.222453973</v>
      </c>
      <c r="M519" s="3">
        <f t="shared" ref="M519" si="92">+L519/K519</f>
        <v>1.053296418682687</v>
      </c>
      <c r="N519" s="3">
        <f t="shared" ref="N519" si="93">+L519/K519</f>
        <v>1.053296418682687</v>
      </c>
      <c r="O519" s="3" t="s">
        <v>143</v>
      </c>
      <c r="P519" s="3" t="s">
        <v>143</v>
      </c>
      <c r="Q519" s="3" t="str">
        <f t="shared" si="89"/>
        <v>203-2026-01-01</v>
      </c>
      <c r="R519" s="3">
        <v>0</v>
      </c>
      <c r="S519" s="3">
        <v>0</v>
      </c>
      <c r="T519" s="3" t="s">
        <v>484</v>
      </c>
      <c r="U519" s="3" t="s">
        <v>37</v>
      </c>
      <c r="V519" s="3" t="s">
        <v>142</v>
      </c>
      <c r="W519" s="3" t="s">
        <v>145</v>
      </c>
      <c r="X519" s="3" t="s">
        <v>146</v>
      </c>
      <c r="Y519" s="3" t="s">
        <v>147</v>
      </c>
      <c r="Z519" s="3" t="s">
        <v>63</v>
      </c>
      <c r="AA519" s="3" t="s">
        <v>148</v>
      </c>
      <c r="AB519" s="3" t="s">
        <v>78</v>
      </c>
      <c r="AC519" s="3" t="s">
        <v>66</v>
      </c>
      <c r="AD519" s="3">
        <v>0</v>
      </c>
    </row>
    <row r="520" spans="1:30" x14ac:dyDescent="0.3">
      <c r="A520" s="3">
        <v>204</v>
      </c>
      <c r="B520" s="3" t="s">
        <v>154</v>
      </c>
      <c r="C520" s="3" t="s">
        <v>142</v>
      </c>
      <c r="D520" s="3" t="s">
        <v>31</v>
      </c>
      <c r="E520" s="3" t="s">
        <v>32</v>
      </c>
      <c r="F520" s="12">
        <v>46023</v>
      </c>
      <c r="G520" s="3">
        <v>2026</v>
      </c>
      <c r="H520" s="3" t="s">
        <v>484</v>
      </c>
      <c r="I520" s="3" t="s">
        <v>484</v>
      </c>
      <c r="J520" s="3"/>
      <c r="K520" s="3"/>
      <c r="L520" s="3">
        <f>128448131182/1000000</f>
        <v>128448.131182</v>
      </c>
      <c r="M520" s="3"/>
      <c r="N520" s="3"/>
      <c r="O520" s="3" t="s">
        <v>143</v>
      </c>
      <c r="P520" s="3" t="s">
        <v>143</v>
      </c>
      <c r="Q520" s="3" t="str">
        <f t="shared" si="89"/>
        <v>204-2026-01-01</v>
      </c>
      <c r="R520" s="3">
        <v>0</v>
      </c>
      <c r="S520" s="3">
        <v>0</v>
      </c>
      <c r="T520" s="3" t="s">
        <v>484</v>
      </c>
      <c r="U520" s="3" t="s">
        <v>37</v>
      </c>
      <c r="V520" s="3" t="s">
        <v>142</v>
      </c>
      <c r="W520" s="3" t="s">
        <v>145</v>
      </c>
      <c r="X520" s="3" t="s">
        <v>146</v>
      </c>
      <c r="Y520" s="3" t="s">
        <v>147</v>
      </c>
      <c r="Z520" s="3" t="s">
        <v>63</v>
      </c>
      <c r="AA520" s="3" t="s">
        <v>148</v>
      </c>
      <c r="AB520" s="3" t="s">
        <v>43</v>
      </c>
      <c r="AC520" s="3" t="s">
        <v>66</v>
      </c>
      <c r="AD520" s="3">
        <v>0</v>
      </c>
    </row>
    <row r="521" spans="1:30" x14ac:dyDescent="0.3">
      <c r="A521" s="3">
        <v>205</v>
      </c>
      <c r="B521" s="3" t="s">
        <v>161</v>
      </c>
      <c r="C521" s="3" t="s">
        <v>142</v>
      </c>
      <c r="D521" s="3" t="s">
        <v>31</v>
      </c>
      <c r="E521" s="3" t="s">
        <v>32</v>
      </c>
      <c r="F521" s="12">
        <v>46023</v>
      </c>
      <c r="G521" s="3">
        <v>2026</v>
      </c>
      <c r="H521" s="3" t="s">
        <v>484</v>
      </c>
      <c r="I521" s="3" t="s">
        <v>484</v>
      </c>
      <c r="J521" s="3"/>
      <c r="K521" s="3">
        <v>4684</v>
      </c>
      <c r="L521" s="3">
        <v>4684</v>
      </c>
      <c r="M521" s="3">
        <v>1.3</v>
      </c>
      <c r="N521" s="3">
        <v>1.8631019332578229</v>
      </c>
      <c r="O521" s="3" t="s">
        <v>143</v>
      </c>
      <c r="P521" s="3" t="s">
        <v>143</v>
      </c>
      <c r="Q521" s="3" t="str">
        <f t="shared" si="89"/>
        <v>205-2026-01-01</v>
      </c>
      <c r="R521" s="3">
        <v>0</v>
      </c>
      <c r="S521" s="3">
        <v>0</v>
      </c>
      <c r="T521" s="3" t="s">
        <v>484</v>
      </c>
      <c r="U521" s="3" t="s">
        <v>37</v>
      </c>
      <c r="V521" s="3" t="s">
        <v>142</v>
      </c>
      <c r="W521" s="3" t="s">
        <v>145</v>
      </c>
      <c r="X521" s="3" t="s">
        <v>146</v>
      </c>
      <c r="Y521" s="3" t="s">
        <v>147</v>
      </c>
      <c r="Z521" s="3" t="s">
        <v>63</v>
      </c>
      <c r="AA521" s="3" t="s">
        <v>148</v>
      </c>
      <c r="AB521" s="3" t="s">
        <v>78</v>
      </c>
      <c r="AC521" s="3" t="s">
        <v>66</v>
      </c>
      <c r="AD521" s="3">
        <v>0</v>
      </c>
    </row>
    <row r="522" spans="1:30" x14ac:dyDescent="0.3">
      <c r="A522" s="3">
        <v>244</v>
      </c>
      <c r="B522" s="3" t="s">
        <v>182</v>
      </c>
      <c r="C522" s="3" t="s">
        <v>177</v>
      </c>
      <c r="D522" s="3" t="s">
        <v>66</v>
      </c>
      <c r="E522" s="3" t="s">
        <v>171</v>
      </c>
      <c r="F522" s="12">
        <v>46023</v>
      </c>
      <c r="G522" s="3">
        <v>2026</v>
      </c>
      <c r="H522" s="3" t="s">
        <v>484</v>
      </c>
      <c r="I522" s="3" t="s">
        <v>484</v>
      </c>
      <c r="J522" s="3"/>
      <c r="K522" s="3">
        <v>25</v>
      </c>
      <c r="L522" s="3">
        <v>13</v>
      </c>
      <c r="M522" s="3">
        <f>IF(K522/L522&gt;1.3,1.3,K522/L522)</f>
        <v>1.3</v>
      </c>
      <c r="N522" s="3">
        <f>+K522/L522</f>
        <v>1.9230769230769231</v>
      </c>
      <c r="O522" s="3" t="s">
        <v>35</v>
      </c>
      <c r="P522" s="3" t="s">
        <v>35</v>
      </c>
      <c r="Q522" s="3" t="str">
        <f t="shared" si="89"/>
        <v>244-2026-01-01</v>
      </c>
      <c r="R522" s="3">
        <v>0</v>
      </c>
      <c r="S522" s="3">
        <v>0</v>
      </c>
      <c r="T522" s="3" t="s">
        <v>484</v>
      </c>
      <c r="U522" s="3" t="s">
        <v>37</v>
      </c>
      <c r="V522" s="3" t="s">
        <v>177</v>
      </c>
      <c r="W522" s="3" t="s">
        <v>145</v>
      </c>
      <c r="X522" s="3" t="s">
        <v>179</v>
      </c>
      <c r="Y522" s="3" t="s">
        <v>180</v>
      </c>
      <c r="Z522" s="3" t="s">
        <v>63</v>
      </c>
      <c r="AA522" s="3" t="s">
        <v>64</v>
      </c>
      <c r="AB522" s="3" t="s">
        <v>43</v>
      </c>
      <c r="AC522" s="3" t="s">
        <v>66</v>
      </c>
      <c r="AD522" s="3">
        <v>0</v>
      </c>
    </row>
    <row r="523" spans="1:30" x14ac:dyDescent="0.3">
      <c r="A523" s="3">
        <v>245</v>
      </c>
      <c r="B523" s="3" t="s">
        <v>185</v>
      </c>
      <c r="C523" s="3" t="s">
        <v>186</v>
      </c>
      <c r="D523" s="3" t="s">
        <v>31</v>
      </c>
      <c r="E523" s="3" t="s">
        <v>32</v>
      </c>
      <c r="F523" s="12">
        <v>46023</v>
      </c>
      <c r="G523" s="3">
        <v>2026</v>
      </c>
      <c r="H523" s="3" t="s">
        <v>484</v>
      </c>
      <c r="I523" s="3" t="s">
        <v>484</v>
      </c>
      <c r="J523" s="3"/>
      <c r="K523" s="3">
        <v>86.1</v>
      </c>
      <c r="L523" s="3">
        <v>86.2</v>
      </c>
      <c r="M523" s="3">
        <f t="shared" ref="M523:M524" si="94">+L523/K523</f>
        <v>1.0011614401858304</v>
      </c>
      <c r="N523" s="3">
        <f t="shared" ref="N523:N524" si="95">+L523/K523</f>
        <v>1.0011614401858304</v>
      </c>
      <c r="O523" s="3" t="s">
        <v>58</v>
      </c>
      <c r="P523" s="3" t="s">
        <v>58</v>
      </c>
      <c r="Q523" s="3" t="str">
        <f t="shared" si="89"/>
        <v>245-2026-01-01</v>
      </c>
      <c r="R523" s="3">
        <v>1</v>
      </c>
      <c r="S523" s="3">
        <v>1</v>
      </c>
      <c r="T523" s="3" t="s">
        <v>484</v>
      </c>
      <c r="U523" s="3" t="s">
        <v>37</v>
      </c>
      <c r="V523" s="3" t="s">
        <v>186</v>
      </c>
      <c r="W523" s="3" t="s">
        <v>112</v>
      </c>
      <c r="X523" s="3" t="s">
        <v>113</v>
      </c>
      <c r="Y523" s="3" t="s">
        <v>123</v>
      </c>
      <c r="Z523" s="3" t="s">
        <v>41</v>
      </c>
      <c r="AA523" s="3" t="s">
        <v>42</v>
      </c>
      <c r="AB523" s="3" t="s">
        <v>65</v>
      </c>
      <c r="AC523" s="3" t="s">
        <v>31</v>
      </c>
      <c r="AD523" s="3">
        <v>0</v>
      </c>
    </row>
    <row r="524" spans="1:30" x14ac:dyDescent="0.3">
      <c r="A524" s="3">
        <v>274</v>
      </c>
      <c r="B524" s="3" t="s">
        <v>480</v>
      </c>
      <c r="C524" s="3" t="s">
        <v>194</v>
      </c>
      <c r="D524" s="3" t="s">
        <v>31</v>
      </c>
      <c r="E524" s="3" t="s">
        <v>32</v>
      </c>
      <c r="F524" s="12">
        <v>46023</v>
      </c>
      <c r="G524" s="3">
        <v>2026</v>
      </c>
      <c r="H524" s="3" t="s">
        <v>484</v>
      </c>
      <c r="I524" s="3" t="s">
        <v>484</v>
      </c>
      <c r="J524" s="3"/>
      <c r="K524" s="3">
        <v>44737</v>
      </c>
      <c r="L524" s="11">
        <v>45646</v>
      </c>
      <c r="M524" s="3">
        <f t="shared" si="94"/>
        <v>1.02031875181617</v>
      </c>
      <c r="N524" s="3">
        <f t="shared" si="95"/>
        <v>1.02031875181617</v>
      </c>
      <c r="O524" s="3" t="s">
        <v>35</v>
      </c>
      <c r="P524" s="3" t="s">
        <v>35</v>
      </c>
      <c r="Q524" s="3" t="str">
        <f t="shared" si="89"/>
        <v>274-2026-01-01</v>
      </c>
      <c r="R524" s="3">
        <v>0</v>
      </c>
      <c r="S524" s="3">
        <v>0</v>
      </c>
      <c r="T524" s="3" t="s">
        <v>484</v>
      </c>
      <c r="U524" s="3" t="s">
        <v>37</v>
      </c>
      <c r="V524" s="3" t="s">
        <v>194</v>
      </c>
      <c r="W524" s="3" t="s">
        <v>38</v>
      </c>
      <c r="X524" s="3" t="s">
        <v>39</v>
      </c>
      <c r="Y524" s="3" t="s">
        <v>40</v>
      </c>
      <c r="Z524" s="3" t="s">
        <v>41</v>
      </c>
      <c r="AA524" s="3" t="s">
        <v>42</v>
      </c>
      <c r="AB524" s="3" t="s">
        <v>78</v>
      </c>
      <c r="AC524" s="3" t="s">
        <v>31</v>
      </c>
      <c r="AD524" s="3">
        <v>0</v>
      </c>
    </row>
    <row r="525" spans="1:30" x14ac:dyDescent="0.3">
      <c r="A525" s="3">
        <v>276</v>
      </c>
      <c r="B525" s="3" t="s">
        <v>201</v>
      </c>
      <c r="C525" s="3" t="s">
        <v>202</v>
      </c>
      <c r="D525" s="3" t="s">
        <v>31</v>
      </c>
      <c r="E525" s="3" t="s">
        <v>171</v>
      </c>
      <c r="F525" s="12">
        <v>46023</v>
      </c>
      <c r="G525" s="3">
        <v>2026</v>
      </c>
      <c r="H525" s="3" t="s">
        <v>484</v>
      </c>
      <c r="I525" s="3" t="s">
        <v>484</v>
      </c>
      <c r="J525" s="3"/>
      <c r="K525" s="3">
        <v>81</v>
      </c>
      <c r="L525" s="3">
        <v>82.81</v>
      </c>
      <c r="M525" s="3">
        <f t="shared" ref="M525:M526" si="96">+K525/L525</f>
        <v>0.97814273638449456</v>
      </c>
      <c r="N525" s="3">
        <f t="shared" ref="N525:N526" si="97">+K525/L525</f>
        <v>0.97814273638449456</v>
      </c>
      <c r="O525" s="3" t="s">
        <v>35</v>
      </c>
      <c r="P525" s="3" t="s">
        <v>245</v>
      </c>
      <c r="Q525" s="3" t="str">
        <f t="shared" si="89"/>
        <v>276-2026-01-01</v>
      </c>
      <c r="R525" s="3">
        <v>0</v>
      </c>
      <c r="S525" s="3">
        <v>1</v>
      </c>
      <c r="T525" s="3" t="s">
        <v>484</v>
      </c>
      <c r="U525" s="3" t="s">
        <v>37</v>
      </c>
      <c r="V525" s="3" t="s">
        <v>202</v>
      </c>
      <c r="W525" s="3" t="s">
        <v>73</v>
      </c>
      <c r="X525" s="3" t="s">
        <v>74</v>
      </c>
      <c r="Y525" s="3" t="s">
        <v>585</v>
      </c>
      <c r="Z525" s="3" t="s">
        <v>86</v>
      </c>
      <c r="AA525" s="3" t="s">
        <v>204</v>
      </c>
      <c r="AB525" s="3" t="s">
        <v>65</v>
      </c>
      <c r="AC525" s="3" t="s">
        <v>31</v>
      </c>
      <c r="AD525" s="3">
        <v>0</v>
      </c>
    </row>
    <row r="526" spans="1:30" x14ac:dyDescent="0.3">
      <c r="A526" s="3">
        <v>277</v>
      </c>
      <c r="B526" s="3" t="s">
        <v>210</v>
      </c>
      <c r="C526" s="3" t="s">
        <v>202</v>
      </c>
      <c r="D526" s="3" t="s">
        <v>31</v>
      </c>
      <c r="E526" s="3" t="s">
        <v>171</v>
      </c>
      <c r="F526" s="12">
        <v>46023</v>
      </c>
      <c r="G526" s="3">
        <v>2026</v>
      </c>
      <c r="H526" s="3" t="s">
        <v>484</v>
      </c>
      <c r="I526" s="3" t="s">
        <v>484</v>
      </c>
      <c r="J526" s="3"/>
      <c r="K526" s="3">
        <v>71</v>
      </c>
      <c r="L526" s="3">
        <v>68.400000000000006</v>
      </c>
      <c r="M526" s="3">
        <f t="shared" si="96"/>
        <v>1.0380116959064327</v>
      </c>
      <c r="N526" s="3">
        <f t="shared" si="97"/>
        <v>1.0380116959064327</v>
      </c>
      <c r="O526" s="3" t="s">
        <v>35</v>
      </c>
      <c r="P526" s="3" t="s">
        <v>245</v>
      </c>
      <c r="Q526" s="3" t="str">
        <f t="shared" si="89"/>
        <v>277-2026-01-01</v>
      </c>
      <c r="R526" s="3">
        <v>1</v>
      </c>
      <c r="S526" s="3">
        <v>1</v>
      </c>
      <c r="T526" s="3" t="s">
        <v>484</v>
      </c>
      <c r="U526" s="3" t="s">
        <v>37</v>
      </c>
      <c r="V526" s="3" t="s">
        <v>202</v>
      </c>
      <c r="W526" s="3" t="s">
        <v>73</v>
      </c>
      <c r="X526" s="3" t="s">
        <v>74</v>
      </c>
      <c r="Y526" s="3" t="s">
        <v>585</v>
      </c>
      <c r="Z526" s="3" t="s">
        <v>86</v>
      </c>
      <c r="AA526" s="3" t="s">
        <v>204</v>
      </c>
      <c r="AB526" s="3" t="s">
        <v>65</v>
      </c>
      <c r="AC526" s="3" t="s">
        <v>31</v>
      </c>
      <c r="AD526" s="3">
        <v>0</v>
      </c>
    </row>
    <row r="527" spans="1:30" x14ac:dyDescent="0.3">
      <c r="A527" s="3">
        <v>332</v>
      </c>
      <c r="B527" s="3" t="s">
        <v>239</v>
      </c>
      <c r="C527" s="3" t="s">
        <v>130</v>
      </c>
      <c r="D527" s="3" t="s">
        <v>31</v>
      </c>
      <c r="E527" s="3" t="s">
        <v>171</v>
      </c>
      <c r="F527" s="12">
        <v>46023</v>
      </c>
      <c r="G527" s="3">
        <v>2026</v>
      </c>
      <c r="H527" s="3" t="s">
        <v>484</v>
      </c>
      <c r="I527" s="3" t="s">
        <v>484</v>
      </c>
      <c r="J527" s="3"/>
      <c r="K527" s="3">
        <v>1.4</v>
      </c>
      <c r="L527" s="3">
        <v>0.85</v>
      </c>
      <c r="M527" s="3">
        <v>1.3</v>
      </c>
      <c r="N527" s="3">
        <v>1.6470588235294119</v>
      </c>
      <c r="O527" s="3" t="s">
        <v>245</v>
      </c>
      <c r="P527" s="3" t="s">
        <v>245</v>
      </c>
      <c r="Q527" s="3" t="str">
        <f t="shared" si="89"/>
        <v>332-2026-01-01</v>
      </c>
      <c r="R527" s="3">
        <v>2</v>
      </c>
      <c r="S527" s="3">
        <v>2</v>
      </c>
      <c r="T527" s="3" t="s">
        <v>484</v>
      </c>
      <c r="U527" s="3" t="s">
        <v>37</v>
      </c>
      <c r="V527" s="3" t="s">
        <v>130</v>
      </c>
      <c r="W527" s="3" t="s">
        <v>60</v>
      </c>
      <c r="X527" s="3" t="s">
        <v>100</v>
      </c>
      <c r="Y527" s="3" t="s">
        <v>586</v>
      </c>
      <c r="Z527" s="3" t="s">
        <v>134</v>
      </c>
      <c r="AA527" s="3" t="s">
        <v>135</v>
      </c>
      <c r="AB527" s="3" t="s">
        <v>65</v>
      </c>
      <c r="AC527" s="3" t="s">
        <v>66</v>
      </c>
      <c r="AD527" s="3">
        <v>0</v>
      </c>
    </row>
    <row r="528" spans="1:30" x14ac:dyDescent="0.3">
      <c r="A528" s="3">
        <v>364</v>
      </c>
      <c r="B528" s="3" t="s">
        <v>271</v>
      </c>
      <c r="C528" s="3" t="s">
        <v>267</v>
      </c>
      <c r="D528" s="3" t="s">
        <v>31</v>
      </c>
      <c r="E528" s="3" t="s">
        <v>171</v>
      </c>
      <c r="F528" s="12">
        <v>46023</v>
      </c>
      <c r="G528" s="3">
        <v>2026</v>
      </c>
      <c r="H528" s="3" t="s">
        <v>484</v>
      </c>
      <c r="I528" s="3" t="s">
        <v>484</v>
      </c>
      <c r="J528" s="3"/>
      <c r="K528" s="3">
        <f>+K369+K501</f>
        <v>162432</v>
      </c>
      <c r="L528" s="3">
        <f>+L369+L501</f>
        <v>158937</v>
      </c>
      <c r="M528" s="3">
        <f t="shared" ref="M528" si="98">+L528/K528</f>
        <v>0.97848330378250592</v>
      </c>
      <c r="N528" s="3">
        <f t="shared" ref="N528" si="99">+L528/K528</f>
        <v>0.97848330378250592</v>
      </c>
      <c r="O528" s="3" t="s">
        <v>35</v>
      </c>
      <c r="P528" s="3" t="s">
        <v>35</v>
      </c>
      <c r="Q528" s="3" t="str">
        <f t="shared" si="89"/>
        <v>364-2026-01-01</v>
      </c>
      <c r="R528" s="3">
        <v>0</v>
      </c>
      <c r="S528" s="3">
        <v>0</v>
      </c>
      <c r="T528" s="3" t="s">
        <v>484</v>
      </c>
      <c r="U528" s="3" t="s">
        <v>37</v>
      </c>
      <c r="V528" s="3" t="s">
        <v>267</v>
      </c>
      <c r="W528" s="3" t="s">
        <v>145</v>
      </c>
      <c r="X528" s="3" t="s">
        <v>179</v>
      </c>
      <c r="Y528" s="3" t="s">
        <v>273</v>
      </c>
      <c r="Z528" s="3" t="s">
        <v>274</v>
      </c>
      <c r="AA528" s="3" t="s">
        <v>275</v>
      </c>
      <c r="AB528" s="3" t="s">
        <v>78</v>
      </c>
      <c r="AC528" s="3" t="s">
        <v>66</v>
      </c>
      <c r="AD528" s="3">
        <v>0</v>
      </c>
    </row>
    <row r="529" spans="1:30" x14ac:dyDescent="0.3">
      <c r="A529" s="3">
        <v>367</v>
      </c>
      <c r="B529" s="3" t="s">
        <v>481</v>
      </c>
      <c r="C529" s="3" t="s">
        <v>267</v>
      </c>
      <c r="D529" s="3" t="s">
        <v>66</v>
      </c>
      <c r="E529" s="3" t="s">
        <v>32</v>
      </c>
      <c r="F529" s="12">
        <v>46023</v>
      </c>
      <c r="G529" s="3">
        <v>2026</v>
      </c>
      <c r="H529" s="3" t="s">
        <v>484</v>
      </c>
      <c r="I529" s="3" t="s">
        <v>484</v>
      </c>
      <c r="J529" s="3"/>
      <c r="K529" s="3">
        <v>5</v>
      </c>
      <c r="L529" s="3">
        <v>5.43</v>
      </c>
      <c r="M529" s="3">
        <f>+L529/K529</f>
        <v>1.0859999999999999</v>
      </c>
      <c r="N529" s="3">
        <f>+L529/K529</f>
        <v>1.0859999999999999</v>
      </c>
      <c r="O529" s="3" t="s">
        <v>58</v>
      </c>
      <c r="P529" s="3" t="s">
        <v>58</v>
      </c>
      <c r="Q529" s="3" t="str">
        <f t="shared" si="89"/>
        <v>367-2026-01-01</v>
      </c>
      <c r="R529" s="3">
        <v>1</v>
      </c>
      <c r="S529" s="3">
        <v>2</v>
      </c>
      <c r="T529" s="3" t="s">
        <v>484</v>
      </c>
      <c r="U529" s="3" t="s">
        <v>37</v>
      </c>
      <c r="V529" s="3" t="s">
        <v>267</v>
      </c>
      <c r="W529" s="3" t="s">
        <v>145</v>
      </c>
      <c r="X529" s="3" t="s">
        <v>179</v>
      </c>
      <c r="Y529" s="3" t="s">
        <v>281</v>
      </c>
      <c r="Z529" s="3" t="s">
        <v>41</v>
      </c>
      <c r="AA529" s="3" t="s">
        <v>42</v>
      </c>
      <c r="AB529" s="3" t="s">
        <v>43</v>
      </c>
      <c r="AC529" s="3" t="s">
        <v>66</v>
      </c>
      <c r="AD529" s="3">
        <v>0</v>
      </c>
    </row>
    <row r="530" spans="1:30" x14ac:dyDescent="0.3">
      <c r="A530" s="3">
        <v>369</v>
      </c>
      <c r="B530" s="3" t="s">
        <v>283</v>
      </c>
      <c r="C530" s="3" t="s">
        <v>267</v>
      </c>
      <c r="D530" s="3" t="s">
        <v>31</v>
      </c>
      <c r="E530" s="3" t="s">
        <v>32</v>
      </c>
      <c r="F530" s="12">
        <v>46023</v>
      </c>
      <c r="G530" s="3">
        <v>2026</v>
      </c>
      <c r="H530" s="3" t="s">
        <v>484</v>
      </c>
      <c r="I530" s="3" t="s">
        <v>484</v>
      </c>
      <c r="J530" s="3"/>
      <c r="K530" s="3">
        <f>+K502+K383</f>
        <v>378</v>
      </c>
      <c r="L530" s="3">
        <f>+L502+L383</f>
        <v>328</v>
      </c>
      <c r="M530" s="3">
        <f t="shared" ref="M530:M531" si="100">+L530/K530</f>
        <v>0.86772486772486768</v>
      </c>
      <c r="N530" s="3">
        <f>+L530/K530</f>
        <v>0.86772486772486768</v>
      </c>
      <c r="O530" s="3" t="s">
        <v>35</v>
      </c>
      <c r="P530" s="3" t="s">
        <v>35</v>
      </c>
      <c r="Q530" s="3" t="str">
        <f t="shared" si="89"/>
        <v>369-2026-01-01</v>
      </c>
      <c r="R530" s="3">
        <v>0</v>
      </c>
      <c r="S530" s="3">
        <v>0</v>
      </c>
      <c r="T530" s="3" t="s">
        <v>484</v>
      </c>
      <c r="U530" s="3" t="s">
        <v>37</v>
      </c>
      <c r="V530" s="3" t="s">
        <v>267</v>
      </c>
      <c r="W530" s="3" t="s">
        <v>145</v>
      </c>
      <c r="X530" s="3" t="s">
        <v>179</v>
      </c>
      <c r="Y530" s="3" t="s">
        <v>273</v>
      </c>
      <c r="Z530" s="3" t="s">
        <v>41</v>
      </c>
      <c r="AA530" s="3" t="s">
        <v>42</v>
      </c>
      <c r="AB530" s="3" t="s">
        <v>78</v>
      </c>
      <c r="AC530" s="3" t="s">
        <v>66</v>
      </c>
      <c r="AD530" s="3">
        <v>0</v>
      </c>
    </row>
    <row r="531" spans="1:30" x14ac:dyDescent="0.3">
      <c r="A531" s="3">
        <v>376</v>
      </c>
      <c r="B531" s="3" t="s">
        <v>473</v>
      </c>
      <c r="C531" s="3" t="s">
        <v>142</v>
      </c>
      <c r="D531" s="3" t="s">
        <v>31</v>
      </c>
      <c r="E531" s="3" t="s">
        <v>32</v>
      </c>
      <c r="F531" s="12">
        <v>46023</v>
      </c>
      <c r="G531" s="3">
        <v>2026</v>
      </c>
      <c r="H531" s="3" t="s">
        <v>484</v>
      </c>
      <c r="I531" s="3" t="s">
        <v>484</v>
      </c>
      <c r="J531" s="3"/>
      <c r="K531" s="3">
        <f>+K393+K391+K389+K387</f>
        <v>101274.06472913575</v>
      </c>
      <c r="L531" s="3">
        <f>+L393+L391+L389+L387</f>
        <v>112137.89274782965</v>
      </c>
      <c r="M531" s="3">
        <f t="shared" si="100"/>
        <v>1.1072715709372378</v>
      </c>
      <c r="N531" s="3">
        <f t="shared" ref="N531" si="101">+L531/K531</f>
        <v>1.1072715709372378</v>
      </c>
      <c r="O531" s="3" t="s">
        <v>143</v>
      </c>
      <c r="P531" s="3" t="s">
        <v>143</v>
      </c>
      <c r="Q531" s="3" t="str">
        <f t="shared" si="89"/>
        <v>376-2026-01-01</v>
      </c>
      <c r="R531" s="3">
        <v>0</v>
      </c>
      <c r="S531" s="3">
        <v>0</v>
      </c>
      <c r="T531" s="3" t="s">
        <v>484</v>
      </c>
      <c r="U531" s="3" t="s">
        <v>37</v>
      </c>
      <c r="V531" s="3" t="s">
        <v>142</v>
      </c>
      <c r="W531" s="3" t="s">
        <v>145</v>
      </c>
      <c r="X531" s="3" t="s">
        <v>146</v>
      </c>
      <c r="Y531" s="3" t="s">
        <v>147</v>
      </c>
      <c r="Z531" s="3" t="s">
        <v>63</v>
      </c>
      <c r="AA531" s="3" t="s">
        <v>148</v>
      </c>
      <c r="AB531" s="3" t="s">
        <v>78</v>
      </c>
      <c r="AC531" s="3" t="s">
        <v>66</v>
      </c>
      <c r="AD531" s="3">
        <v>0</v>
      </c>
    </row>
    <row r="532" spans="1:30" x14ac:dyDescent="0.3">
      <c r="A532" s="3">
        <v>379</v>
      </c>
      <c r="B532" s="3" t="s">
        <v>301</v>
      </c>
      <c r="C532" s="3" t="s">
        <v>302</v>
      </c>
      <c r="D532" s="3" t="s">
        <v>31</v>
      </c>
      <c r="E532" s="3" t="s">
        <v>32</v>
      </c>
      <c r="F532" s="12">
        <v>46023</v>
      </c>
      <c r="G532" s="3">
        <v>2026</v>
      </c>
      <c r="H532" s="3" t="s">
        <v>484</v>
      </c>
      <c r="I532" s="3" t="s">
        <v>484</v>
      </c>
      <c r="J532" s="3"/>
      <c r="K532" s="3">
        <f>+K413+K416+K419+K503</f>
        <v>90899</v>
      </c>
      <c r="L532" s="3">
        <f>+L413+L416+L419+L503</f>
        <v>92559</v>
      </c>
      <c r="M532" s="3">
        <f>+L532/K532</f>
        <v>1.0182620270850065</v>
      </c>
      <c r="N532" s="3">
        <f>+L532/K532</f>
        <v>1.0182620270850065</v>
      </c>
      <c r="O532" s="3" t="s">
        <v>35</v>
      </c>
      <c r="P532" s="3" t="s">
        <v>35</v>
      </c>
      <c r="Q532" s="3" t="str">
        <f t="shared" si="89"/>
        <v>379-2026-01-01</v>
      </c>
      <c r="R532" s="3">
        <v>0</v>
      </c>
      <c r="S532" s="3">
        <v>0</v>
      </c>
      <c r="T532" s="3" t="s">
        <v>484</v>
      </c>
      <c r="U532" s="3" t="s">
        <v>37</v>
      </c>
      <c r="V532" s="3" t="s">
        <v>302</v>
      </c>
      <c r="W532" s="3" t="s">
        <v>38</v>
      </c>
      <c r="X532" s="3" t="s">
        <v>39</v>
      </c>
      <c r="Y532" s="3" t="s">
        <v>40</v>
      </c>
      <c r="Z532" s="3" t="s">
        <v>41</v>
      </c>
      <c r="AA532" s="3" t="s">
        <v>42</v>
      </c>
      <c r="AB532" s="3" t="s">
        <v>78</v>
      </c>
      <c r="AC532" s="3" t="s">
        <v>31</v>
      </c>
      <c r="AD532" s="3">
        <v>0</v>
      </c>
    </row>
    <row r="533" spans="1:30" x14ac:dyDescent="0.3">
      <c r="A533" s="3">
        <v>385</v>
      </c>
      <c r="B533" s="3" t="s">
        <v>309</v>
      </c>
      <c r="C533" s="3" t="s">
        <v>310</v>
      </c>
      <c r="D533" s="3" t="s">
        <v>31</v>
      </c>
      <c r="E533" s="3" t="s">
        <v>32</v>
      </c>
      <c r="F533" s="12">
        <v>46023</v>
      </c>
      <c r="G533" s="3">
        <v>2026</v>
      </c>
      <c r="H533" s="3" t="s">
        <v>484</v>
      </c>
      <c r="I533" s="3" t="s">
        <v>484</v>
      </c>
      <c r="J533" s="3"/>
      <c r="K533" s="3">
        <f>+K484+K427+K425+K423</f>
        <v>60024.456511000004</v>
      </c>
      <c r="L533" s="3">
        <f>+L484+L427+L425+L423</f>
        <v>58331.780656999996</v>
      </c>
      <c r="M533" s="3">
        <f>L533/K533</f>
        <v>0.97180023023299156</v>
      </c>
      <c r="N533" s="3">
        <f>L533/K533</f>
        <v>0.97180023023299156</v>
      </c>
      <c r="O533" s="3" t="s">
        <v>143</v>
      </c>
      <c r="P533" s="3" t="s">
        <v>143</v>
      </c>
      <c r="Q533" s="3" t="str">
        <f t="shared" si="89"/>
        <v>385-2026-01-01</v>
      </c>
      <c r="R533" s="3">
        <v>0</v>
      </c>
      <c r="S533" s="3">
        <v>0</v>
      </c>
      <c r="T533" s="3" t="s">
        <v>484</v>
      </c>
      <c r="U533" s="3" t="s">
        <v>37</v>
      </c>
      <c r="V533" s="3" t="s">
        <v>310</v>
      </c>
      <c r="W533" s="3" t="s">
        <v>312</v>
      </c>
      <c r="X533" s="3" t="s">
        <v>313</v>
      </c>
      <c r="Y533" s="3" t="s">
        <v>314</v>
      </c>
      <c r="Z533" s="3"/>
      <c r="AA533" s="3"/>
      <c r="AB533" s="3" t="s">
        <v>43</v>
      </c>
      <c r="AC533" s="3" t="s">
        <v>66</v>
      </c>
      <c r="AD533" s="3">
        <v>0</v>
      </c>
    </row>
    <row r="534" spans="1:30" x14ac:dyDescent="0.3">
      <c r="A534" s="3" t="s">
        <v>591</v>
      </c>
      <c r="B534" s="3" t="s">
        <v>377</v>
      </c>
      <c r="C534" s="3" t="s">
        <v>310</v>
      </c>
      <c r="D534" s="3" t="s">
        <v>31</v>
      </c>
      <c r="E534" s="3" t="s">
        <v>32</v>
      </c>
      <c r="F534" s="12">
        <v>46023</v>
      </c>
      <c r="G534" s="3">
        <v>2026</v>
      </c>
      <c r="H534" s="3" t="s">
        <v>484</v>
      </c>
      <c r="I534" s="3" t="s">
        <v>484</v>
      </c>
      <c r="J534" s="3"/>
      <c r="K534" s="3">
        <f>+K483+K434+K432+K430</f>
        <v>9719.0247151999993</v>
      </c>
      <c r="L534" s="3">
        <f>+L483+L434+L432+L430</f>
        <v>12435.92103</v>
      </c>
      <c r="M534" s="3">
        <f>IF(+L534/K534&gt;1.3,1.3,L534/K534)</f>
        <v>1.2795441306524233</v>
      </c>
      <c r="N534" s="3">
        <f>+L534/K534</f>
        <v>1.2795441306524233</v>
      </c>
      <c r="O534" s="3" t="s">
        <v>143</v>
      </c>
      <c r="P534" s="3" t="s">
        <v>143</v>
      </c>
      <c r="Q534" s="3" t="str">
        <f t="shared" si="89"/>
        <v>386.1-2026-01-01</v>
      </c>
      <c r="R534" s="3">
        <v>0</v>
      </c>
      <c r="S534" s="3">
        <v>0</v>
      </c>
      <c r="T534" s="3" t="s">
        <v>484</v>
      </c>
      <c r="U534" s="3" t="s">
        <v>37</v>
      </c>
      <c r="V534" s="3" t="s">
        <v>310</v>
      </c>
      <c r="W534" s="3" t="s">
        <v>312</v>
      </c>
      <c r="X534" s="3" t="s">
        <v>313</v>
      </c>
      <c r="Y534" s="3" t="s">
        <v>314</v>
      </c>
      <c r="Z534" s="3"/>
      <c r="AA534" s="3"/>
      <c r="AB534" s="3" t="s">
        <v>78</v>
      </c>
      <c r="AC534" s="3" t="s">
        <v>66</v>
      </c>
      <c r="AD534" s="3">
        <v>0</v>
      </c>
    </row>
    <row r="535" spans="1:30" x14ac:dyDescent="0.3">
      <c r="A535" s="3" t="s">
        <v>592</v>
      </c>
      <c r="B535" s="3" t="s">
        <v>382</v>
      </c>
      <c r="C535" s="3" t="s">
        <v>310</v>
      </c>
      <c r="D535" s="3" t="s">
        <v>31</v>
      </c>
      <c r="E535" s="3" t="s">
        <v>32</v>
      </c>
      <c r="F535" s="12">
        <v>46023</v>
      </c>
      <c r="G535" s="3">
        <v>2026</v>
      </c>
      <c r="H535" s="3" t="s">
        <v>484</v>
      </c>
      <c r="I535" s="3" t="s">
        <v>484</v>
      </c>
      <c r="J535" s="3"/>
      <c r="K535" s="3">
        <f>+K443+K441+K439+K437</f>
        <v>27575.2022841</v>
      </c>
      <c r="L535" s="3">
        <f>+L443+L441+L439+L437</f>
        <v>27184.360324000001</v>
      </c>
      <c r="M535" s="3">
        <f t="shared" ref="M535" si="102">L535/K535</f>
        <v>0.98582632482354049</v>
      </c>
      <c r="N535" s="3">
        <f t="shared" ref="N535:N536" si="103">L535/K535</f>
        <v>0.98582632482354049</v>
      </c>
      <c r="O535" s="3" t="s">
        <v>143</v>
      </c>
      <c r="P535" s="3" t="s">
        <v>143</v>
      </c>
      <c r="Q535" s="3" t="str">
        <f t="shared" si="89"/>
        <v>386.2-2026-01-01</v>
      </c>
      <c r="R535" s="3">
        <v>0</v>
      </c>
      <c r="S535" s="3">
        <v>0</v>
      </c>
      <c r="T535" s="3" t="s">
        <v>484</v>
      </c>
      <c r="U535" s="3" t="s">
        <v>37</v>
      </c>
      <c r="V535" s="3" t="s">
        <v>310</v>
      </c>
      <c r="W535" s="3" t="s">
        <v>312</v>
      </c>
      <c r="X535" s="3" t="s">
        <v>313</v>
      </c>
      <c r="Y535" s="3" t="s">
        <v>314</v>
      </c>
      <c r="Z535" s="3"/>
      <c r="AA535" s="3"/>
      <c r="AB535" s="3" t="s">
        <v>78</v>
      </c>
      <c r="AC535" s="3" t="s">
        <v>66</v>
      </c>
      <c r="AD535" s="3">
        <v>0</v>
      </c>
    </row>
    <row r="536" spans="1:30" x14ac:dyDescent="0.3">
      <c r="A536" s="3" t="s">
        <v>593</v>
      </c>
      <c r="B536" s="3" t="s">
        <v>387</v>
      </c>
      <c r="C536" s="3" t="s">
        <v>310</v>
      </c>
      <c r="D536" s="3" t="s">
        <v>31</v>
      </c>
      <c r="E536" s="3" t="s">
        <v>32</v>
      </c>
      <c r="F536" s="12">
        <v>46023</v>
      </c>
      <c r="G536" s="3">
        <v>2026</v>
      </c>
      <c r="H536" s="3" t="s">
        <v>484</v>
      </c>
      <c r="I536" s="3" t="s">
        <v>484</v>
      </c>
      <c r="J536" s="3"/>
      <c r="K536" s="3">
        <f>+K451+K449+K447+K445</f>
        <v>19404.541402700001</v>
      </c>
      <c r="L536" s="3">
        <f>+L451+L449+L447+L445</f>
        <v>18711.499303000001</v>
      </c>
      <c r="M536" s="3">
        <f t="shared" ref="M536" si="104">IF(L536/K536&gt;1.3,1.3,L536/K536)</f>
        <v>0.96428454116397888</v>
      </c>
      <c r="N536" s="3">
        <f t="shared" si="103"/>
        <v>0.96428454116397888</v>
      </c>
      <c r="O536" s="3" t="s">
        <v>143</v>
      </c>
      <c r="P536" s="3" t="s">
        <v>143</v>
      </c>
      <c r="Q536" s="3" t="str">
        <f t="shared" si="89"/>
        <v>386.3-2026-01-01</v>
      </c>
      <c r="R536" s="3">
        <v>0</v>
      </c>
      <c r="S536" s="3">
        <v>0</v>
      </c>
      <c r="T536" s="3" t="s">
        <v>484</v>
      </c>
      <c r="U536" s="3" t="s">
        <v>37</v>
      </c>
      <c r="V536" s="3" t="s">
        <v>310</v>
      </c>
      <c r="W536" s="3" t="s">
        <v>312</v>
      </c>
      <c r="X536" s="3" t="s">
        <v>313</v>
      </c>
      <c r="Y536" s="3" t="s">
        <v>314</v>
      </c>
      <c r="Z536" s="3"/>
      <c r="AA536" s="3"/>
      <c r="AB536" s="3" t="s">
        <v>78</v>
      </c>
      <c r="AC536" s="3" t="s">
        <v>66</v>
      </c>
      <c r="AD536" s="3">
        <v>0</v>
      </c>
    </row>
    <row r="537" spans="1:30" x14ac:dyDescent="0.3">
      <c r="A537" s="3">
        <v>423</v>
      </c>
      <c r="B537" s="3" t="s">
        <v>320</v>
      </c>
      <c r="C537" s="3" t="s">
        <v>83</v>
      </c>
      <c r="D537" s="3" t="s">
        <v>66</v>
      </c>
      <c r="E537" s="3" t="s">
        <v>32</v>
      </c>
      <c r="F537" s="12">
        <v>46023</v>
      </c>
      <c r="G537" s="3">
        <v>2026</v>
      </c>
      <c r="H537" s="3" t="s">
        <v>484</v>
      </c>
      <c r="I537" s="3" t="s">
        <v>484</v>
      </c>
      <c r="J537" s="3"/>
      <c r="K537" s="3">
        <v>12</v>
      </c>
      <c r="L537" s="3">
        <v>15.1</v>
      </c>
      <c r="M537" s="3">
        <f>+L537/K537</f>
        <v>1.2583333333333333</v>
      </c>
      <c r="N537" s="3">
        <f>+L537/K537</f>
        <v>1.2583333333333333</v>
      </c>
      <c r="O537" s="3" t="s">
        <v>245</v>
      </c>
      <c r="P537" s="3" t="s">
        <v>245</v>
      </c>
      <c r="Q537" s="3" t="str">
        <f t="shared" si="89"/>
        <v>423-2026-01-01</v>
      </c>
      <c r="R537" s="3">
        <v>1</v>
      </c>
      <c r="S537" s="3">
        <v>1</v>
      </c>
      <c r="T537" s="3" t="s">
        <v>484</v>
      </c>
      <c r="U537" s="3" t="s">
        <v>37</v>
      </c>
      <c r="V537" s="3" t="s">
        <v>83</v>
      </c>
      <c r="W537" s="3" t="s">
        <v>38</v>
      </c>
      <c r="X537" s="3" t="s">
        <v>39</v>
      </c>
      <c r="Y537" s="3" t="s">
        <v>322</v>
      </c>
      <c r="Z537" s="3" t="s">
        <v>274</v>
      </c>
      <c r="AA537" s="3" t="s">
        <v>275</v>
      </c>
      <c r="AB537" s="3" t="s">
        <v>43</v>
      </c>
      <c r="AC537" s="3" t="s">
        <v>66</v>
      </c>
      <c r="AD537" s="3">
        <v>0</v>
      </c>
    </row>
    <row r="538" spans="1:30" x14ac:dyDescent="0.3">
      <c r="A538" s="3">
        <v>424</v>
      </c>
      <c r="B538" s="3" t="s">
        <v>325</v>
      </c>
      <c r="C538" s="3" t="s">
        <v>83</v>
      </c>
      <c r="D538" s="3" t="s">
        <v>66</v>
      </c>
      <c r="E538" s="3" t="s">
        <v>32</v>
      </c>
      <c r="F538" s="12">
        <v>46023</v>
      </c>
      <c r="G538" s="3">
        <v>2026</v>
      </c>
      <c r="H538" s="3" t="s">
        <v>484</v>
      </c>
      <c r="I538" s="3" t="s">
        <v>484</v>
      </c>
      <c r="J538" s="3"/>
      <c r="K538" s="3">
        <v>9</v>
      </c>
      <c r="L538" s="3">
        <v>11</v>
      </c>
      <c r="M538" s="3">
        <f>+L538/K538</f>
        <v>1.2222222222222223</v>
      </c>
      <c r="N538" s="3">
        <f>+L538/K538</f>
        <v>1.2222222222222223</v>
      </c>
      <c r="O538" s="3" t="s">
        <v>35</v>
      </c>
      <c r="P538" s="3" t="s">
        <v>35</v>
      </c>
      <c r="Q538" s="3" t="str">
        <f t="shared" si="89"/>
        <v>424-2026-01-01</v>
      </c>
      <c r="R538" s="3">
        <v>0</v>
      </c>
      <c r="S538" s="3">
        <v>0</v>
      </c>
      <c r="T538" s="3" t="s">
        <v>484</v>
      </c>
      <c r="U538" s="3" t="s">
        <v>37</v>
      </c>
      <c r="V538" s="3" t="s">
        <v>83</v>
      </c>
      <c r="W538" s="3" t="s">
        <v>38</v>
      </c>
      <c r="X538" s="3" t="s">
        <v>39</v>
      </c>
      <c r="Y538" s="3" t="s">
        <v>322</v>
      </c>
      <c r="Z538" s="3" t="s">
        <v>274</v>
      </c>
      <c r="AA538" s="3" t="s">
        <v>275</v>
      </c>
      <c r="AB538" s="3" t="s">
        <v>43</v>
      </c>
      <c r="AC538" s="3" t="s">
        <v>66</v>
      </c>
      <c r="AD538" s="3">
        <v>0</v>
      </c>
    </row>
    <row r="539" spans="1:30" x14ac:dyDescent="0.3">
      <c r="A539" s="3">
        <v>466</v>
      </c>
      <c r="B539" s="3" t="s">
        <v>341</v>
      </c>
      <c r="C539" s="3" t="s">
        <v>30</v>
      </c>
      <c r="D539" s="3" t="s">
        <v>31</v>
      </c>
      <c r="E539" s="3" t="s">
        <v>32</v>
      </c>
      <c r="F539" s="12">
        <v>46023</v>
      </c>
      <c r="G539" s="3">
        <v>2026</v>
      </c>
      <c r="H539" s="3" t="s">
        <v>484</v>
      </c>
      <c r="I539" s="3" t="s">
        <v>484</v>
      </c>
      <c r="J539" s="3"/>
      <c r="K539" s="3">
        <v>55</v>
      </c>
      <c r="L539" s="3">
        <v>58.6</v>
      </c>
      <c r="M539" s="3">
        <f t="shared" ref="M539" si="105">+L539/K539</f>
        <v>1.0654545454545454</v>
      </c>
      <c r="N539" s="3">
        <f>+L539/K539</f>
        <v>1.0654545454545454</v>
      </c>
      <c r="O539" s="3" t="s">
        <v>35</v>
      </c>
      <c r="P539" s="3" t="s">
        <v>245</v>
      </c>
      <c r="Q539" s="3" t="str">
        <f t="shared" si="89"/>
        <v>466-2026-01-01</v>
      </c>
      <c r="R539" s="3">
        <v>1</v>
      </c>
      <c r="S539" s="3">
        <v>1</v>
      </c>
      <c r="T539" s="3" t="s">
        <v>484</v>
      </c>
      <c r="U539" s="3" t="s">
        <v>37</v>
      </c>
      <c r="V539" s="3" t="s">
        <v>342</v>
      </c>
      <c r="W539" s="3" t="s">
        <v>112</v>
      </c>
      <c r="X539" s="3" t="s">
        <v>113</v>
      </c>
      <c r="Y539" s="3" t="s">
        <v>114</v>
      </c>
      <c r="Z539" s="3" t="s">
        <v>41</v>
      </c>
      <c r="AA539" s="3" t="s">
        <v>102</v>
      </c>
      <c r="AB539" s="3" t="s">
        <v>43</v>
      </c>
      <c r="AC539" s="3" t="s">
        <v>66</v>
      </c>
      <c r="AD539" s="3">
        <v>0</v>
      </c>
    </row>
    <row r="540" spans="1:30" x14ac:dyDescent="0.3">
      <c r="A540" s="3">
        <v>1</v>
      </c>
      <c r="B540" s="3" t="s">
        <v>549</v>
      </c>
      <c r="C540" s="3" t="s">
        <v>349</v>
      </c>
      <c r="D540" s="3" t="s">
        <v>57</v>
      </c>
      <c r="E540" s="3" t="s">
        <v>32</v>
      </c>
      <c r="F540" s="12">
        <v>45291</v>
      </c>
      <c r="G540" s="8">
        <v>2023</v>
      </c>
      <c r="H540" s="7" t="s">
        <v>44</v>
      </c>
      <c r="I540" s="7" t="s">
        <v>49</v>
      </c>
      <c r="J540" s="3">
        <v>2</v>
      </c>
      <c r="K540" s="9">
        <v>100</v>
      </c>
      <c r="L540" s="9">
        <v>100</v>
      </c>
      <c r="M540" s="3">
        <f>IF(L540/K540&gt;1,1,L540/K540)</f>
        <v>1</v>
      </c>
      <c r="N540" s="3">
        <f>IF(L540/K540&gt;1,1,L540/K540)</f>
        <v>1</v>
      </c>
      <c r="O540" s="3" t="s">
        <v>58</v>
      </c>
      <c r="P540" s="3" t="s">
        <v>58</v>
      </c>
      <c r="Q540" s="3" t="str">
        <f t="shared" si="89"/>
        <v>1-2023-12-31</v>
      </c>
      <c r="R540" s="3">
        <v>0</v>
      </c>
      <c r="S540" s="3">
        <v>0</v>
      </c>
      <c r="T540" s="3" t="s">
        <v>443</v>
      </c>
      <c r="U540" s="3" t="s">
        <v>37</v>
      </c>
      <c r="V540" s="3" t="s">
        <v>349</v>
      </c>
      <c r="W540" s="3" t="s">
        <v>73</v>
      </c>
      <c r="X540" s="3" t="s">
        <v>218</v>
      </c>
      <c r="Y540" s="3" t="s">
        <v>351</v>
      </c>
      <c r="Z540" s="3" t="s">
        <v>86</v>
      </c>
      <c r="AA540" s="3" t="s">
        <v>87</v>
      </c>
      <c r="AB540" s="3" t="s">
        <v>43</v>
      </c>
      <c r="AC540" s="3" t="s">
        <v>66</v>
      </c>
      <c r="AD540" s="3">
        <v>1</v>
      </c>
    </row>
    <row r="541" spans="1:30" x14ac:dyDescent="0.3">
      <c r="A541" s="3">
        <v>2</v>
      </c>
      <c r="B541" s="3" t="s">
        <v>489</v>
      </c>
      <c r="C541" s="3" t="s">
        <v>521</v>
      </c>
      <c r="D541" s="3" t="s">
        <v>57</v>
      </c>
      <c r="E541" s="3" t="s">
        <v>32</v>
      </c>
      <c r="F541" s="12">
        <v>44926</v>
      </c>
      <c r="G541" s="8">
        <v>2022</v>
      </c>
      <c r="H541" s="7" t="s">
        <v>44</v>
      </c>
      <c r="I541" s="7" t="s">
        <v>45</v>
      </c>
      <c r="J541" s="3">
        <v>2</v>
      </c>
      <c r="K541" s="3">
        <v>66</v>
      </c>
      <c r="L541" s="3">
        <v>69</v>
      </c>
      <c r="M541" s="3">
        <f t="shared" ref="M541:M604" si="106">IF(L541/K541&gt;1,1,L541/K541)</f>
        <v>1</v>
      </c>
      <c r="N541" s="3">
        <f t="shared" ref="N541:N601" si="107">IF(L541/K541&gt;1,1,L541/K541)</f>
        <v>1</v>
      </c>
      <c r="O541" s="3" t="s">
        <v>58</v>
      </c>
      <c r="P541" s="3" t="s">
        <v>58</v>
      </c>
      <c r="Q541" s="3" t="str">
        <f t="shared" si="89"/>
        <v>2-2022-12-31</v>
      </c>
      <c r="R541" s="3">
        <v>0</v>
      </c>
      <c r="S541" s="3">
        <v>0</v>
      </c>
      <c r="T541" s="3" t="s">
        <v>443</v>
      </c>
      <c r="U541" s="3" t="s">
        <v>37</v>
      </c>
      <c r="V541" s="3" t="s">
        <v>521</v>
      </c>
      <c r="W541" s="3" t="s">
        <v>60</v>
      </c>
      <c r="X541" s="3" t="s">
        <v>100</v>
      </c>
      <c r="Y541" s="3" t="s">
        <v>133</v>
      </c>
      <c r="Z541" s="3" t="s">
        <v>134</v>
      </c>
      <c r="AA541" s="3" t="s">
        <v>532</v>
      </c>
      <c r="AB541" s="3" t="s">
        <v>43</v>
      </c>
      <c r="AC541" s="3" t="s">
        <v>66</v>
      </c>
      <c r="AD541" s="3">
        <v>1</v>
      </c>
    </row>
    <row r="542" spans="1:30" x14ac:dyDescent="0.3">
      <c r="A542" s="3">
        <v>2</v>
      </c>
      <c r="B542" s="3" t="s">
        <v>489</v>
      </c>
      <c r="C542" s="3" t="s">
        <v>521</v>
      </c>
      <c r="D542" s="3" t="s">
        <v>57</v>
      </c>
      <c r="E542" s="3" t="s">
        <v>32</v>
      </c>
      <c r="F542" s="12">
        <v>45291</v>
      </c>
      <c r="G542" s="8">
        <v>2023</v>
      </c>
      <c r="H542" s="7" t="s">
        <v>44</v>
      </c>
      <c r="I542" s="7" t="s">
        <v>49</v>
      </c>
      <c r="J542" s="3">
        <v>2</v>
      </c>
      <c r="K542" s="3">
        <v>100</v>
      </c>
      <c r="L542" s="3">
        <v>100</v>
      </c>
      <c r="M542" s="3">
        <f t="shared" si="106"/>
        <v>1</v>
      </c>
      <c r="N542" s="3">
        <f t="shared" si="107"/>
        <v>1</v>
      </c>
      <c r="O542" s="3" t="s">
        <v>58</v>
      </c>
      <c r="P542" s="3" t="s">
        <v>58</v>
      </c>
      <c r="Q542" s="3" t="str">
        <f t="shared" si="89"/>
        <v>2-2023-12-31</v>
      </c>
      <c r="R542" s="3">
        <v>0</v>
      </c>
      <c r="S542" s="3">
        <v>0</v>
      </c>
      <c r="T542" s="3" t="s">
        <v>443</v>
      </c>
      <c r="U542" s="3" t="s">
        <v>37</v>
      </c>
      <c r="V542" s="3" t="s">
        <v>521</v>
      </c>
      <c r="W542" s="3" t="s">
        <v>60</v>
      </c>
      <c r="X542" s="3" t="s">
        <v>100</v>
      </c>
      <c r="Y542" s="3" t="s">
        <v>133</v>
      </c>
      <c r="Z542" s="3" t="s">
        <v>134</v>
      </c>
      <c r="AA542" s="3" t="s">
        <v>532</v>
      </c>
      <c r="AB542" s="3" t="s">
        <v>43</v>
      </c>
      <c r="AC542" s="3" t="s">
        <v>66</v>
      </c>
      <c r="AD542" s="3">
        <v>1</v>
      </c>
    </row>
    <row r="543" spans="1:30" x14ac:dyDescent="0.3">
      <c r="A543" s="3">
        <v>3</v>
      </c>
      <c r="B543" s="3" t="s">
        <v>490</v>
      </c>
      <c r="C543" s="3" t="s">
        <v>522</v>
      </c>
      <c r="D543" s="3" t="s">
        <v>57</v>
      </c>
      <c r="E543" s="3" t="s">
        <v>32</v>
      </c>
      <c r="F543" s="12">
        <v>45291</v>
      </c>
      <c r="G543" s="8">
        <v>2023</v>
      </c>
      <c r="H543" s="7" t="s">
        <v>44</v>
      </c>
      <c r="I543" s="7" t="s">
        <v>49</v>
      </c>
      <c r="J543" s="3">
        <v>2</v>
      </c>
      <c r="K543" s="9">
        <v>100</v>
      </c>
      <c r="L543" s="9">
        <v>100</v>
      </c>
      <c r="M543" s="3">
        <f t="shared" si="106"/>
        <v>1</v>
      </c>
      <c r="N543" s="3">
        <f t="shared" si="107"/>
        <v>1</v>
      </c>
      <c r="O543" s="3" t="s">
        <v>58</v>
      </c>
      <c r="P543" s="3" t="s">
        <v>58</v>
      </c>
      <c r="Q543" s="3" t="str">
        <f t="shared" si="89"/>
        <v>3-2023-12-31</v>
      </c>
      <c r="R543" s="3">
        <v>0</v>
      </c>
      <c r="S543" s="3">
        <v>0</v>
      </c>
      <c r="T543" s="3" t="s">
        <v>443</v>
      </c>
      <c r="U543" s="3" t="s">
        <v>37</v>
      </c>
      <c r="V543" s="3" t="s">
        <v>522</v>
      </c>
      <c r="W543" s="3" t="s">
        <v>60</v>
      </c>
      <c r="X543" s="3" t="s">
        <v>262</v>
      </c>
      <c r="Y543" s="3" t="s">
        <v>533</v>
      </c>
      <c r="Z543" s="3" t="s">
        <v>101</v>
      </c>
      <c r="AA543" s="3" t="s">
        <v>534</v>
      </c>
      <c r="AB543" s="3" t="s">
        <v>43</v>
      </c>
      <c r="AC543" s="3" t="s">
        <v>66</v>
      </c>
      <c r="AD543" s="3">
        <v>1</v>
      </c>
    </row>
    <row r="544" spans="1:30" x14ac:dyDescent="0.3">
      <c r="A544" s="3">
        <v>4</v>
      </c>
      <c r="B544" s="3" t="s">
        <v>491</v>
      </c>
      <c r="C544" s="3" t="s">
        <v>521</v>
      </c>
      <c r="D544" s="3" t="s">
        <v>57</v>
      </c>
      <c r="E544" s="3" t="s">
        <v>32</v>
      </c>
      <c r="F544" s="12">
        <v>44926</v>
      </c>
      <c r="G544" s="8">
        <v>2022</v>
      </c>
      <c r="H544" s="7" t="s">
        <v>44</v>
      </c>
      <c r="I544" s="7" t="s">
        <v>45</v>
      </c>
      <c r="J544" s="3">
        <v>2</v>
      </c>
      <c r="K544" s="3">
        <v>39</v>
      </c>
      <c r="L544" s="3">
        <v>37</v>
      </c>
      <c r="M544" s="3">
        <f t="shared" si="106"/>
        <v>0.94871794871794868</v>
      </c>
      <c r="N544" s="3">
        <f t="shared" si="107"/>
        <v>0.94871794871794868</v>
      </c>
      <c r="O544" s="3"/>
      <c r="P544" s="3"/>
      <c r="Q544" s="3" t="str">
        <f t="shared" si="89"/>
        <v>4-2022-12-31</v>
      </c>
      <c r="R544" s="3">
        <v>0</v>
      </c>
      <c r="S544" s="3">
        <v>0</v>
      </c>
      <c r="T544" s="3" t="s">
        <v>443</v>
      </c>
      <c r="U544" s="3" t="s">
        <v>37</v>
      </c>
      <c r="V544" s="3" t="s">
        <v>521</v>
      </c>
      <c r="W544" s="3" t="s">
        <v>145</v>
      </c>
      <c r="X544" s="3" t="s">
        <v>179</v>
      </c>
      <c r="Y544" s="3" t="s">
        <v>180</v>
      </c>
      <c r="Z544" s="3" t="s">
        <v>101</v>
      </c>
      <c r="AA544" s="3" t="s">
        <v>264</v>
      </c>
      <c r="AB544" s="3" t="s">
        <v>43</v>
      </c>
      <c r="AC544" s="3" t="s">
        <v>66</v>
      </c>
      <c r="AD544" s="3">
        <v>1</v>
      </c>
    </row>
    <row r="545" spans="1:30" x14ac:dyDescent="0.3">
      <c r="A545" s="3">
        <v>4</v>
      </c>
      <c r="B545" s="3" t="s">
        <v>491</v>
      </c>
      <c r="C545" s="3" t="s">
        <v>523</v>
      </c>
      <c r="D545" s="3" t="s">
        <v>57</v>
      </c>
      <c r="E545" s="3" t="s">
        <v>32</v>
      </c>
      <c r="F545" s="12">
        <v>45291</v>
      </c>
      <c r="G545" s="8">
        <v>2023</v>
      </c>
      <c r="H545" s="7" t="s">
        <v>44</v>
      </c>
      <c r="I545" s="7" t="s">
        <v>49</v>
      </c>
      <c r="J545" s="3">
        <v>2</v>
      </c>
      <c r="K545" s="9">
        <v>100</v>
      </c>
      <c r="L545" s="9">
        <v>100</v>
      </c>
      <c r="M545" s="3">
        <f t="shared" si="106"/>
        <v>1</v>
      </c>
      <c r="N545" s="3">
        <f t="shared" si="107"/>
        <v>1</v>
      </c>
      <c r="O545" s="3"/>
      <c r="P545" s="3"/>
      <c r="Q545" s="3" t="str">
        <f t="shared" si="89"/>
        <v>4-2023-12-31</v>
      </c>
      <c r="R545" s="3">
        <v>0</v>
      </c>
      <c r="S545" s="3">
        <v>0</v>
      </c>
      <c r="T545" s="3" t="s">
        <v>443</v>
      </c>
      <c r="U545" s="3" t="s">
        <v>37</v>
      </c>
      <c r="V545" s="3" t="s">
        <v>523</v>
      </c>
      <c r="W545" s="3" t="s">
        <v>145</v>
      </c>
      <c r="X545" s="3" t="s">
        <v>179</v>
      </c>
      <c r="Y545" s="3" t="s">
        <v>180</v>
      </c>
      <c r="Z545" s="3" t="s">
        <v>101</v>
      </c>
      <c r="AA545" s="3" t="s">
        <v>264</v>
      </c>
      <c r="AB545" s="3" t="s">
        <v>43</v>
      </c>
      <c r="AC545" s="3" t="s">
        <v>66</v>
      </c>
      <c r="AD545" s="3">
        <v>1</v>
      </c>
    </row>
    <row r="546" spans="1:30" x14ac:dyDescent="0.3">
      <c r="A546" s="3">
        <v>5</v>
      </c>
      <c r="B546" s="3" t="s">
        <v>492</v>
      </c>
      <c r="C546" s="3" t="s">
        <v>267</v>
      </c>
      <c r="D546" s="3" t="s">
        <v>57</v>
      </c>
      <c r="E546" s="3" t="s">
        <v>32</v>
      </c>
      <c r="F546" s="12">
        <v>45291</v>
      </c>
      <c r="G546" s="8">
        <v>2023</v>
      </c>
      <c r="H546" s="7" t="s">
        <v>44</v>
      </c>
      <c r="I546" s="7" t="s">
        <v>49</v>
      </c>
      <c r="J546" s="3"/>
      <c r="K546" s="9">
        <v>78</v>
      </c>
      <c r="L546" s="9">
        <v>74</v>
      </c>
      <c r="M546" s="3">
        <f t="shared" si="106"/>
        <v>0.94871794871794868</v>
      </c>
      <c r="N546" s="3">
        <f t="shared" si="107"/>
        <v>0.94871794871794868</v>
      </c>
      <c r="O546" s="3" t="s">
        <v>58</v>
      </c>
      <c r="P546" s="3" t="s">
        <v>58</v>
      </c>
      <c r="Q546" s="3" t="str">
        <f t="shared" si="89"/>
        <v>5-2023-12-31</v>
      </c>
      <c r="R546" s="3">
        <v>0</v>
      </c>
      <c r="S546" s="3">
        <v>0</v>
      </c>
      <c r="T546" s="3" t="s">
        <v>443</v>
      </c>
      <c r="U546" s="3" t="s">
        <v>37</v>
      </c>
      <c r="V546" s="3" t="s">
        <v>267</v>
      </c>
      <c r="W546" s="3" t="s">
        <v>145</v>
      </c>
      <c r="X546" s="3" t="s">
        <v>179</v>
      </c>
      <c r="Y546" s="3" t="s">
        <v>269</v>
      </c>
      <c r="Z546" s="3" t="s">
        <v>41</v>
      </c>
      <c r="AA546" s="3" t="s">
        <v>124</v>
      </c>
      <c r="AB546" s="3" t="s">
        <v>43</v>
      </c>
      <c r="AC546" s="3" t="s">
        <v>66</v>
      </c>
      <c r="AD546" s="3">
        <v>1</v>
      </c>
    </row>
    <row r="547" spans="1:30" x14ac:dyDescent="0.3">
      <c r="A547" s="3">
        <v>5</v>
      </c>
      <c r="B547" s="3" t="s">
        <v>492</v>
      </c>
      <c r="C547" s="3" t="s">
        <v>267</v>
      </c>
      <c r="D547" s="3" t="s">
        <v>57</v>
      </c>
      <c r="E547" s="3" t="s">
        <v>32</v>
      </c>
      <c r="F547" s="12">
        <v>45657</v>
      </c>
      <c r="G547" s="8">
        <v>2024</v>
      </c>
      <c r="H547" s="7" t="s">
        <v>44</v>
      </c>
      <c r="I547" s="7" t="s">
        <v>53</v>
      </c>
      <c r="J547" s="3"/>
      <c r="K547" s="9">
        <v>100</v>
      </c>
      <c r="L547" s="9">
        <v>100</v>
      </c>
      <c r="M547" s="3">
        <f t="shared" si="106"/>
        <v>1</v>
      </c>
      <c r="N547" s="3">
        <f t="shared" si="107"/>
        <v>1</v>
      </c>
      <c r="O547" s="3" t="s">
        <v>58</v>
      </c>
      <c r="P547" s="3" t="s">
        <v>58</v>
      </c>
      <c r="Q547" s="3" t="str">
        <f t="shared" si="89"/>
        <v>5-2024-12-31</v>
      </c>
      <c r="R547" s="3">
        <v>0</v>
      </c>
      <c r="S547" s="3">
        <v>0</v>
      </c>
      <c r="T547" s="3" t="s">
        <v>443</v>
      </c>
      <c r="U547" s="3" t="s">
        <v>37</v>
      </c>
      <c r="V547" s="3" t="s">
        <v>267</v>
      </c>
      <c r="W547" s="3" t="s">
        <v>145</v>
      </c>
      <c r="X547" s="3" t="s">
        <v>179</v>
      </c>
      <c r="Y547" s="3" t="s">
        <v>269</v>
      </c>
      <c r="Z547" s="3" t="s">
        <v>41</v>
      </c>
      <c r="AA547" s="3" t="s">
        <v>124</v>
      </c>
      <c r="AB547" s="3" t="s">
        <v>43</v>
      </c>
      <c r="AC547" s="3" t="s">
        <v>66</v>
      </c>
      <c r="AD547" s="3">
        <v>1</v>
      </c>
    </row>
    <row r="548" spans="1:30" x14ac:dyDescent="0.3">
      <c r="A548" s="3">
        <v>6</v>
      </c>
      <c r="B548" s="3" t="s">
        <v>493</v>
      </c>
      <c r="C548" s="3" t="s">
        <v>524</v>
      </c>
      <c r="D548" s="3" t="s">
        <v>57</v>
      </c>
      <c r="E548" s="3" t="s">
        <v>32</v>
      </c>
      <c r="F548" s="12">
        <v>45291</v>
      </c>
      <c r="G548" s="8">
        <v>2023</v>
      </c>
      <c r="H548" s="7" t="s">
        <v>44</v>
      </c>
      <c r="I548" s="7" t="s">
        <v>49</v>
      </c>
      <c r="J548" s="3">
        <v>2</v>
      </c>
      <c r="K548" s="9">
        <v>98</v>
      </c>
      <c r="L548" s="9">
        <v>95</v>
      </c>
      <c r="M548" s="3">
        <f t="shared" si="106"/>
        <v>0.96938775510204078</v>
      </c>
      <c r="N548" s="3">
        <f t="shared" si="107"/>
        <v>0.96938775510204078</v>
      </c>
      <c r="O548" s="3" t="s">
        <v>58</v>
      </c>
      <c r="P548" s="3" t="s">
        <v>58</v>
      </c>
      <c r="Q548" s="3" t="str">
        <f t="shared" si="89"/>
        <v>6-2023-12-31</v>
      </c>
      <c r="R548" s="3">
        <v>0</v>
      </c>
      <c r="S548" s="3">
        <v>0</v>
      </c>
      <c r="T548" s="3" t="s">
        <v>443</v>
      </c>
      <c r="U548" s="3" t="s">
        <v>37</v>
      </c>
      <c r="V548" s="3" t="s">
        <v>524</v>
      </c>
      <c r="W548" s="3" t="s">
        <v>60</v>
      </c>
      <c r="X548" s="3" t="s">
        <v>61</v>
      </c>
      <c r="Y548" s="3" t="s">
        <v>62</v>
      </c>
      <c r="Z548" s="3" t="s">
        <v>101</v>
      </c>
      <c r="AA548" s="3" t="s">
        <v>264</v>
      </c>
      <c r="AB548" s="3" t="s">
        <v>43</v>
      </c>
      <c r="AC548" s="3" t="s">
        <v>66</v>
      </c>
      <c r="AD548" s="3">
        <v>1</v>
      </c>
    </row>
    <row r="549" spans="1:30" x14ac:dyDescent="0.3">
      <c r="A549" s="3">
        <v>6</v>
      </c>
      <c r="B549" s="3" t="s">
        <v>493</v>
      </c>
      <c r="C549" s="3" t="s">
        <v>524</v>
      </c>
      <c r="D549" s="3" t="s">
        <v>57</v>
      </c>
      <c r="E549" s="3" t="s">
        <v>32</v>
      </c>
      <c r="F549" s="12">
        <v>45657</v>
      </c>
      <c r="G549" s="8">
        <v>2024</v>
      </c>
      <c r="H549" s="7" t="s">
        <v>44</v>
      </c>
      <c r="I549" s="7" t="s">
        <v>53</v>
      </c>
      <c r="J549" s="3">
        <v>2</v>
      </c>
      <c r="K549" s="9">
        <v>100</v>
      </c>
      <c r="L549" s="9">
        <v>100</v>
      </c>
      <c r="M549" s="3">
        <f t="shared" si="106"/>
        <v>1</v>
      </c>
      <c r="N549" s="3">
        <f t="shared" si="107"/>
        <v>1</v>
      </c>
      <c r="O549" s="3" t="s">
        <v>58</v>
      </c>
      <c r="P549" s="3" t="s">
        <v>58</v>
      </c>
      <c r="Q549" s="3" t="str">
        <f t="shared" si="89"/>
        <v>6-2024-12-31</v>
      </c>
      <c r="R549" s="3">
        <v>0</v>
      </c>
      <c r="S549" s="3">
        <v>0</v>
      </c>
      <c r="T549" s="3" t="s">
        <v>443</v>
      </c>
      <c r="U549" s="3" t="s">
        <v>37</v>
      </c>
      <c r="V549" s="3" t="s">
        <v>524</v>
      </c>
      <c r="W549" s="3" t="s">
        <v>60</v>
      </c>
      <c r="X549" s="3" t="s">
        <v>61</v>
      </c>
      <c r="Y549" s="3" t="s">
        <v>62</v>
      </c>
      <c r="Z549" s="3" t="s">
        <v>101</v>
      </c>
      <c r="AA549" s="3" t="s">
        <v>264</v>
      </c>
      <c r="AB549" s="3" t="s">
        <v>43</v>
      </c>
      <c r="AC549" s="3" t="s">
        <v>66</v>
      </c>
      <c r="AD549" s="3">
        <v>1</v>
      </c>
    </row>
    <row r="550" spans="1:30" x14ac:dyDescent="0.3">
      <c r="A550" s="3">
        <v>7</v>
      </c>
      <c r="B550" s="3" t="s">
        <v>494</v>
      </c>
      <c r="C550" s="3" t="s">
        <v>524</v>
      </c>
      <c r="D550" s="3" t="s">
        <v>57</v>
      </c>
      <c r="E550" s="3" t="s">
        <v>32</v>
      </c>
      <c r="F550" s="12">
        <v>45291</v>
      </c>
      <c r="G550" s="8">
        <v>2023</v>
      </c>
      <c r="H550" s="7" t="s">
        <v>44</v>
      </c>
      <c r="I550" s="7" t="s">
        <v>49</v>
      </c>
      <c r="J550" s="3">
        <v>2</v>
      </c>
      <c r="K550" s="9">
        <v>98</v>
      </c>
      <c r="L550" s="9">
        <v>84</v>
      </c>
      <c r="M550" s="3">
        <f t="shared" si="106"/>
        <v>0.8571428571428571</v>
      </c>
      <c r="N550" s="3">
        <f t="shared" si="107"/>
        <v>0.8571428571428571</v>
      </c>
      <c r="O550" s="3" t="s">
        <v>58</v>
      </c>
      <c r="P550" s="3" t="s">
        <v>58</v>
      </c>
      <c r="Q550" s="3" t="str">
        <f t="shared" si="89"/>
        <v>7-2023-12-31</v>
      </c>
      <c r="R550" s="3">
        <v>0</v>
      </c>
      <c r="S550" s="3">
        <v>0</v>
      </c>
      <c r="T550" s="3" t="s">
        <v>443</v>
      </c>
      <c r="U550" s="3" t="s">
        <v>37</v>
      </c>
      <c r="V550" s="3" t="s">
        <v>524</v>
      </c>
      <c r="W550" s="3" t="s">
        <v>60</v>
      </c>
      <c r="X550" s="3" t="s">
        <v>61</v>
      </c>
      <c r="Y550" s="3" t="s">
        <v>62</v>
      </c>
      <c r="Z550" s="3" t="s">
        <v>101</v>
      </c>
      <c r="AA550" s="3" t="s">
        <v>264</v>
      </c>
      <c r="AB550" s="3" t="s">
        <v>43</v>
      </c>
      <c r="AC550" s="3" t="s">
        <v>66</v>
      </c>
      <c r="AD550" s="3">
        <v>1</v>
      </c>
    </row>
    <row r="551" spans="1:30" x14ac:dyDescent="0.3">
      <c r="A551" s="3">
        <v>7</v>
      </c>
      <c r="B551" s="3" t="s">
        <v>494</v>
      </c>
      <c r="C551" s="3" t="s">
        <v>524</v>
      </c>
      <c r="D551" s="3" t="s">
        <v>57</v>
      </c>
      <c r="E551" s="3" t="s">
        <v>32</v>
      </c>
      <c r="F551" s="12">
        <v>45657</v>
      </c>
      <c r="G551" s="8">
        <v>2024</v>
      </c>
      <c r="H551" s="7" t="s">
        <v>44</v>
      </c>
      <c r="I551" s="7" t="s">
        <v>53</v>
      </c>
      <c r="J551" s="3">
        <v>2</v>
      </c>
      <c r="K551" s="9">
        <v>100</v>
      </c>
      <c r="L551" s="9">
        <v>100</v>
      </c>
      <c r="M551" s="3">
        <f t="shared" si="106"/>
        <v>1</v>
      </c>
      <c r="N551" s="3">
        <f t="shared" si="107"/>
        <v>1</v>
      </c>
      <c r="O551" s="3" t="s">
        <v>58</v>
      </c>
      <c r="P551" s="3" t="s">
        <v>58</v>
      </c>
      <c r="Q551" s="3" t="str">
        <f t="shared" si="89"/>
        <v>7-2024-12-31</v>
      </c>
      <c r="R551" s="3">
        <v>0</v>
      </c>
      <c r="S551" s="3">
        <v>0</v>
      </c>
      <c r="T551" s="3" t="s">
        <v>443</v>
      </c>
      <c r="U551" s="3" t="s">
        <v>37</v>
      </c>
      <c r="V551" s="3" t="s">
        <v>524</v>
      </c>
      <c r="W551" s="3" t="s">
        <v>60</v>
      </c>
      <c r="X551" s="3" t="s">
        <v>61</v>
      </c>
      <c r="Y551" s="3" t="s">
        <v>62</v>
      </c>
      <c r="Z551" s="3" t="s">
        <v>101</v>
      </c>
      <c r="AA551" s="3" t="s">
        <v>264</v>
      </c>
      <c r="AB551" s="3" t="s">
        <v>43</v>
      </c>
      <c r="AC551" s="3" t="s">
        <v>66</v>
      </c>
      <c r="AD551" s="3">
        <v>1</v>
      </c>
    </row>
    <row r="552" spans="1:30" x14ac:dyDescent="0.3">
      <c r="A552" s="3">
        <v>8</v>
      </c>
      <c r="B552" s="3" t="s">
        <v>495</v>
      </c>
      <c r="C552" s="3" t="s">
        <v>349</v>
      </c>
      <c r="D552" s="3" t="s">
        <v>57</v>
      </c>
      <c r="E552" s="3" t="s">
        <v>32</v>
      </c>
      <c r="F552" s="12">
        <v>45291</v>
      </c>
      <c r="G552" s="8">
        <v>2023</v>
      </c>
      <c r="H552" s="7" t="s">
        <v>44</v>
      </c>
      <c r="I552" s="7" t="s">
        <v>49</v>
      </c>
      <c r="J552" s="3">
        <v>2</v>
      </c>
      <c r="K552" s="9">
        <v>100</v>
      </c>
      <c r="L552" s="9">
        <v>100</v>
      </c>
      <c r="M552" s="3">
        <f t="shared" si="106"/>
        <v>1</v>
      </c>
      <c r="N552" s="3">
        <f t="shared" si="107"/>
        <v>1</v>
      </c>
      <c r="O552" s="3"/>
      <c r="P552" s="3"/>
      <c r="Q552" s="3" t="str">
        <f t="shared" si="89"/>
        <v>8-2023-12-31</v>
      </c>
      <c r="R552" s="3">
        <v>0</v>
      </c>
      <c r="S552" s="3">
        <v>0</v>
      </c>
      <c r="T552" s="3"/>
      <c r="U552" s="3" t="s">
        <v>37</v>
      </c>
      <c r="V552" s="3" t="s">
        <v>349</v>
      </c>
      <c r="W552" s="3" t="s">
        <v>73</v>
      </c>
      <c r="X552" s="3" t="s">
        <v>74</v>
      </c>
      <c r="Y552" s="3" t="s">
        <v>351</v>
      </c>
      <c r="Z552" s="3" t="s">
        <v>101</v>
      </c>
      <c r="AA552" s="3" t="s">
        <v>264</v>
      </c>
      <c r="AB552" s="3" t="s">
        <v>43</v>
      </c>
      <c r="AC552" s="3" t="s">
        <v>66</v>
      </c>
      <c r="AD552" s="3">
        <v>1</v>
      </c>
    </row>
    <row r="553" spans="1:30" x14ac:dyDescent="0.3">
      <c r="A553" s="3">
        <v>9</v>
      </c>
      <c r="B553" s="3" t="s">
        <v>551</v>
      </c>
      <c r="C553" s="3" t="s">
        <v>524</v>
      </c>
      <c r="D553" s="3" t="s">
        <v>57</v>
      </c>
      <c r="E553" s="3" t="s">
        <v>32</v>
      </c>
      <c r="F553" s="12">
        <v>45291</v>
      </c>
      <c r="G553" s="8">
        <v>2023</v>
      </c>
      <c r="H553" s="7" t="s">
        <v>44</v>
      </c>
      <c r="I553" s="7" t="s">
        <v>49</v>
      </c>
      <c r="J553" s="3">
        <v>2</v>
      </c>
      <c r="K553" s="9">
        <v>98</v>
      </c>
      <c r="L553" s="9">
        <v>95</v>
      </c>
      <c r="M553" s="3">
        <f t="shared" si="106"/>
        <v>0.96938775510204078</v>
      </c>
      <c r="N553" s="3">
        <f t="shared" si="107"/>
        <v>0.96938775510204078</v>
      </c>
      <c r="O553" s="3" t="s">
        <v>58</v>
      </c>
      <c r="P553" s="3" t="s">
        <v>58</v>
      </c>
      <c r="Q553" s="3" t="str">
        <f t="shared" si="89"/>
        <v>9-2023-12-31</v>
      </c>
      <c r="R553" s="3">
        <v>0</v>
      </c>
      <c r="S553" s="3">
        <v>0</v>
      </c>
      <c r="T553" s="3" t="s">
        <v>443</v>
      </c>
      <c r="U553" s="3" t="s">
        <v>37</v>
      </c>
      <c r="V553" s="3" t="s">
        <v>524</v>
      </c>
      <c r="W553" s="3" t="s">
        <v>60</v>
      </c>
      <c r="X553" s="3" t="s">
        <v>61</v>
      </c>
      <c r="Y553" s="3" t="s">
        <v>62</v>
      </c>
      <c r="Z553" s="3" t="s">
        <v>101</v>
      </c>
      <c r="AA553" s="3" t="s">
        <v>264</v>
      </c>
      <c r="AB553" s="3" t="s">
        <v>43</v>
      </c>
      <c r="AC553" s="3" t="s">
        <v>66</v>
      </c>
      <c r="AD553" s="3">
        <v>1</v>
      </c>
    </row>
    <row r="554" spans="1:30" x14ac:dyDescent="0.3">
      <c r="A554" s="3">
        <v>9</v>
      </c>
      <c r="B554" s="3" t="s">
        <v>551</v>
      </c>
      <c r="C554" s="3" t="s">
        <v>524</v>
      </c>
      <c r="D554" s="3" t="s">
        <v>57</v>
      </c>
      <c r="E554" s="3" t="s">
        <v>32</v>
      </c>
      <c r="F554" s="12">
        <v>45657</v>
      </c>
      <c r="G554" s="8">
        <v>2024</v>
      </c>
      <c r="H554" s="7" t="s">
        <v>44</v>
      </c>
      <c r="I554" s="7" t="s">
        <v>53</v>
      </c>
      <c r="J554" s="3">
        <v>2</v>
      </c>
      <c r="K554" s="9">
        <v>100</v>
      </c>
      <c r="L554" s="9">
        <v>100</v>
      </c>
      <c r="M554" s="3">
        <f t="shared" si="106"/>
        <v>1</v>
      </c>
      <c r="N554" s="3">
        <f t="shared" si="107"/>
        <v>1</v>
      </c>
      <c r="O554" s="3" t="s">
        <v>58</v>
      </c>
      <c r="P554" s="3" t="s">
        <v>58</v>
      </c>
      <c r="Q554" s="3" t="str">
        <f t="shared" si="89"/>
        <v>9-2024-12-31</v>
      </c>
      <c r="R554" s="3">
        <v>0</v>
      </c>
      <c r="S554" s="3">
        <v>0</v>
      </c>
      <c r="T554" s="3" t="s">
        <v>443</v>
      </c>
      <c r="U554" s="3" t="s">
        <v>37</v>
      </c>
      <c r="V554" s="3" t="s">
        <v>524</v>
      </c>
      <c r="W554" s="3" t="s">
        <v>60</v>
      </c>
      <c r="X554" s="3" t="s">
        <v>61</v>
      </c>
      <c r="Y554" s="3" t="s">
        <v>62</v>
      </c>
      <c r="Z554" s="3" t="s">
        <v>101</v>
      </c>
      <c r="AA554" s="3" t="s">
        <v>264</v>
      </c>
      <c r="AB554" s="3" t="s">
        <v>43</v>
      </c>
      <c r="AC554" s="3" t="s">
        <v>66</v>
      </c>
      <c r="AD554" s="3">
        <v>1</v>
      </c>
    </row>
    <row r="555" spans="1:30" x14ac:dyDescent="0.3">
      <c r="A555" s="3">
        <v>10</v>
      </c>
      <c r="B555" s="3" t="s">
        <v>496</v>
      </c>
      <c r="C555" s="3" t="s">
        <v>216</v>
      </c>
      <c r="D555" s="3" t="s">
        <v>57</v>
      </c>
      <c r="E555" s="3" t="s">
        <v>32</v>
      </c>
      <c r="F555" s="12">
        <v>45291</v>
      </c>
      <c r="G555" s="8">
        <v>2023</v>
      </c>
      <c r="H555" s="7" t="s">
        <v>44</v>
      </c>
      <c r="I555" s="7" t="s">
        <v>49</v>
      </c>
      <c r="J555" s="3">
        <v>2</v>
      </c>
      <c r="K555" s="9">
        <v>47</v>
      </c>
      <c r="L555" s="9">
        <v>47</v>
      </c>
      <c r="M555" s="3">
        <f t="shared" si="106"/>
        <v>1</v>
      </c>
      <c r="N555" s="3">
        <f t="shared" si="107"/>
        <v>1</v>
      </c>
      <c r="O555" s="3">
        <v>0</v>
      </c>
      <c r="P555" s="3">
        <v>0</v>
      </c>
      <c r="Q555" s="3" t="str">
        <f t="shared" si="89"/>
        <v>10-2023-12-31</v>
      </c>
      <c r="R555" s="3">
        <v>0</v>
      </c>
      <c r="S555" s="3">
        <v>0</v>
      </c>
      <c r="T555" s="3" t="s">
        <v>443</v>
      </c>
      <c r="U555" s="3" t="s">
        <v>37</v>
      </c>
      <c r="V555" s="3" t="s">
        <v>216</v>
      </c>
      <c r="W555" s="3" t="s">
        <v>73</v>
      </c>
      <c r="X555" s="3" t="s">
        <v>74</v>
      </c>
      <c r="Y555" s="3" t="s">
        <v>585</v>
      </c>
      <c r="Z555" s="3" t="s">
        <v>86</v>
      </c>
      <c r="AA555" s="3" t="s">
        <v>87</v>
      </c>
      <c r="AB555" s="3" t="s">
        <v>43</v>
      </c>
      <c r="AC555" s="3" t="s">
        <v>66</v>
      </c>
      <c r="AD555" s="3">
        <v>1</v>
      </c>
    </row>
    <row r="556" spans="1:30" x14ac:dyDescent="0.3">
      <c r="A556" s="3">
        <v>10</v>
      </c>
      <c r="B556" s="3" t="s">
        <v>496</v>
      </c>
      <c r="C556" s="3" t="s">
        <v>216</v>
      </c>
      <c r="D556" s="3" t="s">
        <v>57</v>
      </c>
      <c r="E556" s="3" t="s">
        <v>32</v>
      </c>
      <c r="F556" s="12">
        <v>45657</v>
      </c>
      <c r="G556" s="8">
        <v>2024</v>
      </c>
      <c r="H556" s="7" t="s">
        <v>44</v>
      </c>
      <c r="I556" s="7" t="s">
        <v>53</v>
      </c>
      <c r="J556" s="3">
        <v>2</v>
      </c>
      <c r="K556" s="9">
        <v>100</v>
      </c>
      <c r="L556" s="9">
        <v>100</v>
      </c>
      <c r="M556" s="3">
        <f t="shared" si="106"/>
        <v>1</v>
      </c>
      <c r="N556" s="3">
        <f t="shared" si="107"/>
        <v>1</v>
      </c>
      <c r="O556" s="3">
        <v>0</v>
      </c>
      <c r="P556" s="3">
        <v>0</v>
      </c>
      <c r="Q556" s="3" t="str">
        <f t="shared" si="89"/>
        <v>10-2024-12-31</v>
      </c>
      <c r="R556" s="3">
        <v>0</v>
      </c>
      <c r="S556" s="3">
        <v>0</v>
      </c>
      <c r="T556" s="3" t="s">
        <v>443</v>
      </c>
      <c r="U556" s="3" t="s">
        <v>37</v>
      </c>
      <c r="V556" s="3" t="s">
        <v>216</v>
      </c>
      <c r="W556" s="3" t="s">
        <v>73</v>
      </c>
      <c r="X556" s="3" t="s">
        <v>74</v>
      </c>
      <c r="Y556" s="3" t="s">
        <v>585</v>
      </c>
      <c r="Z556" s="3" t="s">
        <v>86</v>
      </c>
      <c r="AA556" s="3" t="s">
        <v>87</v>
      </c>
      <c r="AB556" s="3" t="s">
        <v>43</v>
      </c>
      <c r="AC556" s="3" t="s">
        <v>66</v>
      </c>
      <c r="AD556" s="3">
        <v>1</v>
      </c>
    </row>
    <row r="557" spans="1:30" x14ac:dyDescent="0.3">
      <c r="A557" s="3">
        <v>11</v>
      </c>
      <c r="B557" s="3" t="s">
        <v>550</v>
      </c>
      <c r="C557" s="3" t="s">
        <v>525</v>
      </c>
      <c r="D557" s="3" t="s">
        <v>57</v>
      </c>
      <c r="E557" s="3" t="s">
        <v>32</v>
      </c>
      <c r="F557" s="12">
        <v>45657</v>
      </c>
      <c r="G557" s="8">
        <v>2024</v>
      </c>
      <c r="H557" s="7" t="s">
        <v>44</v>
      </c>
      <c r="I557" s="7" t="s">
        <v>53</v>
      </c>
      <c r="J557" s="3">
        <v>2</v>
      </c>
      <c r="K557" s="9">
        <v>0</v>
      </c>
      <c r="L557" s="9">
        <v>0</v>
      </c>
      <c r="M557" s="15">
        <v>0</v>
      </c>
      <c r="N557" s="15">
        <v>0</v>
      </c>
      <c r="O557" s="3" t="s">
        <v>544</v>
      </c>
      <c r="P557" s="3" t="s">
        <v>544</v>
      </c>
      <c r="Q557" s="3" t="str">
        <f t="shared" si="89"/>
        <v>11-2024-12-31</v>
      </c>
      <c r="R557" s="3">
        <v>0</v>
      </c>
      <c r="S557" s="3">
        <v>0</v>
      </c>
      <c r="T557" s="3" t="s">
        <v>443</v>
      </c>
      <c r="U557" s="3" t="s">
        <v>37</v>
      </c>
      <c r="V557" s="3" t="s">
        <v>525</v>
      </c>
      <c r="W557" s="3" t="s">
        <v>312</v>
      </c>
      <c r="X557" s="3" t="s">
        <v>535</v>
      </c>
      <c r="Y557" s="3" t="s">
        <v>536</v>
      </c>
      <c r="Z557" s="3" t="s">
        <v>86</v>
      </c>
      <c r="AA557" s="3" t="s">
        <v>87</v>
      </c>
      <c r="AB557" s="3" t="s">
        <v>43</v>
      </c>
      <c r="AC557" s="3" t="s">
        <v>66</v>
      </c>
      <c r="AD557" s="3">
        <v>1</v>
      </c>
    </row>
    <row r="558" spans="1:30" x14ac:dyDescent="0.3">
      <c r="A558" s="3">
        <v>12</v>
      </c>
      <c r="B558" s="3" t="s">
        <v>545</v>
      </c>
      <c r="C558" s="3" t="s">
        <v>525</v>
      </c>
      <c r="D558" s="3" t="s">
        <v>57</v>
      </c>
      <c r="E558" s="3" t="s">
        <v>32</v>
      </c>
      <c r="F558" s="12">
        <v>45291</v>
      </c>
      <c r="G558" s="8">
        <v>2023</v>
      </c>
      <c r="H558" s="7" t="s">
        <v>44</v>
      </c>
      <c r="I558" s="7" t="s">
        <v>49</v>
      </c>
      <c r="J558" s="3">
        <v>2</v>
      </c>
      <c r="K558" s="3">
        <v>65</v>
      </c>
      <c r="L558" s="3">
        <v>51</v>
      </c>
      <c r="M558" s="3">
        <f t="shared" si="106"/>
        <v>0.7846153846153846</v>
      </c>
      <c r="N558" s="3">
        <f t="shared" si="107"/>
        <v>0.7846153846153846</v>
      </c>
      <c r="O558" s="3"/>
      <c r="P558" s="3"/>
      <c r="Q558" s="3" t="str">
        <f t="shared" si="89"/>
        <v>12-2023-12-31</v>
      </c>
      <c r="R558" s="3">
        <v>0</v>
      </c>
      <c r="S558" s="3">
        <v>0</v>
      </c>
      <c r="T558" s="3" t="s">
        <v>443</v>
      </c>
      <c r="U558" s="3" t="s">
        <v>37</v>
      </c>
      <c r="V558" s="3" t="s">
        <v>525</v>
      </c>
      <c r="W558" s="3" t="s">
        <v>312</v>
      </c>
      <c r="X558" s="3" t="s">
        <v>535</v>
      </c>
      <c r="Y558" s="3" t="s">
        <v>537</v>
      </c>
      <c r="Z558" s="3" t="s">
        <v>86</v>
      </c>
      <c r="AA558" s="3" t="s">
        <v>87</v>
      </c>
      <c r="AB558" s="3" t="s">
        <v>43</v>
      </c>
      <c r="AC558" s="3" t="s">
        <v>66</v>
      </c>
      <c r="AD558" s="3">
        <v>1</v>
      </c>
    </row>
    <row r="559" spans="1:30" x14ac:dyDescent="0.3">
      <c r="A559" s="3">
        <v>12</v>
      </c>
      <c r="B559" s="3" t="s">
        <v>545</v>
      </c>
      <c r="C559" s="3" t="s">
        <v>525</v>
      </c>
      <c r="D559" s="3" t="s">
        <v>57</v>
      </c>
      <c r="E559" s="3" t="s">
        <v>32</v>
      </c>
      <c r="F559" s="12">
        <v>45657</v>
      </c>
      <c r="G559" s="8">
        <v>2024</v>
      </c>
      <c r="H559" s="7" t="s">
        <v>44</v>
      </c>
      <c r="I559" s="7" t="s">
        <v>53</v>
      </c>
      <c r="J559" s="3">
        <v>2</v>
      </c>
      <c r="K559" s="9">
        <v>76</v>
      </c>
      <c r="L559" s="9">
        <v>56</v>
      </c>
      <c r="M559" s="3">
        <f t="shared" si="106"/>
        <v>0.73684210526315785</v>
      </c>
      <c r="N559" s="3">
        <f t="shared" si="107"/>
        <v>0.73684210526315785</v>
      </c>
      <c r="O559" s="3"/>
      <c r="P559" s="3"/>
      <c r="Q559" s="3" t="str">
        <f t="shared" si="89"/>
        <v>12-2024-12-31</v>
      </c>
      <c r="R559" s="3">
        <v>0</v>
      </c>
      <c r="S559" s="3">
        <v>0</v>
      </c>
      <c r="T559" s="3" t="s">
        <v>443</v>
      </c>
      <c r="U559" s="3" t="s">
        <v>37</v>
      </c>
      <c r="V559" s="3" t="s">
        <v>525</v>
      </c>
      <c r="W559" s="3" t="s">
        <v>312</v>
      </c>
      <c r="X559" s="3" t="s">
        <v>535</v>
      </c>
      <c r="Y559" s="3" t="s">
        <v>537</v>
      </c>
      <c r="Z559" s="3" t="s">
        <v>86</v>
      </c>
      <c r="AA559" s="3" t="s">
        <v>87</v>
      </c>
      <c r="AB559" s="3" t="s">
        <v>43</v>
      </c>
      <c r="AC559" s="3" t="s">
        <v>66</v>
      </c>
      <c r="AD559" s="3">
        <v>1</v>
      </c>
    </row>
    <row r="560" spans="1:30" x14ac:dyDescent="0.3">
      <c r="A560" s="3">
        <v>13</v>
      </c>
      <c r="B560" s="3" t="s">
        <v>546</v>
      </c>
      <c r="C560" s="3" t="s">
        <v>526</v>
      </c>
      <c r="D560" s="3" t="s">
        <v>57</v>
      </c>
      <c r="E560" s="3" t="s">
        <v>32</v>
      </c>
      <c r="F560" s="12">
        <v>45291</v>
      </c>
      <c r="G560" s="8">
        <v>2023</v>
      </c>
      <c r="H560" s="7" t="s">
        <v>44</v>
      </c>
      <c r="I560" s="7" t="s">
        <v>49</v>
      </c>
      <c r="J560" s="3">
        <v>2</v>
      </c>
      <c r="K560" s="3">
        <v>100</v>
      </c>
      <c r="L560" s="3">
        <v>99</v>
      </c>
      <c r="M560" s="3">
        <f t="shared" si="106"/>
        <v>0.99</v>
      </c>
      <c r="N560" s="3">
        <f t="shared" si="107"/>
        <v>0.99</v>
      </c>
      <c r="O560" s="3" t="s">
        <v>58</v>
      </c>
      <c r="P560" s="3" t="s">
        <v>58</v>
      </c>
      <c r="Q560" s="3" t="str">
        <f t="shared" si="89"/>
        <v>13-2023-12-31</v>
      </c>
      <c r="R560" s="3">
        <v>0</v>
      </c>
      <c r="S560" s="3">
        <v>0</v>
      </c>
      <c r="T560" s="3" t="s">
        <v>443</v>
      </c>
      <c r="U560" s="3" t="s">
        <v>37</v>
      </c>
      <c r="V560" s="3" t="s">
        <v>526</v>
      </c>
      <c r="W560" s="3" t="s">
        <v>112</v>
      </c>
      <c r="X560" s="3" t="s">
        <v>113</v>
      </c>
      <c r="Y560" s="3" t="s">
        <v>538</v>
      </c>
      <c r="Z560" s="3" t="s">
        <v>86</v>
      </c>
      <c r="AA560" s="3" t="s">
        <v>87</v>
      </c>
      <c r="AB560" s="3" t="s">
        <v>43</v>
      </c>
      <c r="AC560" s="3" t="s">
        <v>66</v>
      </c>
      <c r="AD560" s="3">
        <v>1</v>
      </c>
    </row>
    <row r="561" spans="1:30" x14ac:dyDescent="0.3">
      <c r="A561" s="3">
        <v>13</v>
      </c>
      <c r="B561" s="3" t="s">
        <v>546</v>
      </c>
      <c r="C561" s="3" t="s">
        <v>526</v>
      </c>
      <c r="D561" s="3" t="s">
        <v>57</v>
      </c>
      <c r="E561" s="3" t="s">
        <v>32</v>
      </c>
      <c r="F561" s="12">
        <v>45657</v>
      </c>
      <c r="G561" s="8">
        <v>2024</v>
      </c>
      <c r="H561" s="7" t="s">
        <v>44</v>
      </c>
      <c r="I561" s="7" t="s">
        <v>53</v>
      </c>
      <c r="J561" s="3">
        <v>2</v>
      </c>
      <c r="K561" s="3">
        <v>100</v>
      </c>
      <c r="L561" s="3">
        <v>100</v>
      </c>
      <c r="M561" s="3">
        <f t="shared" si="106"/>
        <v>1</v>
      </c>
      <c r="N561" s="3">
        <f t="shared" si="107"/>
        <v>1</v>
      </c>
      <c r="O561" s="3" t="s">
        <v>58</v>
      </c>
      <c r="P561" s="3" t="s">
        <v>58</v>
      </c>
      <c r="Q561" s="3" t="str">
        <f t="shared" si="89"/>
        <v>13-2024-12-31</v>
      </c>
      <c r="R561" s="3">
        <v>0</v>
      </c>
      <c r="S561" s="3">
        <v>0</v>
      </c>
      <c r="T561" s="3" t="s">
        <v>443</v>
      </c>
      <c r="U561" s="3" t="s">
        <v>37</v>
      </c>
      <c r="V561" s="3" t="s">
        <v>526</v>
      </c>
      <c r="W561" s="3" t="s">
        <v>112</v>
      </c>
      <c r="X561" s="3" t="s">
        <v>113</v>
      </c>
      <c r="Y561" s="3" t="s">
        <v>538</v>
      </c>
      <c r="Z561" s="3" t="s">
        <v>86</v>
      </c>
      <c r="AA561" s="3" t="s">
        <v>87</v>
      </c>
      <c r="AB561" s="3" t="s">
        <v>43</v>
      </c>
      <c r="AC561" s="3" t="s">
        <v>66</v>
      </c>
      <c r="AD561" s="3">
        <v>1</v>
      </c>
    </row>
    <row r="562" spans="1:30" x14ac:dyDescent="0.3">
      <c r="A562" s="5">
        <v>900</v>
      </c>
      <c r="B562" s="6" t="s">
        <v>548</v>
      </c>
      <c r="C562" s="3" t="s">
        <v>342</v>
      </c>
      <c r="D562" s="3" t="s">
        <v>57</v>
      </c>
      <c r="E562" s="3" t="s">
        <v>32</v>
      </c>
      <c r="F562" s="12">
        <v>45657</v>
      </c>
      <c r="G562" s="8">
        <v>2024</v>
      </c>
      <c r="H562" s="7" t="s">
        <v>44</v>
      </c>
      <c r="I562" s="7" t="s">
        <v>53</v>
      </c>
      <c r="J562" s="3">
        <v>2</v>
      </c>
      <c r="K562" s="10">
        <v>100</v>
      </c>
      <c r="L562" s="10">
        <v>100</v>
      </c>
      <c r="M562" s="3">
        <f t="shared" si="106"/>
        <v>1</v>
      </c>
      <c r="N562" s="3">
        <f t="shared" si="107"/>
        <v>1</v>
      </c>
      <c r="O562" s="3" t="s">
        <v>58</v>
      </c>
      <c r="P562" s="3" t="s">
        <v>58</v>
      </c>
      <c r="Q562" s="3" t="str">
        <f t="shared" si="89"/>
        <v>900-2024-12-31</v>
      </c>
      <c r="R562" s="3">
        <v>0</v>
      </c>
      <c r="S562" s="3">
        <v>0</v>
      </c>
      <c r="T562" s="3" t="s">
        <v>443</v>
      </c>
      <c r="U562" s="3" t="s">
        <v>37</v>
      </c>
      <c r="V562" s="3" t="s">
        <v>342</v>
      </c>
      <c r="W562" s="3" t="s">
        <v>112</v>
      </c>
      <c r="X562" s="3" t="s">
        <v>113</v>
      </c>
      <c r="Y562" s="3" t="s">
        <v>538</v>
      </c>
      <c r="Z562" s="3" t="s">
        <v>63</v>
      </c>
      <c r="AA562" s="3" t="s">
        <v>539</v>
      </c>
      <c r="AB562" s="3" t="s">
        <v>43</v>
      </c>
      <c r="AC562" s="3" t="s">
        <v>66</v>
      </c>
      <c r="AD562" s="3">
        <v>1</v>
      </c>
    </row>
    <row r="563" spans="1:30" x14ac:dyDescent="0.3">
      <c r="A563" s="5">
        <v>901</v>
      </c>
      <c r="B563" s="6" t="s">
        <v>497</v>
      </c>
      <c r="C563" s="3" t="s">
        <v>527</v>
      </c>
      <c r="D563" s="3" t="s">
        <v>57</v>
      </c>
      <c r="E563" s="3" t="s">
        <v>32</v>
      </c>
      <c r="F563" s="12">
        <v>45657</v>
      </c>
      <c r="G563" s="8">
        <v>2024</v>
      </c>
      <c r="H563" s="7" t="s">
        <v>44</v>
      </c>
      <c r="I563" s="7" t="s">
        <v>53</v>
      </c>
      <c r="J563" s="3">
        <v>2</v>
      </c>
      <c r="K563" s="11">
        <v>82</v>
      </c>
      <c r="L563" s="11">
        <v>72</v>
      </c>
      <c r="M563" s="3">
        <f t="shared" si="106"/>
        <v>0.87804878048780488</v>
      </c>
      <c r="N563" s="3">
        <f t="shared" si="107"/>
        <v>0.87804878048780488</v>
      </c>
      <c r="O563" s="3"/>
      <c r="P563" s="3"/>
      <c r="Q563" s="3" t="str">
        <f t="shared" si="89"/>
        <v>901-2024-12-31</v>
      </c>
      <c r="R563" s="3">
        <v>0</v>
      </c>
      <c r="S563" s="3">
        <v>0</v>
      </c>
      <c r="T563" s="3"/>
      <c r="U563" s="3" t="s">
        <v>37</v>
      </c>
      <c r="V563" s="3" t="s">
        <v>527</v>
      </c>
      <c r="W563" s="3" t="s">
        <v>312</v>
      </c>
      <c r="X563" s="3" t="s">
        <v>313</v>
      </c>
      <c r="Y563" s="3" t="s">
        <v>540</v>
      </c>
      <c r="Z563" s="3" t="s">
        <v>86</v>
      </c>
      <c r="AA563" s="3" t="s">
        <v>87</v>
      </c>
      <c r="AB563" s="3" t="s">
        <v>43</v>
      </c>
      <c r="AC563" s="3" t="s">
        <v>66</v>
      </c>
      <c r="AD563" s="3">
        <v>1</v>
      </c>
    </row>
    <row r="564" spans="1:30" x14ac:dyDescent="0.3">
      <c r="A564" s="5">
        <v>902</v>
      </c>
      <c r="B564" s="6" t="s">
        <v>498</v>
      </c>
      <c r="C564" s="3" t="s">
        <v>528</v>
      </c>
      <c r="D564" s="3" t="s">
        <v>57</v>
      </c>
      <c r="E564" s="3" t="s">
        <v>32</v>
      </c>
      <c r="F564" s="12">
        <v>45657</v>
      </c>
      <c r="G564" s="8">
        <v>2024</v>
      </c>
      <c r="H564" s="7" t="s">
        <v>44</v>
      </c>
      <c r="I564" s="7" t="s">
        <v>53</v>
      </c>
      <c r="J564" s="3">
        <v>2</v>
      </c>
      <c r="K564" s="10">
        <v>100</v>
      </c>
      <c r="L564" s="10">
        <v>100</v>
      </c>
      <c r="M564" s="3">
        <f t="shared" si="106"/>
        <v>1</v>
      </c>
      <c r="N564" s="3">
        <f t="shared" si="107"/>
        <v>1</v>
      </c>
      <c r="O564" s="3"/>
      <c r="P564" s="3"/>
      <c r="Q564" s="3" t="str">
        <f t="shared" si="89"/>
        <v>902-2024-12-31</v>
      </c>
      <c r="R564" s="3">
        <v>0</v>
      </c>
      <c r="S564" s="3">
        <v>0</v>
      </c>
      <c r="T564" s="3" t="s">
        <v>443</v>
      </c>
      <c r="U564" s="3" t="s">
        <v>37</v>
      </c>
      <c r="V564" s="3" t="s">
        <v>528</v>
      </c>
      <c r="W564" s="3" t="s">
        <v>73</v>
      </c>
      <c r="X564" s="3" t="s">
        <v>74</v>
      </c>
      <c r="Y564" s="3" t="s">
        <v>585</v>
      </c>
      <c r="Z564" s="3" t="s">
        <v>76</v>
      </c>
      <c r="AA564" s="3" t="s">
        <v>77</v>
      </c>
      <c r="AB564" s="3" t="s">
        <v>43</v>
      </c>
      <c r="AC564" s="3" t="s">
        <v>66</v>
      </c>
      <c r="AD564" s="3">
        <v>1</v>
      </c>
    </row>
    <row r="565" spans="1:30" x14ac:dyDescent="0.3">
      <c r="A565" s="5">
        <v>903</v>
      </c>
      <c r="B565" s="6" t="s">
        <v>499</v>
      </c>
      <c r="C565" s="3" t="s">
        <v>529</v>
      </c>
      <c r="D565" s="3" t="s">
        <v>57</v>
      </c>
      <c r="E565" s="3" t="s">
        <v>32</v>
      </c>
      <c r="F565" s="12">
        <v>45657</v>
      </c>
      <c r="G565" s="8">
        <v>2024</v>
      </c>
      <c r="H565" s="7" t="s">
        <v>44</v>
      </c>
      <c r="I565" s="7" t="s">
        <v>53</v>
      </c>
      <c r="J565" s="3"/>
      <c r="K565" s="10">
        <v>49</v>
      </c>
      <c r="L565" s="10">
        <v>49</v>
      </c>
      <c r="M565" s="3">
        <f t="shared" si="106"/>
        <v>1</v>
      </c>
      <c r="N565" s="3">
        <f t="shared" si="107"/>
        <v>1</v>
      </c>
      <c r="O565" s="3"/>
      <c r="P565" s="3"/>
      <c r="Q565" s="3" t="str">
        <f t="shared" si="89"/>
        <v>903-2024-12-31</v>
      </c>
      <c r="R565" s="3">
        <v>0</v>
      </c>
      <c r="S565" s="3">
        <v>0</v>
      </c>
      <c r="T565" s="3"/>
      <c r="U565" s="3" t="s">
        <v>37</v>
      </c>
      <c r="V565" s="3" t="s">
        <v>529</v>
      </c>
      <c r="W565" s="3" t="s">
        <v>112</v>
      </c>
      <c r="X565" s="3" t="s">
        <v>113</v>
      </c>
      <c r="Y565" s="3" t="s">
        <v>541</v>
      </c>
      <c r="Z565" s="3" t="s">
        <v>101</v>
      </c>
      <c r="AA565" s="3" t="s">
        <v>264</v>
      </c>
      <c r="AB565" s="3" t="s">
        <v>43</v>
      </c>
      <c r="AC565" s="3" t="s">
        <v>66</v>
      </c>
      <c r="AD565" s="3">
        <v>1</v>
      </c>
    </row>
    <row r="566" spans="1:30" x14ac:dyDescent="0.3">
      <c r="A566" s="5">
        <v>905</v>
      </c>
      <c r="B566" s="6" t="s">
        <v>501</v>
      </c>
      <c r="C566" s="3" t="s">
        <v>527</v>
      </c>
      <c r="D566" s="3" t="s">
        <v>57</v>
      </c>
      <c r="E566" s="3" t="s">
        <v>32</v>
      </c>
      <c r="F566" s="12">
        <v>45657</v>
      </c>
      <c r="G566" s="8">
        <v>2024</v>
      </c>
      <c r="H566" s="7" t="s">
        <v>44</v>
      </c>
      <c r="I566" s="7" t="s">
        <v>53</v>
      </c>
      <c r="J566" s="3">
        <v>2</v>
      </c>
      <c r="K566" s="10">
        <v>100</v>
      </c>
      <c r="L566" s="10">
        <v>100</v>
      </c>
      <c r="M566" s="3">
        <f t="shared" si="106"/>
        <v>1</v>
      </c>
      <c r="N566" s="3">
        <f t="shared" si="107"/>
        <v>1</v>
      </c>
      <c r="O566" s="3" t="s">
        <v>58</v>
      </c>
      <c r="P566" s="3" t="s">
        <v>58</v>
      </c>
      <c r="Q566" s="3" t="str">
        <f t="shared" si="89"/>
        <v>905-2024-12-31</v>
      </c>
      <c r="R566" s="3">
        <v>0</v>
      </c>
      <c r="S566" s="3">
        <v>0</v>
      </c>
      <c r="T566" s="3" t="s">
        <v>443</v>
      </c>
      <c r="U566" s="3" t="s">
        <v>37</v>
      </c>
      <c r="V566" s="3" t="s">
        <v>527</v>
      </c>
      <c r="W566" s="3" t="s">
        <v>73</v>
      </c>
      <c r="X566" s="3" t="s">
        <v>218</v>
      </c>
      <c r="Y566" s="3" t="s">
        <v>331</v>
      </c>
      <c r="Z566" s="3" t="s">
        <v>86</v>
      </c>
      <c r="AA566" s="3" t="s">
        <v>87</v>
      </c>
      <c r="AB566" s="3" t="s">
        <v>43</v>
      </c>
      <c r="AC566" s="3" t="s">
        <v>66</v>
      </c>
      <c r="AD566" s="3">
        <v>1</v>
      </c>
    </row>
    <row r="567" spans="1:30" x14ac:dyDescent="0.3">
      <c r="A567" s="5">
        <v>906</v>
      </c>
      <c r="B567" s="6" t="s">
        <v>502</v>
      </c>
      <c r="C567" s="3" t="s">
        <v>527</v>
      </c>
      <c r="D567" s="3" t="s">
        <v>57</v>
      </c>
      <c r="E567" s="3" t="s">
        <v>32</v>
      </c>
      <c r="F567" s="12">
        <v>45657</v>
      </c>
      <c r="G567" s="8">
        <v>2024</v>
      </c>
      <c r="H567" s="7" t="s">
        <v>44</v>
      </c>
      <c r="I567" s="7" t="s">
        <v>53</v>
      </c>
      <c r="J567" s="3">
        <v>2</v>
      </c>
      <c r="K567" s="10">
        <v>100</v>
      </c>
      <c r="L567" s="10">
        <v>100</v>
      </c>
      <c r="M567" s="3">
        <f t="shared" si="106"/>
        <v>1</v>
      </c>
      <c r="N567" s="3">
        <f t="shared" si="107"/>
        <v>1</v>
      </c>
      <c r="O567" s="3" t="s">
        <v>58</v>
      </c>
      <c r="P567" s="3" t="s">
        <v>58</v>
      </c>
      <c r="Q567" s="3" t="str">
        <f t="shared" si="89"/>
        <v>906-2024-12-31</v>
      </c>
      <c r="R567" s="3">
        <v>0</v>
      </c>
      <c r="S567" s="3">
        <v>0</v>
      </c>
      <c r="T567" s="3" t="s">
        <v>443</v>
      </c>
      <c r="U567" s="3" t="s">
        <v>37</v>
      </c>
      <c r="V567" s="3" t="s">
        <v>527</v>
      </c>
      <c r="W567" s="3" t="s">
        <v>73</v>
      </c>
      <c r="X567" s="3" t="s">
        <v>74</v>
      </c>
      <c r="Y567" s="3" t="s">
        <v>585</v>
      </c>
      <c r="Z567" s="3" t="s">
        <v>76</v>
      </c>
      <c r="AA567" s="3" t="s">
        <v>77</v>
      </c>
      <c r="AB567" s="3" t="s">
        <v>43</v>
      </c>
      <c r="AC567" s="3" t="s">
        <v>66</v>
      </c>
      <c r="AD567" s="3">
        <v>1</v>
      </c>
    </row>
    <row r="568" spans="1:30" x14ac:dyDescent="0.3">
      <c r="A568" s="5">
        <v>907</v>
      </c>
      <c r="B568" s="6" t="s">
        <v>503</v>
      </c>
      <c r="C568" s="3" t="s">
        <v>527</v>
      </c>
      <c r="D568" s="3" t="s">
        <v>57</v>
      </c>
      <c r="E568" s="3" t="s">
        <v>32</v>
      </c>
      <c r="F568" s="12">
        <v>45657</v>
      </c>
      <c r="G568" s="8">
        <v>2024</v>
      </c>
      <c r="H568" s="7" t="s">
        <v>44</v>
      </c>
      <c r="I568" s="7" t="s">
        <v>53</v>
      </c>
      <c r="J568" s="3">
        <v>2</v>
      </c>
      <c r="K568" s="10">
        <v>100</v>
      </c>
      <c r="L568" s="10">
        <v>100</v>
      </c>
      <c r="M568" s="3">
        <f t="shared" si="106"/>
        <v>1</v>
      </c>
      <c r="N568" s="3">
        <f t="shared" si="107"/>
        <v>1</v>
      </c>
      <c r="O568" s="3" t="s">
        <v>58</v>
      </c>
      <c r="P568" s="3" t="s">
        <v>58</v>
      </c>
      <c r="Q568" s="3" t="str">
        <f t="shared" si="89"/>
        <v>907-2024-12-31</v>
      </c>
      <c r="R568" s="3">
        <v>0</v>
      </c>
      <c r="S568" s="3">
        <v>0</v>
      </c>
      <c r="T568" s="3" t="s">
        <v>443</v>
      </c>
      <c r="U568" s="3" t="s">
        <v>37</v>
      </c>
      <c r="V568" s="3" t="s">
        <v>527</v>
      </c>
      <c r="W568" s="3" t="s">
        <v>73</v>
      </c>
      <c r="X568" s="3" t="s">
        <v>218</v>
      </c>
      <c r="Y568" s="3" t="s">
        <v>331</v>
      </c>
      <c r="Z568" s="3" t="s">
        <v>86</v>
      </c>
      <c r="AA568" s="3" t="s">
        <v>339</v>
      </c>
      <c r="AB568" s="3" t="s">
        <v>43</v>
      </c>
      <c r="AC568" s="3" t="s">
        <v>66</v>
      </c>
      <c r="AD568" s="3">
        <v>1</v>
      </c>
    </row>
    <row r="569" spans="1:30" x14ac:dyDescent="0.3">
      <c r="A569" s="5">
        <v>908</v>
      </c>
      <c r="B569" s="6" t="s">
        <v>504</v>
      </c>
      <c r="C569" s="3" t="s">
        <v>83</v>
      </c>
      <c r="D569" s="3" t="s">
        <v>57</v>
      </c>
      <c r="E569" s="3" t="s">
        <v>32</v>
      </c>
      <c r="F569" s="12">
        <v>45657</v>
      </c>
      <c r="G569" s="8">
        <v>2024</v>
      </c>
      <c r="H569" s="7" t="s">
        <v>44</v>
      </c>
      <c r="I569" s="7" t="s">
        <v>53</v>
      </c>
      <c r="J569" s="3">
        <v>2</v>
      </c>
      <c r="K569" s="10">
        <v>100</v>
      </c>
      <c r="L569" s="10">
        <v>100</v>
      </c>
      <c r="M569" s="3">
        <f t="shared" si="106"/>
        <v>1</v>
      </c>
      <c r="N569" s="3">
        <f t="shared" si="107"/>
        <v>1</v>
      </c>
      <c r="O569" s="3" t="s">
        <v>58</v>
      </c>
      <c r="P569" s="3" t="s">
        <v>58</v>
      </c>
      <c r="Q569" s="3" t="str">
        <f t="shared" si="89"/>
        <v>908-2024-12-31</v>
      </c>
      <c r="R569" s="3">
        <v>0</v>
      </c>
      <c r="S569" s="3">
        <v>0</v>
      </c>
      <c r="T569" s="3" t="s">
        <v>443</v>
      </c>
      <c r="U569" s="3" t="s">
        <v>37</v>
      </c>
      <c r="V569" s="3" t="s">
        <v>83</v>
      </c>
      <c r="W569" s="3" t="s">
        <v>38</v>
      </c>
      <c r="X569" s="3" t="s">
        <v>39</v>
      </c>
      <c r="Y569" s="3" t="s">
        <v>85</v>
      </c>
      <c r="Z569" s="3" t="s">
        <v>63</v>
      </c>
      <c r="AA569" s="3" t="s">
        <v>539</v>
      </c>
      <c r="AB569" s="3" t="s">
        <v>43</v>
      </c>
      <c r="AC569" s="3" t="s">
        <v>66</v>
      </c>
      <c r="AD569" s="3">
        <v>1</v>
      </c>
    </row>
    <row r="570" spans="1:30" x14ac:dyDescent="0.3">
      <c r="A570" s="3" t="s">
        <v>485</v>
      </c>
      <c r="B570" s="3" t="s">
        <v>486</v>
      </c>
      <c r="C570" s="3" t="s">
        <v>487</v>
      </c>
      <c r="D570" s="3" t="s">
        <v>57</v>
      </c>
      <c r="E570" s="3" t="s">
        <v>32</v>
      </c>
      <c r="F570" s="12">
        <v>44926</v>
      </c>
      <c r="G570" s="8">
        <v>2022</v>
      </c>
      <c r="H570" s="7" t="s">
        <v>44</v>
      </c>
      <c r="I570" s="7" t="s">
        <v>45</v>
      </c>
      <c r="J570" s="3">
        <v>2</v>
      </c>
      <c r="K570" s="3">
        <v>87</v>
      </c>
      <c r="L570" s="3">
        <v>89</v>
      </c>
      <c r="M570" s="3">
        <f t="shared" si="106"/>
        <v>1</v>
      </c>
      <c r="N570" s="3">
        <f t="shared" si="107"/>
        <v>1</v>
      </c>
      <c r="O570" s="3">
        <v>0</v>
      </c>
      <c r="P570" s="3">
        <v>0</v>
      </c>
      <c r="Q570" s="3" t="str">
        <f t="shared" si="89"/>
        <v>10.1-2022-12-31</v>
      </c>
      <c r="R570" s="3">
        <v>0</v>
      </c>
      <c r="S570" s="3">
        <v>0</v>
      </c>
      <c r="T570" s="3" t="s">
        <v>443</v>
      </c>
      <c r="U570" s="3" t="s">
        <v>37</v>
      </c>
      <c r="V570" s="3" t="s">
        <v>487</v>
      </c>
      <c r="W570" s="3" t="s">
        <v>73</v>
      </c>
      <c r="X570" s="3" t="s">
        <v>74</v>
      </c>
      <c r="Y570" s="3" t="s">
        <v>585</v>
      </c>
      <c r="Z570" s="3" t="s">
        <v>86</v>
      </c>
      <c r="AA570" s="3" t="s">
        <v>87</v>
      </c>
      <c r="AB570" s="3" t="s">
        <v>43</v>
      </c>
      <c r="AC570" s="3" t="s">
        <v>66</v>
      </c>
      <c r="AD570" s="3">
        <v>1</v>
      </c>
    </row>
    <row r="571" spans="1:30" x14ac:dyDescent="0.3">
      <c r="A571" s="3" t="s">
        <v>485</v>
      </c>
      <c r="B571" s="3" t="s">
        <v>486</v>
      </c>
      <c r="C571" s="3" t="s">
        <v>487</v>
      </c>
      <c r="D571" s="3" t="s">
        <v>57</v>
      </c>
      <c r="E571" s="3" t="s">
        <v>32</v>
      </c>
      <c r="F571" s="12">
        <v>45291</v>
      </c>
      <c r="G571" s="8">
        <v>2023</v>
      </c>
      <c r="H571" s="7" t="s">
        <v>44</v>
      </c>
      <c r="I571" s="7" t="s">
        <v>49</v>
      </c>
      <c r="J571" s="3">
        <v>2</v>
      </c>
      <c r="K571" s="3">
        <v>100</v>
      </c>
      <c r="L571" s="3">
        <v>100</v>
      </c>
      <c r="M571" s="3">
        <f t="shared" si="106"/>
        <v>1</v>
      </c>
      <c r="N571" s="3">
        <f t="shared" si="107"/>
        <v>1</v>
      </c>
      <c r="O571" s="3">
        <v>0</v>
      </c>
      <c r="P571" s="3">
        <v>0</v>
      </c>
      <c r="Q571" s="3" t="str">
        <f t="shared" si="89"/>
        <v>10.1-2023-12-31</v>
      </c>
      <c r="R571" s="3">
        <v>0</v>
      </c>
      <c r="S571" s="3">
        <v>0</v>
      </c>
      <c r="T571" s="3" t="s">
        <v>443</v>
      </c>
      <c r="U571" s="3" t="s">
        <v>37</v>
      </c>
      <c r="V571" s="3" t="s">
        <v>487</v>
      </c>
      <c r="W571" s="3" t="s">
        <v>73</v>
      </c>
      <c r="X571" s="3" t="s">
        <v>74</v>
      </c>
      <c r="Y571" s="3" t="s">
        <v>585</v>
      </c>
      <c r="Z571" s="3" t="s">
        <v>86</v>
      </c>
      <c r="AA571" s="3" t="s">
        <v>87</v>
      </c>
      <c r="AB571" s="3" t="s">
        <v>43</v>
      </c>
      <c r="AC571" s="3" t="s">
        <v>66</v>
      </c>
      <c r="AD571" s="3">
        <v>1</v>
      </c>
    </row>
    <row r="572" spans="1:30" x14ac:dyDescent="0.3">
      <c r="A572" s="3" t="s">
        <v>488</v>
      </c>
      <c r="B572" s="3" t="s">
        <v>547</v>
      </c>
      <c r="C572" s="3" t="s">
        <v>521</v>
      </c>
      <c r="D572" s="3" t="s">
        <v>57</v>
      </c>
      <c r="E572" s="3" t="s">
        <v>32</v>
      </c>
      <c r="F572" s="12">
        <v>44926</v>
      </c>
      <c r="G572" s="8">
        <v>2022</v>
      </c>
      <c r="H572" s="7" t="s">
        <v>44</v>
      </c>
      <c r="I572" s="7" t="s">
        <v>45</v>
      </c>
      <c r="J572" s="3">
        <v>2</v>
      </c>
      <c r="K572" s="3">
        <v>57</v>
      </c>
      <c r="L572" s="3">
        <v>71</v>
      </c>
      <c r="M572" s="3">
        <f t="shared" si="106"/>
        <v>1</v>
      </c>
      <c r="N572" s="3">
        <f t="shared" si="107"/>
        <v>1</v>
      </c>
      <c r="O572" s="3" t="s">
        <v>58</v>
      </c>
      <c r="P572" s="3" t="s">
        <v>58</v>
      </c>
      <c r="Q572" s="3" t="str">
        <f t="shared" si="89"/>
        <v>13.1-2022-12-31</v>
      </c>
      <c r="R572" s="3">
        <v>0</v>
      </c>
      <c r="S572" s="3">
        <v>0</v>
      </c>
      <c r="T572" s="3" t="s">
        <v>443</v>
      </c>
      <c r="U572" s="3" t="s">
        <v>37</v>
      </c>
      <c r="V572" s="3" t="s">
        <v>521</v>
      </c>
      <c r="W572" s="3" t="s">
        <v>112</v>
      </c>
      <c r="X572" s="3" t="s">
        <v>113</v>
      </c>
      <c r="Y572" s="3" t="s">
        <v>538</v>
      </c>
      <c r="Z572" s="3" t="s">
        <v>63</v>
      </c>
      <c r="AA572" s="3" t="s">
        <v>334</v>
      </c>
      <c r="AB572" s="3" t="s">
        <v>43</v>
      </c>
      <c r="AC572" s="3" t="s">
        <v>66</v>
      </c>
      <c r="AD572" s="3">
        <v>1</v>
      </c>
    </row>
    <row r="573" spans="1:30" x14ac:dyDescent="0.3">
      <c r="A573" s="3" t="s">
        <v>488</v>
      </c>
      <c r="B573" s="3" t="s">
        <v>547</v>
      </c>
      <c r="C573" s="3" t="s">
        <v>521</v>
      </c>
      <c r="D573" s="3" t="s">
        <v>57</v>
      </c>
      <c r="E573" s="3" t="s">
        <v>32</v>
      </c>
      <c r="F573" s="12">
        <v>45291</v>
      </c>
      <c r="G573" s="8">
        <v>2023</v>
      </c>
      <c r="H573" s="7" t="s">
        <v>44</v>
      </c>
      <c r="I573" s="7" t="s">
        <v>49</v>
      </c>
      <c r="J573" s="3">
        <v>2</v>
      </c>
      <c r="K573" s="3">
        <v>100</v>
      </c>
      <c r="L573" s="3">
        <v>100</v>
      </c>
      <c r="M573" s="3">
        <f t="shared" si="106"/>
        <v>1</v>
      </c>
      <c r="N573" s="3">
        <f t="shared" si="107"/>
        <v>1</v>
      </c>
      <c r="O573" s="3" t="s">
        <v>58</v>
      </c>
      <c r="P573" s="3" t="s">
        <v>58</v>
      </c>
      <c r="Q573" s="3" t="str">
        <f t="shared" si="89"/>
        <v>13.1-2023-12-31</v>
      </c>
      <c r="R573" s="3">
        <v>0</v>
      </c>
      <c r="S573" s="3">
        <v>0</v>
      </c>
      <c r="T573" s="3" t="s">
        <v>443</v>
      </c>
      <c r="U573" s="3" t="s">
        <v>37</v>
      </c>
      <c r="V573" s="3" t="s">
        <v>521</v>
      </c>
      <c r="W573" s="3" t="s">
        <v>112</v>
      </c>
      <c r="X573" s="3" t="s">
        <v>113</v>
      </c>
      <c r="Y573" s="3" t="s">
        <v>538</v>
      </c>
      <c r="Z573" s="3" t="s">
        <v>63</v>
      </c>
      <c r="AA573" s="3" t="s">
        <v>334</v>
      </c>
      <c r="AB573" s="3" t="s">
        <v>43</v>
      </c>
      <c r="AC573" s="3" t="s">
        <v>66</v>
      </c>
      <c r="AD573" s="3">
        <v>1</v>
      </c>
    </row>
    <row r="574" spans="1:30" x14ac:dyDescent="0.3">
      <c r="A574" s="3">
        <v>1</v>
      </c>
      <c r="B574" s="3" t="s">
        <v>549</v>
      </c>
      <c r="C574" s="3" t="s">
        <v>349</v>
      </c>
      <c r="D574" s="3" t="s">
        <v>57</v>
      </c>
      <c r="E574" s="3" t="s">
        <v>32</v>
      </c>
      <c r="F574" s="12">
        <v>46023</v>
      </c>
      <c r="G574" s="3">
        <v>2026</v>
      </c>
      <c r="H574" s="3" t="s">
        <v>484</v>
      </c>
      <c r="I574" s="3" t="s">
        <v>484</v>
      </c>
      <c r="J574" s="3"/>
      <c r="K574" s="9">
        <v>100</v>
      </c>
      <c r="L574" s="9">
        <v>100</v>
      </c>
      <c r="M574" s="3">
        <f t="shared" si="106"/>
        <v>1</v>
      </c>
      <c r="N574" s="3">
        <f t="shared" si="107"/>
        <v>1</v>
      </c>
      <c r="O574" s="3" t="s">
        <v>58</v>
      </c>
      <c r="P574" s="3" t="s">
        <v>58</v>
      </c>
      <c r="Q574" s="3" t="str">
        <f t="shared" si="89"/>
        <v>1-2026-01-01</v>
      </c>
      <c r="R574" s="3">
        <v>0</v>
      </c>
      <c r="S574" s="3">
        <v>0</v>
      </c>
      <c r="T574" s="3" t="s">
        <v>484</v>
      </c>
      <c r="U574" s="3" t="s">
        <v>37</v>
      </c>
      <c r="V574" s="3" t="s">
        <v>349</v>
      </c>
      <c r="W574" s="3" t="s">
        <v>73</v>
      </c>
      <c r="X574" s="3" t="s">
        <v>218</v>
      </c>
      <c r="Y574" s="3" t="s">
        <v>351</v>
      </c>
      <c r="Z574" s="3" t="s">
        <v>86</v>
      </c>
      <c r="AA574" s="3" t="s">
        <v>87</v>
      </c>
      <c r="AB574" s="3" t="s">
        <v>43</v>
      </c>
      <c r="AC574" s="3" t="s">
        <v>66</v>
      </c>
      <c r="AD574" s="3">
        <v>1</v>
      </c>
    </row>
    <row r="575" spans="1:30" x14ac:dyDescent="0.3">
      <c r="A575" s="3">
        <v>2</v>
      </c>
      <c r="B575" s="3" t="s">
        <v>489</v>
      </c>
      <c r="C575" s="3" t="s">
        <v>521</v>
      </c>
      <c r="D575" s="3" t="s">
        <v>57</v>
      </c>
      <c r="E575" s="3" t="s">
        <v>32</v>
      </c>
      <c r="F575" s="12">
        <v>46023</v>
      </c>
      <c r="G575" s="3">
        <v>2026</v>
      </c>
      <c r="H575" s="3" t="s">
        <v>484</v>
      </c>
      <c r="I575" s="3" t="s">
        <v>484</v>
      </c>
      <c r="J575" s="3"/>
      <c r="K575" s="3">
        <v>100</v>
      </c>
      <c r="L575" s="3">
        <v>100</v>
      </c>
      <c r="M575" s="3">
        <f t="shared" si="106"/>
        <v>1</v>
      </c>
      <c r="N575" s="3">
        <f t="shared" si="107"/>
        <v>1</v>
      </c>
      <c r="O575" s="3" t="s">
        <v>58</v>
      </c>
      <c r="P575" s="3" t="s">
        <v>58</v>
      </c>
      <c r="Q575" s="3" t="str">
        <f t="shared" si="89"/>
        <v>2-2026-01-01</v>
      </c>
      <c r="R575" s="3">
        <v>0</v>
      </c>
      <c r="S575" s="3">
        <v>0</v>
      </c>
      <c r="T575" s="3" t="s">
        <v>484</v>
      </c>
      <c r="U575" s="3" t="s">
        <v>37</v>
      </c>
      <c r="V575" s="3" t="s">
        <v>521</v>
      </c>
      <c r="W575" s="3" t="s">
        <v>60</v>
      </c>
      <c r="X575" s="3" t="s">
        <v>100</v>
      </c>
      <c r="Y575" s="3" t="s">
        <v>133</v>
      </c>
      <c r="Z575" s="3" t="s">
        <v>134</v>
      </c>
      <c r="AA575" s="3" t="s">
        <v>532</v>
      </c>
      <c r="AB575" s="3" t="s">
        <v>43</v>
      </c>
      <c r="AC575" s="3" t="s">
        <v>66</v>
      </c>
      <c r="AD575" s="3">
        <v>1</v>
      </c>
    </row>
    <row r="576" spans="1:30" x14ac:dyDescent="0.3">
      <c r="A576" s="3">
        <v>3</v>
      </c>
      <c r="B576" s="3" t="s">
        <v>490</v>
      </c>
      <c r="C576" s="3" t="s">
        <v>522</v>
      </c>
      <c r="D576" s="3" t="s">
        <v>57</v>
      </c>
      <c r="E576" s="3" t="s">
        <v>32</v>
      </c>
      <c r="F576" s="12">
        <v>46023</v>
      </c>
      <c r="G576" s="3">
        <v>2026</v>
      </c>
      <c r="H576" s="3" t="s">
        <v>484</v>
      </c>
      <c r="I576" s="3" t="s">
        <v>484</v>
      </c>
      <c r="J576" s="3"/>
      <c r="K576" s="9">
        <v>100</v>
      </c>
      <c r="L576" s="9">
        <v>100</v>
      </c>
      <c r="M576" s="3">
        <f t="shared" si="106"/>
        <v>1</v>
      </c>
      <c r="N576" s="3">
        <f t="shared" si="107"/>
        <v>1</v>
      </c>
      <c r="O576" s="3" t="s">
        <v>58</v>
      </c>
      <c r="P576" s="3" t="s">
        <v>58</v>
      </c>
      <c r="Q576" s="3" t="str">
        <f t="shared" si="89"/>
        <v>3-2026-01-01</v>
      </c>
      <c r="R576" s="3">
        <v>0</v>
      </c>
      <c r="S576" s="3">
        <v>0</v>
      </c>
      <c r="T576" s="3" t="s">
        <v>484</v>
      </c>
      <c r="U576" s="3" t="s">
        <v>37</v>
      </c>
      <c r="V576" s="3" t="s">
        <v>522</v>
      </c>
      <c r="W576" s="3" t="s">
        <v>60</v>
      </c>
      <c r="X576" s="3" t="s">
        <v>262</v>
      </c>
      <c r="Y576" s="3" t="s">
        <v>533</v>
      </c>
      <c r="Z576" s="3" t="s">
        <v>101</v>
      </c>
      <c r="AA576" s="3" t="s">
        <v>534</v>
      </c>
      <c r="AB576" s="3" t="s">
        <v>43</v>
      </c>
      <c r="AC576" s="3" t="s">
        <v>66</v>
      </c>
      <c r="AD576" s="3">
        <v>1</v>
      </c>
    </row>
    <row r="577" spans="1:30" x14ac:dyDescent="0.3">
      <c r="A577" s="3">
        <v>4</v>
      </c>
      <c r="B577" s="3" t="s">
        <v>491</v>
      </c>
      <c r="C577" s="3" t="s">
        <v>523</v>
      </c>
      <c r="D577" s="3" t="s">
        <v>57</v>
      </c>
      <c r="E577" s="3" t="s">
        <v>32</v>
      </c>
      <c r="F577" s="12">
        <v>46023</v>
      </c>
      <c r="G577" s="3">
        <v>2026</v>
      </c>
      <c r="H577" s="3" t="s">
        <v>484</v>
      </c>
      <c r="I577" s="3" t="s">
        <v>484</v>
      </c>
      <c r="J577" s="3"/>
      <c r="K577" s="9">
        <v>100</v>
      </c>
      <c r="L577" s="9">
        <v>100</v>
      </c>
      <c r="M577" s="3">
        <f t="shared" si="106"/>
        <v>1</v>
      </c>
      <c r="N577" s="3">
        <f t="shared" si="107"/>
        <v>1</v>
      </c>
      <c r="O577" s="3"/>
      <c r="P577" s="3"/>
      <c r="Q577" s="3" t="str">
        <f t="shared" si="89"/>
        <v>4-2026-01-01</v>
      </c>
      <c r="R577" s="3">
        <v>0</v>
      </c>
      <c r="S577" s="3">
        <v>0</v>
      </c>
      <c r="T577" s="3" t="s">
        <v>484</v>
      </c>
      <c r="U577" s="3" t="s">
        <v>37</v>
      </c>
      <c r="V577" s="3" t="s">
        <v>523</v>
      </c>
      <c r="W577" s="3" t="s">
        <v>145</v>
      </c>
      <c r="X577" s="3" t="s">
        <v>179</v>
      </c>
      <c r="Y577" s="3" t="s">
        <v>180</v>
      </c>
      <c r="Z577" s="3" t="s">
        <v>101</v>
      </c>
      <c r="AA577" s="3" t="s">
        <v>264</v>
      </c>
      <c r="AB577" s="3" t="s">
        <v>43</v>
      </c>
      <c r="AC577" s="3" t="s">
        <v>66</v>
      </c>
      <c r="AD577" s="3">
        <v>1</v>
      </c>
    </row>
    <row r="578" spans="1:30" x14ac:dyDescent="0.3">
      <c r="A578" s="3">
        <v>6</v>
      </c>
      <c r="B578" s="3" t="s">
        <v>493</v>
      </c>
      <c r="C578" s="3" t="s">
        <v>524</v>
      </c>
      <c r="D578" s="3" t="s">
        <v>57</v>
      </c>
      <c r="E578" s="3" t="s">
        <v>32</v>
      </c>
      <c r="F578" s="12">
        <v>46023</v>
      </c>
      <c r="G578" s="3">
        <v>2026</v>
      </c>
      <c r="H578" s="3" t="s">
        <v>484</v>
      </c>
      <c r="I578" s="3" t="s">
        <v>484</v>
      </c>
      <c r="J578" s="3"/>
      <c r="K578" s="9">
        <v>100</v>
      </c>
      <c r="L578" s="9">
        <v>100</v>
      </c>
      <c r="M578" s="3">
        <f t="shared" si="106"/>
        <v>1</v>
      </c>
      <c r="N578" s="3">
        <f t="shared" si="107"/>
        <v>1</v>
      </c>
      <c r="O578" s="3" t="s">
        <v>58</v>
      </c>
      <c r="P578" s="3" t="s">
        <v>58</v>
      </c>
      <c r="Q578" s="3" t="str">
        <f t="shared" si="89"/>
        <v>6-2026-01-01</v>
      </c>
      <c r="R578" s="3">
        <v>0</v>
      </c>
      <c r="S578" s="3">
        <v>0</v>
      </c>
      <c r="T578" s="3" t="s">
        <v>484</v>
      </c>
      <c r="U578" s="3" t="s">
        <v>37</v>
      </c>
      <c r="V578" s="3" t="s">
        <v>524</v>
      </c>
      <c r="W578" s="3" t="s">
        <v>60</v>
      </c>
      <c r="X578" s="3" t="s">
        <v>61</v>
      </c>
      <c r="Y578" s="3" t="s">
        <v>62</v>
      </c>
      <c r="Z578" s="3" t="s">
        <v>101</v>
      </c>
      <c r="AA578" s="3" t="s">
        <v>264</v>
      </c>
      <c r="AB578" s="3" t="s">
        <v>43</v>
      </c>
      <c r="AC578" s="3" t="s">
        <v>66</v>
      </c>
      <c r="AD578" s="3">
        <v>1</v>
      </c>
    </row>
    <row r="579" spans="1:30" x14ac:dyDescent="0.3">
      <c r="A579" s="3">
        <v>7</v>
      </c>
      <c r="B579" s="3" t="s">
        <v>494</v>
      </c>
      <c r="C579" s="3" t="s">
        <v>524</v>
      </c>
      <c r="D579" s="3" t="s">
        <v>57</v>
      </c>
      <c r="E579" s="3" t="s">
        <v>32</v>
      </c>
      <c r="F579" s="12">
        <v>46023</v>
      </c>
      <c r="G579" s="3">
        <v>2026</v>
      </c>
      <c r="H579" s="3" t="s">
        <v>484</v>
      </c>
      <c r="I579" s="3" t="s">
        <v>484</v>
      </c>
      <c r="J579" s="3"/>
      <c r="K579" s="9">
        <v>100</v>
      </c>
      <c r="L579" s="9">
        <v>100</v>
      </c>
      <c r="M579" s="3">
        <f t="shared" si="106"/>
        <v>1</v>
      </c>
      <c r="N579" s="3">
        <f t="shared" si="107"/>
        <v>1</v>
      </c>
      <c r="O579" s="3" t="s">
        <v>58</v>
      </c>
      <c r="P579" s="3" t="s">
        <v>58</v>
      </c>
      <c r="Q579" s="3" t="str">
        <f t="shared" ref="Q579:Q642" si="108">A579&amp;"-"&amp;YEAR(F579)&amp;"-"&amp;IF(LEN(MONTH(F579))=1,"0"&amp;MONTH(F579),MONTH(F579))&amp;"-"&amp;IF(LEN(DAY(F579))=1,"0"&amp;DAY(F579),DAY(F579))</f>
        <v>7-2026-01-01</v>
      </c>
      <c r="R579" s="3">
        <v>0</v>
      </c>
      <c r="S579" s="3">
        <v>0</v>
      </c>
      <c r="T579" s="3" t="s">
        <v>484</v>
      </c>
      <c r="U579" s="3" t="s">
        <v>37</v>
      </c>
      <c r="V579" s="3" t="s">
        <v>524</v>
      </c>
      <c r="W579" s="3" t="s">
        <v>60</v>
      </c>
      <c r="X579" s="3" t="s">
        <v>61</v>
      </c>
      <c r="Y579" s="3" t="s">
        <v>62</v>
      </c>
      <c r="Z579" s="3" t="s">
        <v>101</v>
      </c>
      <c r="AA579" s="3" t="s">
        <v>264</v>
      </c>
      <c r="AB579" s="3" t="s">
        <v>43</v>
      </c>
      <c r="AC579" s="3" t="s">
        <v>66</v>
      </c>
      <c r="AD579" s="3">
        <v>1</v>
      </c>
    </row>
    <row r="580" spans="1:30" x14ac:dyDescent="0.3">
      <c r="A580" s="3">
        <v>9</v>
      </c>
      <c r="B580" s="3" t="s">
        <v>551</v>
      </c>
      <c r="C580" s="3" t="s">
        <v>524</v>
      </c>
      <c r="D580" s="3" t="s">
        <v>57</v>
      </c>
      <c r="E580" s="3" t="s">
        <v>32</v>
      </c>
      <c r="F580" s="12">
        <v>46023</v>
      </c>
      <c r="G580" s="3">
        <v>2026</v>
      </c>
      <c r="H580" s="3" t="s">
        <v>484</v>
      </c>
      <c r="I580" s="3" t="s">
        <v>484</v>
      </c>
      <c r="J580" s="3"/>
      <c r="K580" s="9">
        <v>100</v>
      </c>
      <c r="L580" s="9">
        <v>100</v>
      </c>
      <c r="M580" s="3">
        <f t="shared" si="106"/>
        <v>1</v>
      </c>
      <c r="N580" s="3">
        <f t="shared" si="107"/>
        <v>1</v>
      </c>
      <c r="O580" s="3" t="s">
        <v>58</v>
      </c>
      <c r="P580" s="3" t="s">
        <v>58</v>
      </c>
      <c r="Q580" s="3" t="str">
        <f t="shared" si="108"/>
        <v>9-2026-01-01</v>
      </c>
      <c r="R580" s="3">
        <v>0</v>
      </c>
      <c r="S580" s="3">
        <v>0</v>
      </c>
      <c r="T580" s="3" t="s">
        <v>484</v>
      </c>
      <c r="U580" s="3" t="s">
        <v>37</v>
      </c>
      <c r="V580" s="3" t="s">
        <v>524</v>
      </c>
      <c r="W580" s="3" t="s">
        <v>60</v>
      </c>
      <c r="X580" s="3" t="s">
        <v>61</v>
      </c>
      <c r="Y580" s="3" t="s">
        <v>62</v>
      </c>
      <c r="Z580" s="3" t="s">
        <v>101</v>
      </c>
      <c r="AA580" s="3" t="s">
        <v>264</v>
      </c>
      <c r="AB580" s="3" t="s">
        <v>43</v>
      </c>
      <c r="AC580" s="3" t="s">
        <v>66</v>
      </c>
      <c r="AD580" s="3">
        <v>1</v>
      </c>
    </row>
    <row r="581" spans="1:30" x14ac:dyDescent="0.3">
      <c r="A581" s="3">
        <v>10</v>
      </c>
      <c r="B581" s="3" t="s">
        <v>496</v>
      </c>
      <c r="C581" s="3" t="s">
        <v>216</v>
      </c>
      <c r="D581" s="3" t="s">
        <v>57</v>
      </c>
      <c r="E581" s="3" t="s">
        <v>32</v>
      </c>
      <c r="F581" s="12">
        <v>46023</v>
      </c>
      <c r="G581" s="3">
        <v>2026</v>
      </c>
      <c r="H581" s="3" t="s">
        <v>484</v>
      </c>
      <c r="I581" s="3" t="s">
        <v>484</v>
      </c>
      <c r="J581" s="3"/>
      <c r="K581" s="9">
        <v>100</v>
      </c>
      <c r="L581" s="9">
        <v>100</v>
      </c>
      <c r="M581" s="3">
        <f t="shared" si="106"/>
        <v>1</v>
      </c>
      <c r="N581" s="3">
        <f t="shared" si="107"/>
        <v>1</v>
      </c>
      <c r="O581" s="3">
        <v>0</v>
      </c>
      <c r="P581" s="3">
        <v>0</v>
      </c>
      <c r="Q581" s="3" t="str">
        <f t="shared" si="108"/>
        <v>10-2026-01-01</v>
      </c>
      <c r="R581" s="3">
        <v>0</v>
      </c>
      <c r="S581" s="3">
        <v>0</v>
      </c>
      <c r="T581" s="3" t="s">
        <v>484</v>
      </c>
      <c r="U581" s="3" t="s">
        <v>37</v>
      </c>
      <c r="V581" s="3" t="s">
        <v>216</v>
      </c>
      <c r="W581" s="3" t="s">
        <v>73</v>
      </c>
      <c r="X581" s="3" t="s">
        <v>74</v>
      </c>
      <c r="Y581" s="3" t="s">
        <v>585</v>
      </c>
      <c r="Z581" s="3" t="s">
        <v>86</v>
      </c>
      <c r="AA581" s="3" t="s">
        <v>87</v>
      </c>
      <c r="AB581" s="3" t="s">
        <v>43</v>
      </c>
      <c r="AC581" s="3" t="s">
        <v>66</v>
      </c>
      <c r="AD581" s="3">
        <v>1</v>
      </c>
    </row>
    <row r="582" spans="1:30" x14ac:dyDescent="0.3">
      <c r="A582" s="3">
        <v>11</v>
      </c>
      <c r="B582" s="3" t="s">
        <v>550</v>
      </c>
      <c r="C582" s="3" t="s">
        <v>525</v>
      </c>
      <c r="D582" s="3" t="s">
        <v>57</v>
      </c>
      <c r="E582" s="3" t="s">
        <v>32</v>
      </c>
      <c r="F582" s="12">
        <v>46023</v>
      </c>
      <c r="G582" s="3">
        <v>2026</v>
      </c>
      <c r="H582" s="3" t="s">
        <v>484</v>
      </c>
      <c r="I582" s="3" t="s">
        <v>484</v>
      </c>
      <c r="J582" s="3"/>
      <c r="K582" s="9">
        <v>0</v>
      </c>
      <c r="L582" s="9">
        <v>0</v>
      </c>
      <c r="M582" s="15">
        <v>0</v>
      </c>
      <c r="N582" s="15">
        <v>0</v>
      </c>
      <c r="O582" s="3" t="s">
        <v>544</v>
      </c>
      <c r="P582" s="3" t="s">
        <v>544</v>
      </c>
      <c r="Q582" s="3" t="str">
        <f t="shared" si="108"/>
        <v>11-2026-01-01</v>
      </c>
      <c r="R582" s="3">
        <v>0</v>
      </c>
      <c r="S582" s="3">
        <v>0</v>
      </c>
      <c r="T582" s="3" t="s">
        <v>484</v>
      </c>
      <c r="U582" s="3" t="s">
        <v>37</v>
      </c>
      <c r="V582" s="3" t="s">
        <v>525</v>
      </c>
      <c r="W582" s="3" t="s">
        <v>312</v>
      </c>
      <c r="X582" s="3" t="s">
        <v>535</v>
      </c>
      <c r="Y582" s="3" t="s">
        <v>536</v>
      </c>
      <c r="Z582" s="3" t="s">
        <v>86</v>
      </c>
      <c r="AA582" s="3" t="s">
        <v>87</v>
      </c>
      <c r="AB582" s="3" t="s">
        <v>43</v>
      </c>
      <c r="AC582" s="3" t="s">
        <v>66</v>
      </c>
      <c r="AD582" s="3">
        <v>1</v>
      </c>
    </row>
    <row r="583" spans="1:30" x14ac:dyDescent="0.3">
      <c r="A583" s="3">
        <v>12</v>
      </c>
      <c r="B583" s="3" t="s">
        <v>545</v>
      </c>
      <c r="C583" s="3" t="s">
        <v>525</v>
      </c>
      <c r="D583" s="3" t="s">
        <v>57</v>
      </c>
      <c r="E583" s="3" t="s">
        <v>32</v>
      </c>
      <c r="F583" s="12">
        <v>46022</v>
      </c>
      <c r="G583" s="8">
        <v>2025</v>
      </c>
      <c r="H583" s="7" t="s">
        <v>44</v>
      </c>
      <c r="I583" s="7" t="s">
        <v>465</v>
      </c>
      <c r="J583" s="3">
        <v>2</v>
      </c>
      <c r="K583" s="9"/>
      <c r="L583" s="9"/>
      <c r="M583" s="15">
        <v>0</v>
      </c>
      <c r="N583" s="15">
        <v>0</v>
      </c>
      <c r="O583" s="3" t="s">
        <v>544</v>
      </c>
      <c r="P583" s="3" t="s">
        <v>544</v>
      </c>
      <c r="Q583" s="3" t="str">
        <f t="shared" si="108"/>
        <v>12-2025-12-31</v>
      </c>
      <c r="R583" s="3">
        <v>0</v>
      </c>
      <c r="S583" s="3">
        <v>0</v>
      </c>
      <c r="T583" s="3" t="s">
        <v>443</v>
      </c>
      <c r="U583" s="3" t="s">
        <v>37</v>
      </c>
      <c r="V583" s="3" t="s">
        <v>525</v>
      </c>
      <c r="W583" s="3" t="s">
        <v>312</v>
      </c>
      <c r="X583" s="3" t="s">
        <v>535</v>
      </c>
      <c r="Y583" s="3" t="s">
        <v>537</v>
      </c>
      <c r="Z583" s="3" t="s">
        <v>86</v>
      </c>
      <c r="AA583" s="3" t="s">
        <v>87</v>
      </c>
      <c r="AB583" s="3" t="s">
        <v>43</v>
      </c>
      <c r="AC583" s="3" t="s">
        <v>66</v>
      </c>
      <c r="AD583" s="3">
        <v>1</v>
      </c>
    </row>
    <row r="584" spans="1:30" x14ac:dyDescent="0.3">
      <c r="A584" s="3">
        <v>12</v>
      </c>
      <c r="B584" s="3" t="s">
        <v>545</v>
      </c>
      <c r="C584" s="3" t="s">
        <v>525</v>
      </c>
      <c r="D584" s="3" t="s">
        <v>57</v>
      </c>
      <c r="E584" s="3" t="s">
        <v>32</v>
      </c>
      <c r="F584" s="12">
        <v>46023</v>
      </c>
      <c r="G584" s="3">
        <v>2026</v>
      </c>
      <c r="H584" s="3" t="s">
        <v>484</v>
      </c>
      <c r="I584" s="3" t="s">
        <v>484</v>
      </c>
      <c r="J584" s="3"/>
      <c r="K584" s="9"/>
      <c r="L584" s="9"/>
      <c r="M584" s="3"/>
      <c r="N584" s="3"/>
      <c r="O584" s="3"/>
      <c r="P584" s="3"/>
      <c r="Q584" s="3" t="str">
        <f t="shared" si="108"/>
        <v>12-2026-01-01</v>
      </c>
      <c r="R584" s="3">
        <v>0</v>
      </c>
      <c r="S584" s="3">
        <v>0</v>
      </c>
      <c r="T584" s="3" t="s">
        <v>484</v>
      </c>
      <c r="U584" s="3" t="s">
        <v>37</v>
      </c>
      <c r="V584" s="3" t="s">
        <v>525</v>
      </c>
      <c r="W584" s="3" t="s">
        <v>312</v>
      </c>
      <c r="X584" s="3" t="s">
        <v>535</v>
      </c>
      <c r="Y584" s="3" t="s">
        <v>537</v>
      </c>
      <c r="Z584" s="3" t="s">
        <v>86</v>
      </c>
      <c r="AA584" s="3" t="s">
        <v>87</v>
      </c>
      <c r="AB584" s="3" t="s">
        <v>43</v>
      </c>
      <c r="AC584" s="3" t="s">
        <v>66</v>
      </c>
      <c r="AD584" s="3">
        <v>1</v>
      </c>
    </row>
    <row r="585" spans="1:30" x14ac:dyDescent="0.3">
      <c r="A585" s="3">
        <v>13</v>
      </c>
      <c r="B585" s="3" t="s">
        <v>546</v>
      </c>
      <c r="C585" s="3" t="s">
        <v>526</v>
      </c>
      <c r="D585" s="3" t="s">
        <v>57</v>
      </c>
      <c r="E585" s="3" t="s">
        <v>32</v>
      </c>
      <c r="F585" s="12">
        <v>46023</v>
      </c>
      <c r="G585" s="3">
        <v>2026</v>
      </c>
      <c r="H585" s="3" t="s">
        <v>484</v>
      </c>
      <c r="I585" s="3" t="s">
        <v>484</v>
      </c>
      <c r="J585" s="3"/>
      <c r="K585" s="3">
        <v>100</v>
      </c>
      <c r="L585" s="3">
        <v>100</v>
      </c>
      <c r="M585" s="3">
        <f t="shared" si="106"/>
        <v>1</v>
      </c>
      <c r="N585" s="3">
        <f t="shared" si="107"/>
        <v>1</v>
      </c>
      <c r="O585" s="3" t="s">
        <v>58</v>
      </c>
      <c r="P585" s="3" t="s">
        <v>58</v>
      </c>
      <c r="Q585" s="3" t="str">
        <f t="shared" si="108"/>
        <v>13-2026-01-01</v>
      </c>
      <c r="R585" s="3">
        <v>0</v>
      </c>
      <c r="S585" s="3">
        <v>0</v>
      </c>
      <c r="T585" s="3" t="s">
        <v>484</v>
      </c>
      <c r="U585" s="3" t="s">
        <v>37</v>
      </c>
      <c r="V585" s="3" t="s">
        <v>526</v>
      </c>
      <c r="W585" s="3" t="s">
        <v>112</v>
      </c>
      <c r="X585" s="3" t="s">
        <v>113</v>
      </c>
      <c r="Y585" s="3" t="s">
        <v>538</v>
      </c>
      <c r="Z585" s="3" t="s">
        <v>86</v>
      </c>
      <c r="AA585" s="3" t="s">
        <v>87</v>
      </c>
      <c r="AB585" s="3" t="s">
        <v>43</v>
      </c>
      <c r="AC585" s="3" t="s">
        <v>66</v>
      </c>
      <c r="AD585" s="3">
        <v>1</v>
      </c>
    </row>
    <row r="586" spans="1:30" x14ac:dyDescent="0.3">
      <c r="A586" s="3" t="s">
        <v>485</v>
      </c>
      <c r="B586" s="3" t="s">
        <v>486</v>
      </c>
      <c r="C586" s="3" t="s">
        <v>487</v>
      </c>
      <c r="D586" s="3" t="s">
        <v>57</v>
      </c>
      <c r="E586" s="3" t="s">
        <v>32</v>
      </c>
      <c r="F586" s="12">
        <v>46023</v>
      </c>
      <c r="G586" s="3">
        <v>2026</v>
      </c>
      <c r="H586" s="3" t="s">
        <v>484</v>
      </c>
      <c r="I586" s="3" t="s">
        <v>484</v>
      </c>
      <c r="J586" s="3"/>
      <c r="K586" s="3">
        <v>100</v>
      </c>
      <c r="L586" s="3">
        <v>100</v>
      </c>
      <c r="M586" s="3">
        <f t="shared" si="106"/>
        <v>1</v>
      </c>
      <c r="N586" s="3">
        <f t="shared" si="107"/>
        <v>1</v>
      </c>
      <c r="O586" s="3">
        <v>0</v>
      </c>
      <c r="P586" s="3">
        <v>0</v>
      </c>
      <c r="Q586" s="3" t="str">
        <f t="shared" si="108"/>
        <v>10.1-2026-01-01</v>
      </c>
      <c r="R586" s="3">
        <v>0</v>
      </c>
      <c r="S586" s="3">
        <v>0</v>
      </c>
      <c r="T586" s="3" t="s">
        <v>484</v>
      </c>
      <c r="U586" s="3" t="s">
        <v>37</v>
      </c>
      <c r="V586" s="3" t="s">
        <v>487</v>
      </c>
      <c r="W586" s="3" t="s">
        <v>73</v>
      </c>
      <c r="X586" s="3" t="s">
        <v>74</v>
      </c>
      <c r="Y586" s="3" t="s">
        <v>585</v>
      </c>
      <c r="Z586" s="3" t="s">
        <v>86</v>
      </c>
      <c r="AA586" s="3" t="s">
        <v>87</v>
      </c>
      <c r="AB586" s="3" t="s">
        <v>43</v>
      </c>
      <c r="AC586" s="3" t="s">
        <v>66</v>
      </c>
      <c r="AD586" s="3">
        <v>1</v>
      </c>
    </row>
    <row r="587" spans="1:30" x14ac:dyDescent="0.3">
      <c r="A587" s="3" t="s">
        <v>488</v>
      </c>
      <c r="B587" s="3" t="s">
        <v>547</v>
      </c>
      <c r="C587" s="3" t="s">
        <v>521</v>
      </c>
      <c r="D587" s="3" t="s">
        <v>57</v>
      </c>
      <c r="E587" s="3" t="s">
        <v>32</v>
      </c>
      <c r="F587" s="12">
        <v>46023</v>
      </c>
      <c r="G587" s="3">
        <v>2026</v>
      </c>
      <c r="H587" s="3" t="s">
        <v>484</v>
      </c>
      <c r="I587" s="3" t="s">
        <v>484</v>
      </c>
      <c r="J587" s="3"/>
      <c r="K587" s="3">
        <v>100</v>
      </c>
      <c r="L587" s="3">
        <v>100</v>
      </c>
      <c r="M587" s="3">
        <f t="shared" si="106"/>
        <v>1</v>
      </c>
      <c r="N587" s="3">
        <f t="shared" si="107"/>
        <v>1</v>
      </c>
      <c r="O587" s="3" t="s">
        <v>58</v>
      </c>
      <c r="P587" s="3" t="s">
        <v>58</v>
      </c>
      <c r="Q587" s="3" t="str">
        <f t="shared" si="108"/>
        <v>13.1-2026-01-01</v>
      </c>
      <c r="R587" s="3">
        <v>0</v>
      </c>
      <c r="S587" s="3">
        <v>0</v>
      </c>
      <c r="T587" s="3" t="s">
        <v>484</v>
      </c>
      <c r="U587" s="3" t="s">
        <v>37</v>
      </c>
      <c r="V587" s="3" t="s">
        <v>521</v>
      </c>
      <c r="W587" s="3" t="s">
        <v>112</v>
      </c>
      <c r="X587" s="3" t="s">
        <v>113</v>
      </c>
      <c r="Y587" s="3" t="s">
        <v>538</v>
      </c>
      <c r="Z587" s="3" t="s">
        <v>63</v>
      </c>
      <c r="AA587" s="3" t="s">
        <v>334</v>
      </c>
      <c r="AB587" s="3" t="s">
        <v>43</v>
      </c>
      <c r="AC587" s="3" t="s">
        <v>66</v>
      </c>
      <c r="AD587" s="3">
        <v>1</v>
      </c>
    </row>
    <row r="588" spans="1:30" x14ac:dyDescent="0.3">
      <c r="A588" s="5">
        <v>900</v>
      </c>
      <c r="B588" s="6" t="s">
        <v>548</v>
      </c>
      <c r="C588" s="3" t="s">
        <v>342</v>
      </c>
      <c r="D588" s="3" t="s">
        <v>57</v>
      </c>
      <c r="E588" s="3" t="s">
        <v>32</v>
      </c>
      <c r="F588" s="12">
        <v>46023</v>
      </c>
      <c r="G588" s="3">
        <v>2026</v>
      </c>
      <c r="H588" s="3" t="s">
        <v>484</v>
      </c>
      <c r="I588" s="3" t="s">
        <v>484</v>
      </c>
      <c r="J588" s="3"/>
      <c r="K588" s="10">
        <v>100</v>
      </c>
      <c r="L588" s="10">
        <v>100</v>
      </c>
      <c r="M588" s="3">
        <f t="shared" si="106"/>
        <v>1</v>
      </c>
      <c r="N588" s="3">
        <f t="shared" si="107"/>
        <v>1</v>
      </c>
      <c r="O588" s="3" t="s">
        <v>58</v>
      </c>
      <c r="P588" s="3" t="s">
        <v>58</v>
      </c>
      <c r="Q588" s="3" t="str">
        <f t="shared" si="108"/>
        <v>900-2026-01-01</v>
      </c>
      <c r="R588" s="3">
        <v>0</v>
      </c>
      <c r="S588" s="3">
        <v>0</v>
      </c>
      <c r="T588" s="3" t="s">
        <v>484</v>
      </c>
      <c r="U588" s="3" t="s">
        <v>37</v>
      </c>
      <c r="V588" s="3" t="s">
        <v>342</v>
      </c>
      <c r="W588" s="3" t="s">
        <v>112</v>
      </c>
      <c r="X588" s="3" t="s">
        <v>113</v>
      </c>
      <c r="Y588" s="3" t="s">
        <v>538</v>
      </c>
      <c r="Z588" s="3" t="s">
        <v>63</v>
      </c>
      <c r="AA588" s="3" t="s">
        <v>539</v>
      </c>
      <c r="AB588" s="3" t="s">
        <v>43</v>
      </c>
      <c r="AC588" s="3" t="s">
        <v>66</v>
      </c>
      <c r="AD588" s="3">
        <v>1</v>
      </c>
    </row>
    <row r="589" spans="1:30" x14ac:dyDescent="0.3">
      <c r="A589" s="5">
        <v>901</v>
      </c>
      <c r="B589" s="6" t="s">
        <v>497</v>
      </c>
      <c r="C589" s="3" t="s">
        <v>527</v>
      </c>
      <c r="D589" s="3" t="s">
        <v>57</v>
      </c>
      <c r="E589" s="3" t="s">
        <v>32</v>
      </c>
      <c r="F589" s="12">
        <v>46023</v>
      </c>
      <c r="G589" s="3">
        <v>2026</v>
      </c>
      <c r="H589" s="3" t="s">
        <v>484</v>
      </c>
      <c r="I589" s="3" t="s">
        <v>484</v>
      </c>
      <c r="J589" s="3"/>
      <c r="K589" s="11"/>
      <c r="L589" s="11"/>
      <c r="M589" s="15">
        <v>0</v>
      </c>
      <c r="N589" s="15">
        <v>0</v>
      </c>
      <c r="O589" s="3" t="s">
        <v>544</v>
      </c>
      <c r="P589" s="3" t="s">
        <v>544</v>
      </c>
      <c r="Q589" s="3" t="str">
        <f t="shared" si="108"/>
        <v>901-2026-01-01</v>
      </c>
      <c r="R589" s="3">
        <v>0</v>
      </c>
      <c r="S589" s="3">
        <v>0</v>
      </c>
      <c r="T589" s="3" t="s">
        <v>484</v>
      </c>
      <c r="U589" s="3" t="s">
        <v>37</v>
      </c>
      <c r="V589" s="3" t="s">
        <v>527</v>
      </c>
      <c r="W589" s="3" t="s">
        <v>312</v>
      </c>
      <c r="X589" s="3" t="s">
        <v>313</v>
      </c>
      <c r="Y589" s="3" t="s">
        <v>540</v>
      </c>
      <c r="Z589" s="3" t="s">
        <v>86</v>
      </c>
      <c r="AA589" s="3" t="s">
        <v>87</v>
      </c>
      <c r="AB589" s="3" t="s">
        <v>43</v>
      </c>
      <c r="AC589" s="3" t="s">
        <v>66</v>
      </c>
      <c r="AD589" s="3">
        <v>1</v>
      </c>
    </row>
    <row r="590" spans="1:30" x14ac:dyDescent="0.3">
      <c r="A590" s="5">
        <v>902</v>
      </c>
      <c r="B590" s="6" t="s">
        <v>498</v>
      </c>
      <c r="C590" s="3" t="s">
        <v>528</v>
      </c>
      <c r="D590" s="3" t="s">
        <v>57</v>
      </c>
      <c r="E590" s="3" t="s">
        <v>32</v>
      </c>
      <c r="F590" s="12">
        <v>46023</v>
      </c>
      <c r="G590" s="3">
        <v>2026</v>
      </c>
      <c r="H590" s="3" t="s">
        <v>484</v>
      </c>
      <c r="I590" s="3" t="s">
        <v>484</v>
      </c>
      <c r="J590" s="3"/>
      <c r="K590" s="10">
        <v>100</v>
      </c>
      <c r="L590" s="10">
        <v>100</v>
      </c>
      <c r="M590" s="3">
        <f t="shared" si="106"/>
        <v>1</v>
      </c>
      <c r="N590" s="3">
        <f t="shared" si="107"/>
        <v>1</v>
      </c>
      <c r="O590" s="3"/>
      <c r="P590" s="3"/>
      <c r="Q590" s="3" t="str">
        <f t="shared" si="108"/>
        <v>902-2026-01-01</v>
      </c>
      <c r="R590" s="3">
        <v>0</v>
      </c>
      <c r="S590" s="3">
        <v>0</v>
      </c>
      <c r="T590" s="3" t="s">
        <v>484</v>
      </c>
      <c r="U590" s="3" t="s">
        <v>37</v>
      </c>
      <c r="V590" s="3" t="s">
        <v>528</v>
      </c>
      <c r="W590" s="3" t="s">
        <v>73</v>
      </c>
      <c r="X590" s="3" t="s">
        <v>74</v>
      </c>
      <c r="Y590" s="3" t="s">
        <v>585</v>
      </c>
      <c r="Z590" s="3" t="s">
        <v>76</v>
      </c>
      <c r="AA590" s="3" t="s">
        <v>77</v>
      </c>
      <c r="AB590" s="3" t="s">
        <v>43</v>
      </c>
      <c r="AC590" s="3" t="s">
        <v>66</v>
      </c>
      <c r="AD590" s="3">
        <v>1</v>
      </c>
    </row>
    <row r="591" spans="1:30" x14ac:dyDescent="0.3">
      <c r="A591" s="5">
        <v>903</v>
      </c>
      <c r="B591" s="6" t="s">
        <v>499</v>
      </c>
      <c r="C591" s="3" t="s">
        <v>529</v>
      </c>
      <c r="D591" s="3" t="s">
        <v>57</v>
      </c>
      <c r="E591" s="3" t="s">
        <v>32</v>
      </c>
      <c r="F591" s="12">
        <v>46023</v>
      </c>
      <c r="G591" s="3">
        <v>2026</v>
      </c>
      <c r="H591" s="3" t="s">
        <v>484</v>
      </c>
      <c r="I591" s="3" t="s">
        <v>484</v>
      </c>
      <c r="J591" s="3"/>
      <c r="K591" s="10">
        <v>49</v>
      </c>
      <c r="L591" s="10">
        <v>49</v>
      </c>
      <c r="M591" s="3">
        <f t="shared" si="106"/>
        <v>1</v>
      </c>
      <c r="N591" s="3">
        <f t="shared" si="107"/>
        <v>1</v>
      </c>
      <c r="O591" s="3"/>
      <c r="P591" s="3"/>
      <c r="Q591" s="3" t="str">
        <f t="shared" si="108"/>
        <v>903-2026-01-01</v>
      </c>
      <c r="R591" s="3">
        <v>0</v>
      </c>
      <c r="S591" s="3">
        <v>0</v>
      </c>
      <c r="T591" s="3" t="s">
        <v>484</v>
      </c>
      <c r="U591" s="3" t="s">
        <v>37</v>
      </c>
      <c r="V591" s="3" t="s">
        <v>529</v>
      </c>
      <c r="W591" s="3" t="s">
        <v>112</v>
      </c>
      <c r="X591" s="3" t="s">
        <v>113</v>
      </c>
      <c r="Y591" s="3" t="s">
        <v>541</v>
      </c>
      <c r="Z591" s="3" t="s">
        <v>101</v>
      </c>
      <c r="AA591" s="3" t="s">
        <v>264</v>
      </c>
      <c r="AB591" s="3" t="s">
        <v>43</v>
      </c>
      <c r="AC591" s="3" t="s">
        <v>66</v>
      </c>
      <c r="AD591" s="3">
        <v>1</v>
      </c>
    </row>
    <row r="592" spans="1:30" x14ac:dyDescent="0.3">
      <c r="A592" s="5">
        <v>904</v>
      </c>
      <c r="B592" s="6" t="s">
        <v>500</v>
      </c>
      <c r="C592" s="3" t="s">
        <v>232</v>
      </c>
      <c r="D592" s="3" t="s">
        <v>57</v>
      </c>
      <c r="E592" s="3" t="s">
        <v>32</v>
      </c>
      <c r="F592" s="12">
        <v>46023</v>
      </c>
      <c r="G592" s="3">
        <v>2026</v>
      </c>
      <c r="H592" s="3" t="s">
        <v>484</v>
      </c>
      <c r="I592" s="3" t="s">
        <v>484</v>
      </c>
      <c r="J592" s="3"/>
      <c r="K592" s="10">
        <v>100</v>
      </c>
      <c r="L592" s="10">
        <v>100</v>
      </c>
      <c r="M592" s="3">
        <f t="shared" si="106"/>
        <v>1</v>
      </c>
      <c r="N592" s="3">
        <f t="shared" si="107"/>
        <v>1</v>
      </c>
      <c r="O592" s="3" t="s">
        <v>58</v>
      </c>
      <c r="P592" s="3" t="s">
        <v>58</v>
      </c>
      <c r="Q592" s="3" t="str">
        <f t="shared" si="108"/>
        <v>904-2026-01-01</v>
      </c>
      <c r="R592" s="3">
        <v>0</v>
      </c>
      <c r="S592" s="3">
        <v>0</v>
      </c>
      <c r="T592" s="3" t="s">
        <v>484</v>
      </c>
      <c r="U592" s="3" t="s">
        <v>37</v>
      </c>
      <c r="V592" s="3" t="s">
        <v>232</v>
      </c>
      <c r="W592" s="3" t="s">
        <v>145</v>
      </c>
      <c r="X592" s="3" t="s">
        <v>179</v>
      </c>
      <c r="Y592" s="3" t="s">
        <v>542</v>
      </c>
      <c r="Z592" s="3" t="s">
        <v>76</v>
      </c>
      <c r="AA592" s="3" t="s">
        <v>77</v>
      </c>
      <c r="AB592" s="3" t="s">
        <v>43</v>
      </c>
      <c r="AC592" s="3" t="s">
        <v>66</v>
      </c>
      <c r="AD592" s="3">
        <v>1</v>
      </c>
    </row>
    <row r="593" spans="1:30" x14ac:dyDescent="0.3">
      <c r="A593" s="5">
        <v>905</v>
      </c>
      <c r="B593" s="6" t="s">
        <v>501</v>
      </c>
      <c r="C593" s="3" t="s">
        <v>527</v>
      </c>
      <c r="D593" s="3" t="s">
        <v>57</v>
      </c>
      <c r="E593" s="3" t="s">
        <v>32</v>
      </c>
      <c r="F593" s="12">
        <v>46023</v>
      </c>
      <c r="G593" s="3">
        <v>2026</v>
      </c>
      <c r="H593" s="3" t="s">
        <v>484</v>
      </c>
      <c r="I593" s="3" t="s">
        <v>484</v>
      </c>
      <c r="J593" s="3"/>
      <c r="K593" s="10">
        <v>100</v>
      </c>
      <c r="L593" s="10">
        <v>100</v>
      </c>
      <c r="M593" s="3">
        <f t="shared" si="106"/>
        <v>1</v>
      </c>
      <c r="N593" s="3">
        <f t="shared" si="107"/>
        <v>1</v>
      </c>
      <c r="O593" s="3" t="s">
        <v>58</v>
      </c>
      <c r="P593" s="3" t="s">
        <v>58</v>
      </c>
      <c r="Q593" s="3" t="str">
        <f t="shared" si="108"/>
        <v>905-2026-01-01</v>
      </c>
      <c r="R593" s="3">
        <v>0</v>
      </c>
      <c r="S593" s="3">
        <v>0</v>
      </c>
      <c r="T593" s="3" t="s">
        <v>484</v>
      </c>
      <c r="U593" s="3" t="s">
        <v>37</v>
      </c>
      <c r="V593" s="3" t="s">
        <v>527</v>
      </c>
      <c r="W593" s="3" t="s">
        <v>73</v>
      </c>
      <c r="X593" s="3" t="s">
        <v>218</v>
      </c>
      <c r="Y593" s="3" t="s">
        <v>331</v>
      </c>
      <c r="Z593" s="3" t="s">
        <v>86</v>
      </c>
      <c r="AA593" s="3" t="s">
        <v>87</v>
      </c>
      <c r="AB593" s="3" t="s">
        <v>43</v>
      </c>
      <c r="AC593" s="3" t="s">
        <v>66</v>
      </c>
      <c r="AD593" s="3">
        <v>1</v>
      </c>
    </row>
    <row r="594" spans="1:30" x14ac:dyDescent="0.3">
      <c r="A594" s="5">
        <v>906</v>
      </c>
      <c r="B594" s="6" t="s">
        <v>502</v>
      </c>
      <c r="C594" s="3" t="s">
        <v>527</v>
      </c>
      <c r="D594" s="3" t="s">
        <v>57</v>
      </c>
      <c r="E594" s="3" t="s">
        <v>32</v>
      </c>
      <c r="F594" s="12">
        <v>46023</v>
      </c>
      <c r="G594" s="3">
        <v>2026</v>
      </c>
      <c r="H594" s="3" t="s">
        <v>484</v>
      </c>
      <c r="I594" s="3" t="s">
        <v>484</v>
      </c>
      <c r="J594" s="3"/>
      <c r="K594" s="10">
        <v>100</v>
      </c>
      <c r="L594" s="10">
        <v>100</v>
      </c>
      <c r="M594" s="3">
        <f t="shared" si="106"/>
        <v>1</v>
      </c>
      <c r="N594" s="3">
        <f t="shared" si="107"/>
        <v>1</v>
      </c>
      <c r="O594" s="3" t="s">
        <v>58</v>
      </c>
      <c r="P594" s="3" t="s">
        <v>58</v>
      </c>
      <c r="Q594" s="3" t="str">
        <f t="shared" si="108"/>
        <v>906-2026-01-01</v>
      </c>
      <c r="R594" s="3">
        <v>0</v>
      </c>
      <c r="S594" s="3">
        <v>0</v>
      </c>
      <c r="T594" s="3" t="s">
        <v>484</v>
      </c>
      <c r="U594" s="3" t="s">
        <v>37</v>
      </c>
      <c r="V594" s="3" t="s">
        <v>527</v>
      </c>
      <c r="W594" s="3" t="s">
        <v>73</v>
      </c>
      <c r="X594" s="3" t="s">
        <v>74</v>
      </c>
      <c r="Y594" s="3" t="s">
        <v>585</v>
      </c>
      <c r="Z594" s="3" t="s">
        <v>76</v>
      </c>
      <c r="AA594" s="3" t="s">
        <v>77</v>
      </c>
      <c r="AB594" s="3" t="s">
        <v>43</v>
      </c>
      <c r="AC594" s="3" t="s">
        <v>66</v>
      </c>
      <c r="AD594" s="3">
        <v>1</v>
      </c>
    </row>
    <row r="595" spans="1:30" x14ac:dyDescent="0.3">
      <c r="A595" s="5">
        <v>907</v>
      </c>
      <c r="B595" s="6" t="s">
        <v>503</v>
      </c>
      <c r="C595" s="3" t="s">
        <v>527</v>
      </c>
      <c r="D595" s="3" t="s">
        <v>57</v>
      </c>
      <c r="E595" s="3" t="s">
        <v>32</v>
      </c>
      <c r="F595" s="12">
        <v>46023</v>
      </c>
      <c r="G595" s="3">
        <v>2026</v>
      </c>
      <c r="H595" s="3" t="s">
        <v>484</v>
      </c>
      <c r="I595" s="3" t="s">
        <v>484</v>
      </c>
      <c r="J595" s="3"/>
      <c r="K595" s="10">
        <v>100</v>
      </c>
      <c r="L595" s="10">
        <v>100</v>
      </c>
      <c r="M595" s="3">
        <f t="shared" si="106"/>
        <v>1</v>
      </c>
      <c r="N595" s="3">
        <f t="shared" si="107"/>
        <v>1</v>
      </c>
      <c r="O595" s="3" t="s">
        <v>58</v>
      </c>
      <c r="P595" s="3" t="s">
        <v>58</v>
      </c>
      <c r="Q595" s="3" t="str">
        <f t="shared" si="108"/>
        <v>907-2026-01-01</v>
      </c>
      <c r="R595" s="3">
        <v>0</v>
      </c>
      <c r="S595" s="3">
        <v>0</v>
      </c>
      <c r="T595" s="3" t="s">
        <v>484</v>
      </c>
      <c r="U595" s="3" t="s">
        <v>37</v>
      </c>
      <c r="V595" s="3" t="s">
        <v>527</v>
      </c>
      <c r="W595" s="3" t="s">
        <v>73</v>
      </c>
      <c r="X595" s="3" t="s">
        <v>218</v>
      </c>
      <c r="Y595" s="3" t="s">
        <v>331</v>
      </c>
      <c r="Z595" s="3" t="s">
        <v>86</v>
      </c>
      <c r="AA595" s="3" t="s">
        <v>339</v>
      </c>
      <c r="AB595" s="3" t="s">
        <v>43</v>
      </c>
      <c r="AC595" s="3" t="s">
        <v>66</v>
      </c>
      <c r="AD595" s="3">
        <v>1</v>
      </c>
    </row>
    <row r="596" spans="1:30" x14ac:dyDescent="0.3">
      <c r="A596" s="5">
        <v>908</v>
      </c>
      <c r="B596" s="6" t="s">
        <v>504</v>
      </c>
      <c r="C596" s="3" t="s">
        <v>83</v>
      </c>
      <c r="D596" s="3" t="s">
        <v>57</v>
      </c>
      <c r="E596" s="3" t="s">
        <v>32</v>
      </c>
      <c r="F596" s="12">
        <v>46023</v>
      </c>
      <c r="G596" s="3">
        <v>2026</v>
      </c>
      <c r="H596" s="3" t="s">
        <v>484</v>
      </c>
      <c r="I596" s="3" t="s">
        <v>484</v>
      </c>
      <c r="J596" s="3"/>
      <c r="K596" s="10">
        <v>100</v>
      </c>
      <c r="L596" s="10">
        <v>100</v>
      </c>
      <c r="M596" s="3">
        <f t="shared" si="106"/>
        <v>1</v>
      </c>
      <c r="N596" s="3">
        <f t="shared" si="107"/>
        <v>1</v>
      </c>
      <c r="O596" s="3" t="s">
        <v>58</v>
      </c>
      <c r="P596" s="3" t="s">
        <v>58</v>
      </c>
      <c r="Q596" s="3" t="str">
        <f t="shared" si="108"/>
        <v>908-2026-01-01</v>
      </c>
      <c r="R596" s="3">
        <v>0</v>
      </c>
      <c r="S596" s="3">
        <v>0</v>
      </c>
      <c r="T596" s="3" t="s">
        <v>484</v>
      </c>
      <c r="U596" s="3" t="s">
        <v>37</v>
      </c>
      <c r="V596" s="3" t="s">
        <v>83</v>
      </c>
      <c r="W596" s="3" t="s">
        <v>38</v>
      </c>
      <c r="X596" s="3" t="s">
        <v>39</v>
      </c>
      <c r="Y596" s="3" t="s">
        <v>85</v>
      </c>
      <c r="Z596" s="3" t="s">
        <v>63</v>
      </c>
      <c r="AA596" s="3" t="s">
        <v>539</v>
      </c>
      <c r="AB596" s="3" t="s">
        <v>43</v>
      </c>
      <c r="AC596" s="3" t="s">
        <v>66</v>
      </c>
      <c r="AD596" s="3">
        <v>1</v>
      </c>
    </row>
    <row r="597" spans="1:30" x14ac:dyDescent="0.3">
      <c r="A597" s="3">
        <v>921</v>
      </c>
      <c r="B597" s="3" t="s">
        <v>505</v>
      </c>
      <c r="C597" s="3" t="s">
        <v>524</v>
      </c>
      <c r="D597" s="3" t="s">
        <v>57</v>
      </c>
      <c r="E597" s="3" t="s">
        <v>32</v>
      </c>
      <c r="F597" s="12">
        <v>45291</v>
      </c>
      <c r="G597" s="8">
        <v>2023</v>
      </c>
      <c r="H597" s="7" t="s">
        <v>44</v>
      </c>
      <c r="I597" s="7" t="s">
        <v>49</v>
      </c>
      <c r="J597" s="3">
        <v>2</v>
      </c>
      <c r="K597" s="3">
        <v>100</v>
      </c>
      <c r="L597" s="3">
        <v>100</v>
      </c>
      <c r="M597" s="3">
        <f t="shared" si="106"/>
        <v>1</v>
      </c>
      <c r="N597" s="3">
        <f t="shared" si="107"/>
        <v>1</v>
      </c>
      <c r="O597" s="3" t="s">
        <v>58</v>
      </c>
      <c r="P597" s="3" t="s">
        <v>58</v>
      </c>
      <c r="Q597" s="3" t="str">
        <f t="shared" si="108"/>
        <v>921-2023-12-31</v>
      </c>
      <c r="R597" s="3">
        <v>0</v>
      </c>
      <c r="S597" s="3">
        <v>0</v>
      </c>
      <c r="T597" s="3" t="s">
        <v>443</v>
      </c>
      <c r="U597" s="3" t="s">
        <v>37</v>
      </c>
      <c r="V597" s="3" t="s">
        <v>524</v>
      </c>
      <c r="W597" s="3" t="s">
        <v>60</v>
      </c>
      <c r="X597" s="3" t="s">
        <v>262</v>
      </c>
      <c r="Y597" s="3" t="s">
        <v>543</v>
      </c>
      <c r="Z597" s="3"/>
      <c r="AA597" s="3"/>
      <c r="AB597" s="3" t="s">
        <v>43</v>
      </c>
      <c r="AC597" s="3" t="s">
        <v>66</v>
      </c>
      <c r="AD597" s="3">
        <v>1</v>
      </c>
    </row>
    <row r="598" spans="1:30" x14ac:dyDescent="0.3">
      <c r="A598" s="3">
        <v>925</v>
      </c>
      <c r="B598" s="3" t="s">
        <v>506</v>
      </c>
      <c r="C598" s="3" t="s">
        <v>142</v>
      </c>
      <c r="D598" s="3" t="s">
        <v>57</v>
      </c>
      <c r="E598" s="3" t="s">
        <v>32</v>
      </c>
      <c r="F598" s="12">
        <v>45291</v>
      </c>
      <c r="G598" s="8">
        <v>2023</v>
      </c>
      <c r="H598" s="7" t="s">
        <v>44</v>
      </c>
      <c r="I598" s="7" t="s">
        <v>49</v>
      </c>
      <c r="J598" s="3">
        <v>2</v>
      </c>
      <c r="K598" s="11">
        <v>100</v>
      </c>
      <c r="L598" s="11">
        <v>100</v>
      </c>
      <c r="M598" s="3">
        <f t="shared" si="106"/>
        <v>1</v>
      </c>
      <c r="N598" s="3">
        <f t="shared" si="107"/>
        <v>1</v>
      </c>
      <c r="O598" s="3" t="s">
        <v>58</v>
      </c>
      <c r="P598" s="3" t="s">
        <v>58</v>
      </c>
      <c r="Q598" s="3" t="str">
        <f t="shared" si="108"/>
        <v>925-2023-12-31</v>
      </c>
      <c r="R598" s="3">
        <v>0</v>
      </c>
      <c r="S598" s="3">
        <v>0</v>
      </c>
      <c r="T598" s="3" t="s">
        <v>443</v>
      </c>
      <c r="U598" s="3" t="s">
        <v>37</v>
      </c>
      <c r="V598" s="3" t="s">
        <v>142</v>
      </c>
      <c r="W598" s="3" t="s">
        <v>145</v>
      </c>
      <c r="X598" s="3" t="s">
        <v>146</v>
      </c>
      <c r="Y598" s="3" t="s">
        <v>147</v>
      </c>
      <c r="Z598" s="3"/>
      <c r="AA598" s="3"/>
      <c r="AB598" s="3" t="s">
        <v>43</v>
      </c>
      <c r="AC598" s="3" t="s">
        <v>66</v>
      </c>
      <c r="AD598" s="3">
        <v>1</v>
      </c>
    </row>
    <row r="599" spans="1:30" x14ac:dyDescent="0.3">
      <c r="A599" s="3">
        <v>920</v>
      </c>
      <c r="B599" s="3" t="s">
        <v>507</v>
      </c>
      <c r="C599" s="3" t="s">
        <v>524</v>
      </c>
      <c r="D599" s="3" t="s">
        <v>57</v>
      </c>
      <c r="E599" s="3" t="s">
        <v>32</v>
      </c>
      <c r="F599" s="12">
        <v>45657</v>
      </c>
      <c r="G599" s="8">
        <v>2024</v>
      </c>
      <c r="H599" s="7" t="s">
        <v>44</v>
      </c>
      <c r="I599" s="7" t="s">
        <v>53</v>
      </c>
      <c r="J599" s="3">
        <v>2</v>
      </c>
      <c r="K599" s="3">
        <v>100</v>
      </c>
      <c r="L599" s="3">
        <v>100</v>
      </c>
      <c r="M599" s="3">
        <f t="shared" si="106"/>
        <v>1</v>
      </c>
      <c r="N599" s="3">
        <f t="shared" si="107"/>
        <v>1</v>
      </c>
      <c r="O599" s="3"/>
      <c r="P599" s="3"/>
      <c r="Q599" s="3" t="str">
        <f t="shared" si="108"/>
        <v>920-2024-12-31</v>
      </c>
      <c r="R599" s="3">
        <v>0</v>
      </c>
      <c r="S599" s="3">
        <v>0</v>
      </c>
      <c r="T599" s="3" t="s">
        <v>443</v>
      </c>
      <c r="U599" s="3" t="s">
        <v>37</v>
      </c>
      <c r="V599" s="3" t="s">
        <v>524</v>
      </c>
      <c r="W599" s="3" t="s">
        <v>60</v>
      </c>
      <c r="X599" s="3" t="s">
        <v>262</v>
      </c>
      <c r="Y599" s="3" t="s">
        <v>543</v>
      </c>
      <c r="Z599" s="3"/>
      <c r="AA599" s="3"/>
      <c r="AB599" s="3" t="s">
        <v>43</v>
      </c>
      <c r="AC599" s="3" t="s">
        <v>66</v>
      </c>
      <c r="AD599" s="3">
        <v>1</v>
      </c>
    </row>
    <row r="600" spans="1:30" x14ac:dyDescent="0.3">
      <c r="A600" s="5">
        <v>903</v>
      </c>
      <c r="B600" s="6" t="s">
        <v>508</v>
      </c>
      <c r="C600" s="3" t="s">
        <v>529</v>
      </c>
      <c r="D600" s="3" t="s">
        <v>57</v>
      </c>
      <c r="E600" s="3" t="s">
        <v>32</v>
      </c>
      <c r="F600" s="12">
        <v>46022</v>
      </c>
      <c r="G600" s="8">
        <v>2025</v>
      </c>
      <c r="H600" s="7" t="s">
        <v>44</v>
      </c>
      <c r="I600" s="7" t="s">
        <v>465</v>
      </c>
      <c r="J600" s="3">
        <v>2</v>
      </c>
      <c r="K600" s="10">
        <v>100</v>
      </c>
      <c r="L600" s="10">
        <v>99</v>
      </c>
      <c r="M600" s="3">
        <f t="shared" si="106"/>
        <v>0.99</v>
      </c>
      <c r="N600" s="3">
        <f t="shared" si="107"/>
        <v>0.99</v>
      </c>
      <c r="O600" s="3" t="s">
        <v>58</v>
      </c>
      <c r="P600" s="3" t="s">
        <v>58</v>
      </c>
      <c r="Q600" s="3" t="str">
        <f t="shared" si="108"/>
        <v>903-2025-12-31</v>
      </c>
      <c r="R600" s="3">
        <v>0</v>
      </c>
      <c r="S600" s="3">
        <v>0</v>
      </c>
      <c r="T600" s="3" t="s">
        <v>443</v>
      </c>
      <c r="U600" s="3" t="s">
        <v>37</v>
      </c>
      <c r="V600" s="3" t="s">
        <v>529</v>
      </c>
      <c r="W600" s="3" t="s">
        <v>112</v>
      </c>
      <c r="X600" s="3" t="s">
        <v>113</v>
      </c>
      <c r="Y600" s="3" t="s">
        <v>541</v>
      </c>
      <c r="Z600" s="3" t="s">
        <v>101</v>
      </c>
      <c r="AA600" s="3" t="s">
        <v>264</v>
      </c>
      <c r="AB600" s="3" t="s">
        <v>43</v>
      </c>
      <c r="AC600" s="3" t="s">
        <v>66</v>
      </c>
      <c r="AD600" s="3">
        <v>1</v>
      </c>
    </row>
    <row r="601" spans="1:30" x14ac:dyDescent="0.3">
      <c r="A601" s="3">
        <v>909</v>
      </c>
      <c r="B601" s="3" t="s">
        <v>509</v>
      </c>
      <c r="C601" s="3" t="s">
        <v>487</v>
      </c>
      <c r="D601" s="3" t="s">
        <v>57</v>
      </c>
      <c r="E601" s="3" t="s">
        <v>32</v>
      </c>
      <c r="F601" s="12">
        <v>46022</v>
      </c>
      <c r="G601" s="8">
        <v>2025</v>
      </c>
      <c r="H601" s="7" t="s">
        <v>44</v>
      </c>
      <c r="I601" s="7" t="s">
        <v>465</v>
      </c>
      <c r="J601" s="3">
        <v>2</v>
      </c>
      <c r="K601" s="3">
        <v>100</v>
      </c>
      <c r="L601" s="3">
        <v>100</v>
      </c>
      <c r="M601" s="3">
        <f t="shared" si="106"/>
        <v>1</v>
      </c>
      <c r="N601" s="3">
        <f t="shared" si="107"/>
        <v>1</v>
      </c>
      <c r="O601" s="3">
        <v>0</v>
      </c>
      <c r="P601" s="3">
        <v>0</v>
      </c>
      <c r="Q601" s="3" t="str">
        <f t="shared" si="108"/>
        <v>909-2025-12-31</v>
      </c>
      <c r="R601" s="3">
        <v>0</v>
      </c>
      <c r="S601" s="3">
        <v>0</v>
      </c>
      <c r="T601" s="3" t="s">
        <v>443</v>
      </c>
      <c r="U601" s="3" t="s">
        <v>37</v>
      </c>
      <c r="V601" s="3" t="s">
        <v>487</v>
      </c>
      <c r="W601" s="3" t="s">
        <v>73</v>
      </c>
      <c r="X601" s="3" t="s">
        <v>74</v>
      </c>
      <c r="Y601" s="3" t="s">
        <v>585</v>
      </c>
      <c r="Z601" s="3" t="s">
        <v>86</v>
      </c>
      <c r="AA601" s="3" t="s">
        <v>87</v>
      </c>
      <c r="AB601" s="3" t="s">
        <v>43</v>
      </c>
      <c r="AC601" s="3" t="s">
        <v>66</v>
      </c>
      <c r="AD601" s="3">
        <v>1</v>
      </c>
    </row>
    <row r="602" spans="1:30" x14ac:dyDescent="0.3">
      <c r="A602" s="3">
        <v>910</v>
      </c>
      <c r="B602" s="3" t="s">
        <v>510</v>
      </c>
      <c r="C602" s="3" t="s">
        <v>71</v>
      </c>
      <c r="D602" s="3" t="s">
        <v>57</v>
      </c>
      <c r="E602" s="3" t="s">
        <v>32</v>
      </c>
      <c r="F602" s="12">
        <v>46022</v>
      </c>
      <c r="G602" s="8">
        <v>2025</v>
      </c>
      <c r="H602" s="7" t="s">
        <v>531</v>
      </c>
      <c r="I602" s="7" t="s">
        <v>465</v>
      </c>
      <c r="J602" s="3"/>
      <c r="K602" s="3">
        <v>76</v>
      </c>
      <c r="L602" s="3">
        <v>77</v>
      </c>
      <c r="M602" s="3">
        <f t="shared" si="106"/>
        <v>1</v>
      </c>
      <c r="N602" s="3">
        <f>IF(L602/K602&gt;1,1,L602/K602)</f>
        <v>1</v>
      </c>
      <c r="O602" s="3" t="s">
        <v>58</v>
      </c>
      <c r="P602" s="3" t="s">
        <v>58</v>
      </c>
      <c r="Q602" s="3" t="str">
        <f t="shared" si="108"/>
        <v>910-2025-12-31</v>
      </c>
      <c r="R602" s="3">
        <v>0</v>
      </c>
      <c r="S602" s="3">
        <v>0</v>
      </c>
      <c r="T602" s="3" t="s">
        <v>443</v>
      </c>
      <c r="U602" s="3" t="s">
        <v>37</v>
      </c>
      <c r="V602" s="3" t="s">
        <v>71</v>
      </c>
      <c r="W602" s="3" t="s">
        <v>73</v>
      </c>
      <c r="X602" s="3" t="s">
        <v>74</v>
      </c>
      <c r="Y602" s="3" t="s">
        <v>585</v>
      </c>
      <c r="Z602" s="3" t="s">
        <v>86</v>
      </c>
      <c r="AA602" s="3" t="s">
        <v>87</v>
      </c>
      <c r="AB602" s="3" t="s">
        <v>43</v>
      </c>
      <c r="AC602" s="3" t="s">
        <v>66</v>
      </c>
      <c r="AD602" s="3">
        <v>1</v>
      </c>
    </row>
    <row r="603" spans="1:30" x14ac:dyDescent="0.3">
      <c r="A603" s="3">
        <v>911</v>
      </c>
      <c r="B603" s="3" t="s">
        <v>511</v>
      </c>
      <c r="C603" s="3" t="s">
        <v>202</v>
      </c>
      <c r="D603" s="3" t="s">
        <v>57</v>
      </c>
      <c r="E603" s="3" t="s">
        <v>32</v>
      </c>
      <c r="F603" s="12">
        <v>46022</v>
      </c>
      <c r="G603" s="8">
        <v>2025</v>
      </c>
      <c r="H603" s="7" t="s">
        <v>44</v>
      </c>
      <c r="I603" s="7" t="s">
        <v>465</v>
      </c>
      <c r="J603" s="3">
        <v>2</v>
      </c>
      <c r="K603" s="3">
        <v>90</v>
      </c>
      <c r="L603" s="3">
        <v>91</v>
      </c>
      <c r="M603" s="3">
        <f t="shared" si="106"/>
        <v>1</v>
      </c>
      <c r="N603" s="3">
        <f>IF(L603/K603&gt;1,1,L603/K603)</f>
        <v>1</v>
      </c>
      <c r="O603" s="3" t="s">
        <v>58</v>
      </c>
      <c r="P603" s="3" t="s">
        <v>58</v>
      </c>
      <c r="Q603" s="3" t="str">
        <f t="shared" si="108"/>
        <v>911-2025-12-31</v>
      </c>
      <c r="R603" s="3">
        <v>0</v>
      </c>
      <c r="S603" s="3">
        <v>0</v>
      </c>
      <c r="T603" s="3" t="s">
        <v>443</v>
      </c>
      <c r="U603" s="3" t="s">
        <v>37</v>
      </c>
      <c r="V603" s="3" t="s">
        <v>202</v>
      </c>
      <c r="W603" s="3" t="s">
        <v>73</v>
      </c>
      <c r="X603" s="3" t="s">
        <v>74</v>
      </c>
      <c r="Y603" s="3" t="s">
        <v>585</v>
      </c>
      <c r="Z603" s="3" t="s">
        <v>86</v>
      </c>
      <c r="AA603" s="3" t="s">
        <v>87</v>
      </c>
      <c r="AB603" s="3" t="s">
        <v>43</v>
      </c>
      <c r="AC603" s="3" t="s">
        <v>66</v>
      </c>
      <c r="AD603" s="3">
        <v>1</v>
      </c>
    </row>
    <row r="604" spans="1:30" x14ac:dyDescent="0.3">
      <c r="A604" s="3">
        <v>912</v>
      </c>
      <c r="B604" s="3" t="s">
        <v>512</v>
      </c>
      <c r="C604" s="3" t="s">
        <v>349</v>
      </c>
      <c r="D604" s="3" t="s">
        <v>57</v>
      </c>
      <c r="E604" s="3" t="s">
        <v>32</v>
      </c>
      <c r="F604" s="12">
        <v>46022</v>
      </c>
      <c r="G604" s="8">
        <v>2025</v>
      </c>
      <c r="H604" s="7" t="s">
        <v>44</v>
      </c>
      <c r="I604" s="7" t="s">
        <v>465</v>
      </c>
      <c r="J604" s="3">
        <v>2</v>
      </c>
      <c r="K604" s="3">
        <v>75</v>
      </c>
      <c r="L604" s="3">
        <v>70</v>
      </c>
      <c r="M604" s="3">
        <f t="shared" si="106"/>
        <v>0.93333333333333335</v>
      </c>
      <c r="N604" s="3">
        <f t="shared" ref="N604:N621" si="109">IF(L604/K604&gt;1,1,L604/K604)</f>
        <v>0.93333333333333335</v>
      </c>
      <c r="O604" s="3" t="s">
        <v>58</v>
      </c>
      <c r="P604" s="3" t="s">
        <v>58</v>
      </c>
      <c r="Q604" s="3" t="str">
        <f t="shared" si="108"/>
        <v>912-2025-12-31</v>
      </c>
      <c r="R604" s="3">
        <v>0</v>
      </c>
      <c r="S604" s="3">
        <v>0</v>
      </c>
      <c r="T604" s="3" t="s">
        <v>443</v>
      </c>
      <c r="U604" s="3" t="s">
        <v>37</v>
      </c>
      <c r="V604" s="3" t="s">
        <v>349</v>
      </c>
      <c r="W604" s="3" t="s">
        <v>73</v>
      </c>
      <c r="X604" s="3" t="s">
        <v>218</v>
      </c>
      <c r="Y604" s="3" t="s">
        <v>351</v>
      </c>
      <c r="Z604" s="3" t="s">
        <v>86</v>
      </c>
      <c r="AA604" s="3" t="s">
        <v>87</v>
      </c>
      <c r="AB604" s="3" t="s">
        <v>43</v>
      </c>
      <c r="AC604" s="3" t="s">
        <v>66</v>
      </c>
      <c r="AD604" s="3">
        <v>1</v>
      </c>
    </row>
    <row r="605" spans="1:30" x14ac:dyDescent="0.3">
      <c r="A605" s="3">
        <v>913</v>
      </c>
      <c r="B605" s="3" t="s">
        <v>513</v>
      </c>
      <c r="C605" s="3" t="s">
        <v>525</v>
      </c>
      <c r="D605" s="3" t="s">
        <v>57</v>
      </c>
      <c r="E605" s="3" t="s">
        <v>32</v>
      </c>
      <c r="F605" s="12">
        <v>46022</v>
      </c>
      <c r="G605" s="8">
        <v>2025</v>
      </c>
      <c r="H605" s="7" t="s">
        <v>44</v>
      </c>
      <c r="I605" s="7" t="s">
        <v>465</v>
      </c>
      <c r="J605" s="3">
        <v>2</v>
      </c>
      <c r="K605" s="3">
        <v>99</v>
      </c>
      <c r="L605" s="3">
        <v>99</v>
      </c>
      <c r="M605" s="3">
        <f t="shared" ref="M605:M637" si="110">IF(L605/K605&gt;1,1,L605/K605)</f>
        <v>1</v>
      </c>
      <c r="N605" s="3">
        <f t="shared" si="109"/>
        <v>1</v>
      </c>
      <c r="O605" s="3">
        <v>0</v>
      </c>
      <c r="P605" s="3">
        <v>0</v>
      </c>
      <c r="Q605" s="3" t="str">
        <f t="shared" si="108"/>
        <v>913-2025-12-31</v>
      </c>
      <c r="R605" s="3">
        <v>0</v>
      </c>
      <c r="S605" s="3">
        <v>0</v>
      </c>
      <c r="T605" s="3" t="s">
        <v>443</v>
      </c>
      <c r="U605" s="3" t="s">
        <v>37</v>
      </c>
      <c r="V605" s="3" t="s">
        <v>525</v>
      </c>
      <c r="W605" s="3" t="s">
        <v>60</v>
      </c>
      <c r="X605" s="3" t="s">
        <v>262</v>
      </c>
      <c r="Y605" s="3" t="s">
        <v>543</v>
      </c>
      <c r="Z605" s="3"/>
      <c r="AA605" s="3"/>
      <c r="AB605" s="3" t="s">
        <v>43</v>
      </c>
      <c r="AC605" s="3" t="s">
        <v>66</v>
      </c>
      <c r="AD605" s="3">
        <v>1</v>
      </c>
    </row>
    <row r="606" spans="1:30" x14ac:dyDescent="0.3">
      <c r="A606" s="3">
        <v>914</v>
      </c>
      <c r="B606" s="3" t="s">
        <v>514</v>
      </c>
      <c r="C606" s="3" t="s">
        <v>130</v>
      </c>
      <c r="D606" s="3" t="s">
        <v>57</v>
      </c>
      <c r="E606" s="3" t="s">
        <v>32</v>
      </c>
      <c r="F606" s="12">
        <v>46022</v>
      </c>
      <c r="G606" s="8">
        <v>2025</v>
      </c>
      <c r="H606" s="7" t="s">
        <v>44</v>
      </c>
      <c r="I606" s="7" t="s">
        <v>465</v>
      </c>
      <c r="J606" s="3">
        <v>2</v>
      </c>
      <c r="K606" s="3">
        <v>67</v>
      </c>
      <c r="L606" s="3">
        <v>67</v>
      </c>
      <c r="M606" s="3">
        <f t="shared" si="110"/>
        <v>1</v>
      </c>
      <c r="N606" s="3">
        <f t="shared" si="109"/>
        <v>1</v>
      </c>
      <c r="O606" s="3">
        <v>0</v>
      </c>
      <c r="P606" s="3">
        <v>0</v>
      </c>
      <c r="Q606" s="3" t="str">
        <f t="shared" si="108"/>
        <v>914-2025-12-31</v>
      </c>
      <c r="R606" s="3">
        <v>0</v>
      </c>
      <c r="S606" s="3">
        <v>0</v>
      </c>
      <c r="T606" s="3" t="s">
        <v>443</v>
      </c>
      <c r="U606" s="3" t="s">
        <v>37</v>
      </c>
      <c r="V606" s="3" t="s">
        <v>130</v>
      </c>
      <c r="W606" s="3" t="s">
        <v>60</v>
      </c>
      <c r="X606" s="3" t="s">
        <v>100</v>
      </c>
      <c r="Y606" s="3" t="s">
        <v>586</v>
      </c>
      <c r="Z606" s="3"/>
      <c r="AA606" s="3"/>
      <c r="AB606" s="3" t="s">
        <v>43</v>
      </c>
      <c r="AC606" s="3" t="s">
        <v>66</v>
      </c>
      <c r="AD606" s="3">
        <v>1</v>
      </c>
    </row>
    <row r="607" spans="1:30" x14ac:dyDescent="0.3">
      <c r="A607" s="3">
        <v>915</v>
      </c>
      <c r="B607" s="3" t="s">
        <v>515</v>
      </c>
      <c r="C607" s="3" t="s">
        <v>260</v>
      </c>
      <c r="D607" s="3" t="s">
        <v>57</v>
      </c>
      <c r="E607" s="3" t="s">
        <v>32</v>
      </c>
      <c r="F607" s="12">
        <v>46022</v>
      </c>
      <c r="G607" s="8">
        <v>2025</v>
      </c>
      <c r="H607" s="7" t="s">
        <v>44</v>
      </c>
      <c r="I607" s="7" t="s">
        <v>465</v>
      </c>
      <c r="J607" s="3">
        <v>2</v>
      </c>
      <c r="K607" s="3">
        <v>5</v>
      </c>
      <c r="L607" s="3">
        <v>5</v>
      </c>
      <c r="M607" s="3">
        <f t="shared" si="110"/>
        <v>1</v>
      </c>
      <c r="N607" s="3">
        <f t="shared" si="109"/>
        <v>1</v>
      </c>
      <c r="O607" s="3" t="s">
        <v>58</v>
      </c>
      <c r="P607" s="3" t="s">
        <v>58</v>
      </c>
      <c r="Q607" s="3" t="str">
        <f t="shared" si="108"/>
        <v>915-2025-12-31</v>
      </c>
      <c r="R607" s="3">
        <v>0</v>
      </c>
      <c r="S607" s="3">
        <v>0</v>
      </c>
      <c r="T607" s="3" t="s">
        <v>443</v>
      </c>
      <c r="U607" s="3" t="s">
        <v>37</v>
      </c>
      <c r="V607" s="3" t="s">
        <v>260</v>
      </c>
      <c r="W607" s="3" t="s">
        <v>60</v>
      </c>
      <c r="X607" s="3" t="s">
        <v>262</v>
      </c>
      <c r="Y607" s="3" t="s">
        <v>338</v>
      </c>
      <c r="Z607" s="3"/>
      <c r="AA607" s="3"/>
      <c r="AB607" s="3" t="s">
        <v>43</v>
      </c>
      <c r="AC607" s="3" t="s">
        <v>66</v>
      </c>
      <c r="AD607" s="3">
        <v>1</v>
      </c>
    </row>
    <row r="608" spans="1:30" x14ac:dyDescent="0.3">
      <c r="A608" s="3">
        <v>916</v>
      </c>
      <c r="B608" s="3" t="s">
        <v>516</v>
      </c>
      <c r="C608" s="3" t="s">
        <v>522</v>
      </c>
      <c r="D608" s="3" t="s">
        <v>57</v>
      </c>
      <c r="E608" s="3" t="s">
        <v>32</v>
      </c>
      <c r="F608" s="12">
        <v>46022</v>
      </c>
      <c r="G608" s="8">
        <v>2025</v>
      </c>
      <c r="H608" s="7" t="s">
        <v>44</v>
      </c>
      <c r="I608" s="7" t="s">
        <v>465</v>
      </c>
      <c r="J608" s="3">
        <v>2</v>
      </c>
      <c r="K608" s="3">
        <v>60</v>
      </c>
      <c r="L608" s="3">
        <v>57</v>
      </c>
      <c r="M608" s="3">
        <f t="shared" si="110"/>
        <v>0.95</v>
      </c>
      <c r="N608" s="3">
        <f>IF(L608/K608&gt;1,1,L608/K608)</f>
        <v>0.95</v>
      </c>
      <c r="O608" s="3" t="s">
        <v>58</v>
      </c>
      <c r="P608" s="3" t="s">
        <v>58</v>
      </c>
      <c r="Q608" s="3" t="str">
        <f t="shared" si="108"/>
        <v>916-2025-12-31</v>
      </c>
      <c r="R608" s="3">
        <v>0</v>
      </c>
      <c r="S608" s="3">
        <v>0</v>
      </c>
      <c r="T608" s="3" t="s">
        <v>443</v>
      </c>
      <c r="U608" s="3" t="s">
        <v>37</v>
      </c>
      <c r="V608" s="3" t="s">
        <v>522</v>
      </c>
      <c r="W608" s="3" t="s">
        <v>60</v>
      </c>
      <c r="X608" s="3" t="s">
        <v>262</v>
      </c>
      <c r="Y608" s="3" t="s">
        <v>543</v>
      </c>
      <c r="Z608" s="3"/>
      <c r="AA608" s="3"/>
      <c r="AB608" s="3" t="s">
        <v>43</v>
      </c>
      <c r="AC608" s="3" t="s">
        <v>66</v>
      </c>
      <c r="AD608" s="3">
        <v>1</v>
      </c>
    </row>
    <row r="609" spans="1:30" x14ac:dyDescent="0.3">
      <c r="A609" s="3">
        <v>917</v>
      </c>
      <c r="B609" s="3" t="s">
        <v>517</v>
      </c>
      <c r="C609" s="3" t="s">
        <v>30</v>
      </c>
      <c r="D609" s="3" t="s">
        <v>57</v>
      </c>
      <c r="E609" s="3" t="s">
        <v>32</v>
      </c>
      <c r="F609" s="12">
        <v>46022</v>
      </c>
      <c r="G609" s="8">
        <v>2025</v>
      </c>
      <c r="H609" s="7" t="s">
        <v>44</v>
      </c>
      <c r="I609" s="7" t="s">
        <v>465</v>
      </c>
      <c r="J609" s="3">
        <v>2</v>
      </c>
      <c r="K609" s="3">
        <v>100</v>
      </c>
      <c r="L609" s="3">
        <v>99</v>
      </c>
      <c r="M609" s="3">
        <f t="shared" si="110"/>
        <v>0.99</v>
      </c>
      <c r="N609" s="3">
        <f>IF(L609/K609&gt;1,1,L609/K609)</f>
        <v>0.99</v>
      </c>
      <c r="O609" s="3" t="s">
        <v>58</v>
      </c>
      <c r="P609" s="3" t="s">
        <v>58</v>
      </c>
      <c r="Q609" s="3" t="str">
        <f t="shared" si="108"/>
        <v>917-2025-12-31</v>
      </c>
      <c r="R609" s="3">
        <v>0</v>
      </c>
      <c r="S609" s="3">
        <v>0</v>
      </c>
      <c r="T609" s="3" t="s">
        <v>443</v>
      </c>
      <c r="U609" s="3" t="s">
        <v>37</v>
      </c>
      <c r="V609" s="3" t="s">
        <v>30</v>
      </c>
      <c r="W609" s="3" t="s">
        <v>60</v>
      </c>
      <c r="X609" s="3" t="s">
        <v>262</v>
      </c>
      <c r="Y609" s="3" t="s">
        <v>543</v>
      </c>
      <c r="Z609" s="3"/>
      <c r="AA609" s="3"/>
      <c r="AB609" s="3" t="s">
        <v>43</v>
      </c>
      <c r="AC609" s="3" t="s">
        <v>66</v>
      </c>
      <c r="AD609" s="3">
        <v>1</v>
      </c>
    </row>
    <row r="610" spans="1:30" x14ac:dyDescent="0.3">
      <c r="A610" s="3">
        <v>918</v>
      </c>
      <c r="B610" s="3" t="s">
        <v>553</v>
      </c>
      <c r="C610" s="3" t="s">
        <v>524</v>
      </c>
      <c r="D610" s="3" t="s">
        <v>57</v>
      </c>
      <c r="E610" s="3" t="s">
        <v>32</v>
      </c>
      <c r="F610" s="12">
        <v>46022</v>
      </c>
      <c r="G610" s="8">
        <v>2025</v>
      </c>
      <c r="H610" s="7" t="s">
        <v>44</v>
      </c>
      <c r="I610" s="7" t="s">
        <v>465</v>
      </c>
      <c r="J610" s="3">
        <v>2</v>
      </c>
      <c r="K610" s="3">
        <v>99</v>
      </c>
      <c r="L610" s="3">
        <v>99</v>
      </c>
      <c r="M610" s="3">
        <f t="shared" si="110"/>
        <v>1</v>
      </c>
      <c r="N610" s="3">
        <f t="shared" si="109"/>
        <v>1</v>
      </c>
      <c r="O610" s="3" t="s">
        <v>58</v>
      </c>
      <c r="P610" s="3" t="s">
        <v>58</v>
      </c>
      <c r="Q610" s="3" t="str">
        <f t="shared" si="108"/>
        <v>918-2025-12-31</v>
      </c>
      <c r="R610" s="3">
        <v>0</v>
      </c>
      <c r="S610" s="3">
        <v>0</v>
      </c>
      <c r="T610" s="3" t="s">
        <v>443</v>
      </c>
      <c r="U610" s="3" t="s">
        <v>37</v>
      </c>
      <c r="V610" s="3" t="s">
        <v>524</v>
      </c>
      <c r="W610" s="3" t="s">
        <v>60</v>
      </c>
      <c r="X610" s="3" t="s">
        <v>262</v>
      </c>
      <c r="Y610" s="3" t="s">
        <v>338</v>
      </c>
      <c r="Z610" s="3"/>
      <c r="AA610" s="3"/>
      <c r="AB610" s="3" t="s">
        <v>43</v>
      </c>
      <c r="AC610" s="3" t="s">
        <v>66</v>
      </c>
      <c r="AD610" s="3">
        <v>1</v>
      </c>
    </row>
    <row r="611" spans="1:30" x14ac:dyDescent="0.3">
      <c r="A611" s="3">
        <v>919</v>
      </c>
      <c r="B611" s="3" t="s">
        <v>518</v>
      </c>
      <c r="C611" s="3" t="s">
        <v>530</v>
      </c>
      <c r="D611" s="3" t="s">
        <v>57</v>
      </c>
      <c r="E611" s="3" t="s">
        <v>32</v>
      </c>
      <c r="F611" s="12">
        <v>46022</v>
      </c>
      <c r="G611" s="8">
        <v>2025</v>
      </c>
      <c r="H611" s="7" t="s">
        <v>44</v>
      </c>
      <c r="I611" s="7" t="s">
        <v>465</v>
      </c>
      <c r="J611" s="3">
        <v>2</v>
      </c>
      <c r="K611" s="3">
        <v>90</v>
      </c>
      <c r="L611" s="3">
        <v>87</v>
      </c>
      <c r="M611" s="3">
        <f t="shared" si="110"/>
        <v>0.96666666666666667</v>
      </c>
      <c r="N611" s="3">
        <f t="shared" si="109"/>
        <v>0.96666666666666667</v>
      </c>
      <c r="O611" s="3" t="s">
        <v>58</v>
      </c>
      <c r="P611" s="3" t="s">
        <v>58</v>
      </c>
      <c r="Q611" s="3" t="str">
        <f t="shared" si="108"/>
        <v>919-2025-12-31</v>
      </c>
      <c r="R611" s="3">
        <v>0</v>
      </c>
      <c r="S611" s="3">
        <v>0</v>
      </c>
      <c r="T611" s="3" t="s">
        <v>443</v>
      </c>
      <c r="U611" s="3" t="s">
        <v>37</v>
      </c>
      <c r="V611" s="3" t="s">
        <v>530</v>
      </c>
      <c r="W611" s="3" t="s">
        <v>60</v>
      </c>
      <c r="X611" s="3" t="s">
        <v>262</v>
      </c>
      <c r="Y611" s="3" t="s">
        <v>543</v>
      </c>
      <c r="Z611" s="3"/>
      <c r="AA611" s="3"/>
      <c r="AB611" s="3" t="s">
        <v>43</v>
      </c>
      <c r="AC611" s="3" t="s">
        <v>66</v>
      </c>
      <c r="AD611" s="3">
        <v>1</v>
      </c>
    </row>
    <row r="612" spans="1:30" x14ac:dyDescent="0.3">
      <c r="A612" s="3">
        <v>922</v>
      </c>
      <c r="B612" s="3" t="s">
        <v>519</v>
      </c>
      <c r="C612" s="3" t="s">
        <v>186</v>
      </c>
      <c r="D612" s="3" t="s">
        <v>57</v>
      </c>
      <c r="E612" s="3" t="s">
        <v>32</v>
      </c>
      <c r="F612" s="12">
        <v>46022</v>
      </c>
      <c r="G612" s="8">
        <v>2025</v>
      </c>
      <c r="H612" s="7" t="s">
        <v>44</v>
      </c>
      <c r="I612" s="7" t="s">
        <v>465</v>
      </c>
      <c r="J612" s="3">
        <v>2</v>
      </c>
      <c r="K612" s="3">
        <v>100</v>
      </c>
      <c r="L612" s="3">
        <v>99</v>
      </c>
      <c r="M612" s="3">
        <f t="shared" si="110"/>
        <v>0.99</v>
      </c>
      <c r="N612" s="3">
        <f t="shared" si="109"/>
        <v>0.99</v>
      </c>
      <c r="O612" s="3" t="s">
        <v>58</v>
      </c>
      <c r="P612" s="3" t="s">
        <v>58</v>
      </c>
      <c r="Q612" s="3" t="str">
        <f t="shared" si="108"/>
        <v>922-2025-12-31</v>
      </c>
      <c r="R612" s="3">
        <v>0</v>
      </c>
      <c r="S612" s="3">
        <v>0</v>
      </c>
      <c r="T612" s="3" t="s">
        <v>443</v>
      </c>
      <c r="U612" s="3" t="s">
        <v>37</v>
      </c>
      <c r="V612" s="3" t="s">
        <v>186</v>
      </c>
      <c r="W612" s="3" t="s">
        <v>112</v>
      </c>
      <c r="X612" s="3" t="s">
        <v>113</v>
      </c>
      <c r="Y612" s="3" t="s">
        <v>123</v>
      </c>
      <c r="Z612" s="3"/>
      <c r="AA612" s="3"/>
      <c r="AB612" s="3" t="s">
        <v>43</v>
      </c>
      <c r="AC612" s="3" t="s">
        <v>66</v>
      </c>
      <c r="AD612" s="3">
        <v>1</v>
      </c>
    </row>
    <row r="613" spans="1:30" x14ac:dyDescent="0.3">
      <c r="A613" s="3">
        <v>923</v>
      </c>
      <c r="B613" s="3" t="s">
        <v>520</v>
      </c>
      <c r="C613" s="3" t="s">
        <v>527</v>
      </c>
      <c r="D613" s="3" t="s">
        <v>57</v>
      </c>
      <c r="E613" s="3" t="s">
        <v>32</v>
      </c>
      <c r="F613" s="12">
        <v>46022</v>
      </c>
      <c r="G613" s="8">
        <v>2025</v>
      </c>
      <c r="H613" s="7" t="s">
        <v>44</v>
      </c>
      <c r="I613" s="7" t="s">
        <v>465</v>
      </c>
      <c r="J613" s="3">
        <v>2</v>
      </c>
      <c r="K613" s="3">
        <v>100</v>
      </c>
      <c r="L613" s="3">
        <v>100</v>
      </c>
      <c r="M613" s="3">
        <f t="shared" si="110"/>
        <v>1</v>
      </c>
      <c r="N613" s="3">
        <f t="shared" si="109"/>
        <v>1</v>
      </c>
      <c r="O613" s="3" t="s">
        <v>58</v>
      </c>
      <c r="P613" s="3" t="s">
        <v>58</v>
      </c>
      <c r="Q613" s="3" t="str">
        <f t="shared" si="108"/>
        <v>923-2025-12-31</v>
      </c>
      <c r="R613" s="3">
        <v>0</v>
      </c>
      <c r="S613" s="3">
        <v>0</v>
      </c>
      <c r="T613" s="3" t="s">
        <v>443</v>
      </c>
      <c r="U613" s="3" t="s">
        <v>37</v>
      </c>
      <c r="V613" s="3" t="s">
        <v>527</v>
      </c>
      <c r="W613" s="3" t="s">
        <v>73</v>
      </c>
      <c r="X613" s="3" t="s">
        <v>74</v>
      </c>
      <c r="Y613" s="3" t="s">
        <v>585</v>
      </c>
      <c r="Z613" s="3"/>
      <c r="AA613" s="3"/>
      <c r="AB613" s="3" t="s">
        <v>43</v>
      </c>
      <c r="AC613" s="3" t="s">
        <v>66</v>
      </c>
      <c r="AD613" s="3">
        <v>1</v>
      </c>
    </row>
    <row r="614" spans="1:30" x14ac:dyDescent="0.3">
      <c r="A614" s="3">
        <v>924</v>
      </c>
      <c r="B614" s="3" t="s">
        <v>552</v>
      </c>
      <c r="C614" s="3" t="s">
        <v>232</v>
      </c>
      <c r="D614" s="3" t="s">
        <v>57</v>
      </c>
      <c r="E614" s="3" t="s">
        <v>32</v>
      </c>
      <c r="F614" s="12">
        <v>46022</v>
      </c>
      <c r="G614" s="8">
        <v>2025</v>
      </c>
      <c r="H614" s="7" t="s">
        <v>44</v>
      </c>
      <c r="I614" s="7" t="s">
        <v>465</v>
      </c>
      <c r="J614" s="3">
        <v>2</v>
      </c>
      <c r="K614" s="3">
        <v>90</v>
      </c>
      <c r="L614" s="3">
        <v>85</v>
      </c>
      <c r="M614" s="3">
        <f t="shared" si="110"/>
        <v>0.94444444444444442</v>
      </c>
      <c r="N614" s="3">
        <f t="shared" si="109"/>
        <v>0.94444444444444442</v>
      </c>
      <c r="O614" s="3" t="s">
        <v>58</v>
      </c>
      <c r="P614" s="3" t="s">
        <v>58</v>
      </c>
      <c r="Q614" s="3" t="str">
        <f t="shared" si="108"/>
        <v>924-2025-12-31</v>
      </c>
      <c r="R614" s="3">
        <v>0</v>
      </c>
      <c r="S614" s="3">
        <v>0</v>
      </c>
      <c r="T614" s="3" t="s">
        <v>443</v>
      </c>
      <c r="U614" s="3" t="s">
        <v>37</v>
      </c>
      <c r="V614" s="3" t="s">
        <v>232</v>
      </c>
      <c r="W614" s="3" t="s">
        <v>145</v>
      </c>
      <c r="X614" s="3" t="s">
        <v>179</v>
      </c>
      <c r="Y614" s="3" t="s">
        <v>273</v>
      </c>
      <c r="Z614" s="3"/>
      <c r="AA614" s="3"/>
      <c r="AB614" s="3" t="s">
        <v>43</v>
      </c>
      <c r="AC614" s="3" t="s">
        <v>66</v>
      </c>
      <c r="AD614" s="3">
        <v>1</v>
      </c>
    </row>
    <row r="615" spans="1:30" x14ac:dyDescent="0.3">
      <c r="A615" s="5">
        <v>904</v>
      </c>
      <c r="B615" s="6" t="s">
        <v>500</v>
      </c>
      <c r="C615" s="3" t="s">
        <v>232</v>
      </c>
      <c r="D615" s="3" t="s">
        <v>57</v>
      </c>
      <c r="E615" s="3" t="s">
        <v>32</v>
      </c>
      <c r="F615" s="12">
        <v>46022</v>
      </c>
      <c r="G615" s="8">
        <v>2025</v>
      </c>
      <c r="H615" s="7" t="s">
        <v>44</v>
      </c>
      <c r="I615" s="7" t="s">
        <v>465</v>
      </c>
      <c r="J615" s="3">
        <v>2</v>
      </c>
      <c r="K615" s="10">
        <v>100</v>
      </c>
      <c r="L615" s="10">
        <v>100</v>
      </c>
      <c r="M615" s="3">
        <f t="shared" si="110"/>
        <v>1</v>
      </c>
      <c r="N615" s="3">
        <f t="shared" si="109"/>
        <v>1</v>
      </c>
      <c r="O615" s="3" t="s">
        <v>58</v>
      </c>
      <c r="P615" s="3" t="s">
        <v>58</v>
      </c>
      <c r="Q615" s="3" t="str">
        <f t="shared" si="108"/>
        <v>904-2025-12-31</v>
      </c>
      <c r="R615" s="3">
        <v>0</v>
      </c>
      <c r="S615" s="3">
        <v>0</v>
      </c>
      <c r="T615" s="3" t="s">
        <v>443</v>
      </c>
      <c r="U615" s="3" t="s">
        <v>37</v>
      </c>
      <c r="V615" s="3" t="s">
        <v>232</v>
      </c>
      <c r="W615" s="3" t="s">
        <v>145</v>
      </c>
      <c r="X615" s="3" t="s">
        <v>179</v>
      </c>
      <c r="Y615" s="3" t="s">
        <v>542</v>
      </c>
      <c r="Z615" s="3" t="s">
        <v>76</v>
      </c>
      <c r="AA615" s="3" t="s">
        <v>77</v>
      </c>
      <c r="AB615" s="3" t="s">
        <v>43</v>
      </c>
      <c r="AC615" s="3" t="s">
        <v>66</v>
      </c>
      <c r="AD615" s="3">
        <v>1</v>
      </c>
    </row>
    <row r="616" spans="1:30" x14ac:dyDescent="0.3">
      <c r="A616" s="3">
        <v>909</v>
      </c>
      <c r="B616" s="3" t="s">
        <v>509</v>
      </c>
      <c r="C616" s="3" t="s">
        <v>487</v>
      </c>
      <c r="D616" s="3" t="s">
        <v>57</v>
      </c>
      <c r="E616" s="3" t="s">
        <v>32</v>
      </c>
      <c r="F616" s="12">
        <v>46023</v>
      </c>
      <c r="G616" s="8">
        <v>2026</v>
      </c>
      <c r="H616" s="7" t="s">
        <v>484</v>
      </c>
      <c r="I616" s="7" t="s">
        <v>484</v>
      </c>
      <c r="J616" s="3"/>
      <c r="K616" s="3">
        <v>100</v>
      </c>
      <c r="L616" s="3">
        <v>100</v>
      </c>
      <c r="M616" s="3">
        <f t="shared" si="110"/>
        <v>1</v>
      </c>
      <c r="N616" s="3">
        <f t="shared" si="109"/>
        <v>1</v>
      </c>
      <c r="O616" s="3">
        <v>0</v>
      </c>
      <c r="P616" s="3">
        <v>0</v>
      </c>
      <c r="Q616" s="3" t="str">
        <f t="shared" si="108"/>
        <v>909-2026-01-01</v>
      </c>
      <c r="R616" s="3">
        <v>0</v>
      </c>
      <c r="S616" s="3">
        <v>0</v>
      </c>
      <c r="T616" s="3" t="s">
        <v>484</v>
      </c>
      <c r="U616" s="3" t="s">
        <v>37</v>
      </c>
      <c r="V616" s="3" t="s">
        <v>487</v>
      </c>
      <c r="W616" s="3" t="s">
        <v>73</v>
      </c>
      <c r="X616" s="3" t="s">
        <v>74</v>
      </c>
      <c r="Y616" s="3" t="s">
        <v>585</v>
      </c>
      <c r="Z616" s="3" t="s">
        <v>86</v>
      </c>
      <c r="AA616" s="3" t="s">
        <v>87</v>
      </c>
      <c r="AB616" s="3" t="s">
        <v>43</v>
      </c>
      <c r="AC616" s="3" t="s">
        <v>66</v>
      </c>
      <c r="AD616" s="3">
        <v>1</v>
      </c>
    </row>
    <row r="617" spans="1:30" x14ac:dyDescent="0.3">
      <c r="A617" s="3">
        <v>913</v>
      </c>
      <c r="B617" s="3" t="s">
        <v>513</v>
      </c>
      <c r="C617" s="3" t="s">
        <v>525</v>
      </c>
      <c r="D617" s="3" t="s">
        <v>57</v>
      </c>
      <c r="E617" s="3" t="s">
        <v>32</v>
      </c>
      <c r="F617" s="12">
        <v>46023</v>
      </c>
      <c r="G617" s="8">
        <v>2026</v>
      </c>
      <c r="H617" s="7" t="s">
        <v>484</v>
      </c>
      <c r="I617" s="7" t="s">
        <v>484</v>
      </c>
      <c r="J617" s="3"/>
      <c r="K617" s="3">
        <v>99</v>
      </c>
      <c r="L617" s="3">
        <v>99</v>
      </c>
      <c r="M617" s="3">
        <f t="shared" si="110"/>
        <v>1</v>
      </c>
      <c r="N617" s="3">
        <f t="shared" si="109"/>
        <v>1</v>
      </c>
      <c r="O617" s="3">
        <v>0</v>
      </c>
      <c r="P617" s="3">
        <v>0</v>
      </c>
      <c r="Q617" s="3" t="str">
        <f t="shared" si="108"/>
        <v>913-2026-01-01</v>
      </c>
      <c r="R617" s="3">
        <v>0</v>
      </c>
      <c r="S617" s="3">
        <v>0</v>
      </c>
      <c r="T617" s="3" t="s">
        <v>484</v>
      </c>
      <c r="U617" s="3" t="s">
        <v>37</v>
      </c>
      <c r="V617" s="3" t="s">
        <v>525</v>
      </c>
      <c r="W617" s="3" t="s">
        <v>60</v>
      </c>
      <c r="X617" s="3" t="s">
        <v>262</v>
      </c>
      <c r="Y617" s="3" t="s">
        <v>543</v>
      </c>
      <c r="Z617" s="3"/>
      <c r="AA617" s="3"/>
      <c r="AB617" s="3" t="s">
        <v>43</v>
      </c>
      <c r="AC617" s="3" t="s">
        <v>66</v>
      </c>
      <c r="AD617" s="3">
        <v>1</v>
      </c>
    </row>
    <row r="618" spans="1:30" x14ac:dyDescent="0.3">
      <c r="A618" s="3">
        <v>914</v>
      </c>
      <c r="B618" s="3" t="s">
        <v>514</v>
      </c>
      <c r="C618" s="3" t="s">
        <v>130</v>
      </c>
      <c r="D618" s="3" t="s">
        <v>57</v>
      </c>
      <c r="E618" s="3" t="s">
        <v>32</v>
      </c>
      <c r="F618" s="12">
        <v>46023</v>
      </c>
      <c r="G618" s="8">
        <v>2026</v>
      </c>
      <c r="H618" s="7" t="s">
        <v>484</v>
      </c>
      <c r="I618" s="7" t="s">
        <v>484</v>
      </c>
      <c r="J618" s="3"/>
      <c r="K618" s="3">
        <v>67</v>
      </c>
      <c r="L618" s="3">
        <v>67</v>
      </c>
      <c r="M618" s="3">
        <f t="shared" si="110"/>
        <v>1</v>
      </c>
      <c r="N618" s="3">
        <f t="shared" si="109"/>
        <v>1</v>
      </c>
      <c r="O618" s="3">
        <v>0</v>
      </c>
      <c r="P618" s="3">
        <v>0</v>
      </c>
      <c r="Q618" s="3" t="str">
        <f t="shared" si="108"/>
        <v>914-2026-01-01</v>
      </c>
      <c r="R618" s="3">
        <v>0</v>
      </c>
      <c r="S618" s="3">
        <v>0</v>
      </c>
      <c r="T618" s="3" t="s">
        <v>484</v>
      </c>
      <c r="U618" s="3" t="s">
        <v>37</v>
      </c>
      <c r="V618" s="3" t="s">
        <v>130</v>
      </c>
      <c r="W618" s="3" t="s">
        <v>60</v>
      </c>
      <c r="X618" s="3" t="s">
        <v>100</v>
      </c>
      <c r="Y618" s="3" t="s">
        <v>586</v>
      </c>
      <c r="Z618" s="3"/>
      <c r="AA618" s="3"/>
      <c r="AB618" s="3" t="s">
        <v>43</v>
      </c>
      <c r="AC618" s="3" t="s">
        <v>66</v>
      </c>
      <c r="AD618" s="3">
        <v>1</v>
      </c>
    </row>
    <row r="619" spans="1:30" x14ac:dyDescent="0.3">
      <c r="A619" s="3">
        <v>8</v>
      </c>
      <c r="B619" s="3" t="s">
        <v>495</v>
      </c>
      <c r="C619" s="3" t="s">
        <v>349</v>
      </c>
      <c r="D619" s="3" t="s">
        <v>57</v>
      </c>
      <c r="E619" s="3" t="s">
        <v>32</v>
      </c>
      <c r="F619" s="12">
        <v>46023</v>
      </c>
      <c r="G619" s="8">
        <v>2026</v>
      </c>
      <c r="H619" s="7" t="s">
        <v>484</v>
      </c>
      <c r="I619" s="7" t="s">
        <v>484</v>
      </c>
      <c r="J619" s="3"/>
      <c r="K619" s="9">
        <v>100</v>
      </c>
      <c r="L619" s="9">
        <v>100</v>
      </c>
      <c r="M619" s="3">
        <f t="shared" si="110"/>
        <v>1</v>
      </c>
      <c r="N619" s="3">
        <f t="shared" si="109"/>
        <v>1</v>
      </c>
      <c r="O619" s="3"/>
      <c r="P619" s="3"/>
      <c r="Q619" s="3" t="str">
        <f t="shared" si="108"/>
        <v>8-2026-01-01</v>
      </c>
      <c r="R619" s="3">
        <v>0</v>
      </c>
      <c r="S619" s="3">
        <v>0</v>
      </c>
      <c r="T619" s="3" t="s">
        <v>484</v>
      </c>
      <c r="U619" s="3" t="s">
        <v>37</v>
      </c>
      <c r="V619" s="3" t="s">
        <v>349</v>
      </c>
      <c r="W619" s="3" t="s">
        <v>73</v>
      </c>
      <c r="X619" s="3" t="s">
        <v>74</v>
      </c>
      <c r="Y619" s="3" t="s">
        <v>351</v>
      </c>
      <c r="Z619" s="3" t="s">
        <v>101</v>
      </c>
      <c r="AA619" s="3" t="s">
        <v>264</v>
      </c>
      <c r="AB619" s="3" t="s">
        <v>43</v>
      </c>
      <c r="AC619" s="3" t="s">
        <v>66</v>
      </c>
      <c r="AD619" s="3">
        <v>1</v>
      </c>
    </row>
    <row r="620" spans="1:30" x14ac:dyDescent="0.3">
      <c r="A620" s="3">
        <v>923</v>
      </c>
      <c r="B620" s="3" t="s">
        <v>520</v>
      </c>
      <c r="C620" s="3" t="s">
        <v>527</v>
      </c>
      <c r="D620" s="3" t="s">
        <v>57</v>
      </c>
      <c r="E620" s="3" t="s">
        <v>32</v>
      </c>
      <c r="F620" s="12">
        <v>46023</v>
      </c>
      <c r="G620" s="8">
        <v>2026</v>
      </c>
      <c r="H620" s="7" t="s">
        <v>484</v>
      </c>
      <c r="I620" s="7" t="s">
        <v>484</v>
      </c>
      <c r="J620" s="3"/>
      <c r="K620" s="3">
        <v>100</v>
      </c>
      <c r="L620" s="3">
        <v>100</v>
      </c>
      <c r="M620" s="3">
        <f t="shared" si="110"/>
        <v>1</v>
      </c>
      <c r="N620" s="3">
        <f t="shared" si="109"/>
        <v>1</v>
      </c>
      <c r="O620" s="3" t="s">
        <v>58</v>
      </c>
      <c r="P620" s="3" t="s">
        <v>58</v>
      </c>
      <c r="Q620" s="3" t="str">
        <f t="shared" si="108"/>
        <v>923-2026-01-01</v>
      </c>
      <c r="R620" s="3">
        <v>0</v>
      </c>
      <c r="S620" s="3">
        <v>0</v>
      </c>
      <c r="T620" s="3" t="s">
        <v>484</v>
      </c>
      <c r="U620" s="3" t="s">
        <v>37</v>
      </c>
      <c r="V620" s="3" t="s">
        <v>527</v>
      </c>
      <c r="W620" s="3" t="s">
        <v>73</v>
      </c>
      <c r="X620" s="3" t="s">
        <v>74</v>
      </c>
      <c r="Y620" s="3" t="s">
        <v>585</v>
      </c>
      <c r="Z620" s="3"/>
      <c r="AA620" s="3"/>
      <c r="AB620" s="3" t="s">
        <v>43</v>
      </c>
      <c r="AC620" s="3" t="s">
        <v>66</v>
      </c>
      <c r="AD620" s="3">
        <v>1</v>
      </c>
    </row>
    <row r="621" spans="1:30" x14ac:dyDescent="0.3">
      <c r="A621" s="3">
        <v>5</v>
      </c>
      <c r="B621" s="3" t="s">
        <v>492</v>
      </c>
      <c r="C621" s="3" t="s">
        <v>267</v>
      </c>
      <c r="D621" s="3" t="s">
        <v>57</v>
      </c>
      <c r="E621" s="3" t="s">
        <v>32</v>
      </c>
      <c r="F621" s="12">
        <v>46023</v>
      </c>
      <c r="G621" s="8">
        <v>2026</v>
      </c>
      <c r="H621" s="7" t="s">
        <v>484</v>
      </c>
      <c r="I621" s="7" t="s">
        <v>484</v>
      </c>
      <c r="J621" s="3"/>
      <c r="K621" s="9">
        <v>100</v>
      </c>
      <c r="L621" s="9">
        <v>100</v>
      </c>
      <c r="M621" s="3">
        <f t="shared" si="110"/>
        <v>1</v>
      </c>
      <c r="N621" s="3">
        <f t="shared" si="109"/>
        <v>1</v>
      </c>
      <c r="O621" s="3" t="s">
        <v>58</v>
      </c>
      <c r="P621" s="3" t="s">
        <v>58</v>
      </c>
      <c r="Q621" s="3" t="str">
        <f t="shared" si="108"/>
        <v>5-2026-01-01</v>
      </c>
      <c r="R621" s="3">
        <v>0</v>
      </c>
      <c r="S621" s="3">
        <v>0</v>
      </c>
      <c r="T621" s="3" t="s">
        <v>484</v>
      </c>
      <c r="U621" s="3" t="s">
        <v>37</v>
      </c>
      <c r="V621" s="3" t="s">
        <v>267</v>
      </c>
      <c r="W621" s="3" t="s">
        <v>145</v>
      </c>
      <c r="X621" s="3" t="s">
        <v>179</v>
      </c>
      <c r="Y621" s="3" t="s">
        <v>269</v>
      </c>
      <c r="Z621" s="3" t="s">
        <v>41</v>
      </c>
      <c r="AA621" s="3" t="s">
        <v>124</v>
      </c>
      <c r="AB621" s="3" t="s">
        <v>43</v>
      </c>
      <c r="AC621" s="3" t="s">
        <v>66</v>
      </c>
      <c r="AD621" s="3">
        <v>1</v>
      </c>
    </row>
    <row r="622" spans="1:30" x14ac:dyDescent="0.3">
      <c r="A622" s="3">
        <v>910</v>
      </c>
      <c r="B622" s="3" t="s">
        <v>510</v>
      </c>
      <c r="C622" s="3" t="s">
        <v>71</v>
      </c>
      <c r="D622" s="3" t="s">
        <v>57</v>
      </c>
      <c r="E622" s="3" t="s">
        <v>32</v>
      </c>
      <c r="F622" s="12">
        <v>46023</v>
      </c>
      <c r="G622" s="8">
        <v>2026</v>
      </c>
      <c r="H622" s="7" t="s">
        <v>484</v>
      </c>
      <c r="I622" s="7" t="s">
        <v>484</v>
      </c>
      <c r="J622" s="3"/>
      <c r="K622" s="3">
        <v>76</v>
      </c>
      <c r="L622" s="3">
        <v>77</v>
      </c>
      <c r="M622" s="3">
        <f t="shared" si="110"/>
        <v>1</v>
      </c>
      <c r="N622" s="3">
        <f>IF(L622/K622&gt;1,1,L622/K622)</f>
        <v>1</v>
      </c>
      <c r="O622" s="3" t="s">
        <v>58</v>
      </c>
      <c r="P622" s="3" t="s">
        <v>58</v>
      </c>
      <c r="Q622" s="3" t="str">
        <f t="shared" si="108"/>
        <v>910-2026-01-01</v>
      </c>
      <c r="R622" s="3">
        <v>0</v>
      </c>
      <c r="S622" s="3">
        <v>0</v>
      </c>
      <c r="T622" s="3" t="s">
        <v>484</v>
      </c>
      <c r="U622" s="3" t="s">
        <v>37</v>
      </c>
      <c r="V622" s="3" t="s">
        <v>71</v>
      </c>
      <c r="W622" s="3" t="s">
        <v>73</v>
      </c>
      <c r="X622" s="3" t="s">
        <v>74</v>
      </c>
      <c r="Y622" s="3" t="s">
        <v>585</v>
      </c>
      <c r="Z622" s="3" t="s">
        <v>86</v>
      </c>
      <c r="AA622" s="3" t="s">
        <v>87</v>
      </c>
      <c r="AB622" s="3" t="s">
        <v>43</v>
      </c>
      <c r="AC622" s="3" t="s">
        <v>66</v>
      </c>
      <c r="AD622" s="3">
        <v>1</v>
      </c>
    </row>
    <row r="623" spans="1:30" x14ac:dyDescent="0.3">
      <c r="A623" s="3">
        <v>911</v>
      </c>
      <c r="B623" s="3" t="s">
        <v>511</v>
      </c>
      <c r="C623" s="3" t="s">
        <v>202</v>
      </c>
      <c r="D623" s="3" t="s">
        <v>57</v>
      </c>
      <c r="E623" s="3" t="s">
        <v>32</v>
      </c>
      <c r="F623" s="12">
        <v>46023</v>
      </c>
      <c r="G623" s="8">
        <v>2026</v>
      </c>
      <c r="H623" s="7" t="s">
        <v>484</v>
      </c>
      <c r="I623" s="7" t="s">
        <v>484</v>
      </c>
      <c r="J623" s="3"/>
      <c r="K623" s="3">
        <v>90</v>
      </c>
      <c r="L623" s="3">
        <v>91</v>
      </c>
      <c r="M623" s="3">
        <f t="shared" si="110"/>
        <v>1</v>
      </c>
      <c r="N623" s="3">
        <f>IF(L623/K623&gt;1,1,L623/K623)</f>
        <v>1</v>
      </c>
      <c r="O623" s="3" t="s">
        <v>58</v>
      </c>
      <c r="P623" s="3" t="s">
        <v>58</v>
      </c>
      <c r="Q623" s="3" t="str">
        <f t="shared" si="108"/>
        <v>911-2026-01-01</v>
      </c>
      <c r="R623" s="3">
        <v>0</v>
      </c>
      <c r="S623" s="3">
        <v>0</v>
      </c>
      <c r="T623" s="3" t="s">
        <v>484</v>
      </c>
      <c r="U623" s="3" t="s">
        <v>37</v>
      </c>
      <c r="V623" s="3" t="s">
        <v>202</v>
      </c>
      <c r="W623" s="3" t="s">
        <v>73</v>
      </c>
      <c r="X623" s="3" t="s">
        <v>74</v>
      </c>
      <c r="Y623" s="3" t="s">
        <v>585</v>
      </c>
      <c r="Z623" s="3" t="s">
        <v>86</v>
      </c>
      <c r="AA623" s="3" t="s">
        <v>87</v>
      </c>
      <c r="AB623" s="3" t="s">
        <v>43</v>
      </c>
      <c r="AC623" s="3" t="s">
        <v>66</v>
      </c>
      <c r="AD623" s="3">
        <v>1</v>
      </c>
    </row>
    <row r="624" spans="1:30" x14ac:dyDescent="0.3">
      <c r="A624" s="3">
        <v>915</v>
      </c>
      <c r="B624" s="3" t="s">
        <v>515</v>
      </c>
      <c r="C624" s="3" t="s">
        <v>260</v>
      </c>
      <c r="D624" s="3" t="s">
        <v>57</v>
      </c>
      <c r="E624" s="3" t="s">
        <v>32</v>
      </c>
      <c r="F624" s="12">
        <v>46023</v>
      </c>
      <c r="G624" s="8">
        <v>2026</v>
      </c>
      <c r="H624" s="7" t="s">
        <v>484</v>
      </c>
      <c r="I624" s="7" t="s">
        <v>484</v>
      </c>
      <c r="J624" s="3"/>
      <c r="K624" s="3">
        <v>5</v>
      </c>
      <c r="L624" s="3">
        <v>5</v>
      </c>
      <c r="M624" s="3">
        <f t="shared" si="110"/>
        <v>1</v>
      </c>
      <c r="N624" s="3">
        <f t="shared" ref="N624" si="111">IF(L624/K624&gt;1,1,L624/K624)</f>
        <v>1</v>
      </c>
      <c r="O624" s="3" t="s">
        <v>58</v>
      </c>
      <c r="P624" s="3" t="s">
        <v>58</v>
      </c>
      <c r="Q624" s="3" t="str">
        <f t="shared" si="108"/>
        <v>915-2026-01-01</v>
      </c>
      <c r="R624" s="3">
        <v>0</v>
      </c>
      <c r="S624" s="3">
        <v>0</v>
      </c>
      <c r="T624" s="3" t="s">
        <v>484</v>
      </c>
      <c r="U624" s="3" t="s">
        <v>37</v>
      </c>
      <c r="V624" s="3" t="s">
        <v>260</v>
      </c>
      <c r="W624" s="3" t="s">
        <v>60</v>
      </c>
      <c r="X624" s="3" t="s">
        <v>262</v>
      </c>
      <c r="Y624" s="3" t="s">
        <v>338</v>
      </c>
      <c r="Z624" s="3"/>
      <c r="AA624" s="3"/>
      <c r="AB624" s="3" t="s">
        <v>43</v>
      </c>
      <c r="AC624" s="3" t="s">
        <v>66</v>
      </c>
      <c r="AD624" s="3">
        <v>1</v>
      </c>
    </row>
    <row r="625" spans="1:30" x14ac:dyDescent="0.3">
      <c r="A625" s="3">
        <v>916</v>
      </c>
      <c r="B625" s="3" t="s">
        <v>516</v>
      </c>
      <c r="C625" s="3" t="s">
        <v>522</v>
      </c>
      <c r="D625" s="3" t="s">
        <v>57</v>
      </c>
      <c r="E625" s="3" t="s">
        <v>32</v>
      </c>
      <c r="F625" s="12">
        <v>46023</v>
      </c>
      <c r="G625" s="8">
        <v>2026</v>
      </c>
      <c r="H625" s="7" t="s">
        <v>484</v>
      </c>
      <c r="I625" s="7" t="s">
        <v>484</v>
      </c>
      <c r="J625" s="3"/>
      <c r="K625" s="3">
        <v>60</v>
      </c>
      <c r="L625" s="3">
        <v>57</v>
      </c>
      <c r="M625" s="3">
        <f t="shared" si="110"/>
        <v>0.95</v>
      </c>
      <c r="N625" s="3">
        <f>IF(L625/K625&gt;1,1,L625/K625)</f>
        <v>0.95</v>
      </c>
      <c r="O625" s="3" t="s">
        <v>58</v>
      </c>
      <c r="P625" s="3" t="s">
        <v>58</v>
      </c>
      <c r="Q625" s="3" t="str">
        <f t="shared" si="108"/>
        <v>916-2026-01-01</v>
      </c>
      <c r="R625" s="3">
        <v>0</v>
      </c>
      <c r="S625" s="3">
        <v>0</v>
      </c>
      <c r="T625" s="3" t="s">
        <v>484</v>
      </c>
      <c r="U625" s="3" t="s">
        <v>37</v>
      </c>
      <c r="V625" s="3" t="s">
        <v>522</v>
      </c>
      <c r="W625" s="3" t="s">
        <v>60</v>
      </c>
      <c r="X625" s="3" t="s">
        <v>262</v>
      </c>
      <c r="Y625" s="3" t="s">
        <v>543</v>
      </c>
      <c r="Z625" s="3"/>
      <c r="AA625" s="3"/>
      <c r="AB625" s="3" t="s">
        <v>43</v>
      </c>
      <c r="AC625" s="3" t="s">
        <v>66</v>
      </c>
      <c r="AD625" s="3">
        <v>1</v>
      </c>
    </row>
    <row r="626" spans="1:30" x14ac:dyDescent="0.3">
      <c r="A626" s="3">
        <v>920</v>
      </c>
      <c r="B626" s="3" t="s">
        <v>507</v>
      </c>
      <c r="C626" s="3" t="s">
        <v>524</v>
      </c>
      <c r="D626" s="3" t="s">
        <v>57</v>
      </c>
      <c r="E626" s="3" t="s">
        <v>32</v>
      </c>
      <c r="F626" s="12">
        <v>46023</v>
      </c>
      <c r="G626" s="8">
        <v>2026</v>
      </c>
      <c r="H626" s="7" t="s">
        <v>484</v>
      </c>
      <c r="I626" s="7" t="s">
        <v>484</v>
      </c>
      <c r="J626" s="3"/>
      <c r="K626" s="3">
        <v>100</v>
      </c>
      <c r="L626" s="3">
        <v>100</v>
      </c>
      <c r="M626" s="3">
        <f t="shared" si="110"/>
        <v>1</v>
      </c>
      <c r="N626" s="3">
        <f t="shared" ref="N626:N631" si="112">IF(L626/K626&gt;1,1,L626/K626)</f>
        <v>1</v>
      </c>
      <c r="O626" s="3"/>
      <c r="P626" s="3"/>
      <c r="Q626" s="3" t="str">
        <f t="shared" si="108"/>
        <v>920-2026-01-01</v>
      </c>
      <c r="R626" s="3">
        <v>0</v>
      </c>
      <c r="S626" s="3">
        <v>0</v>
      </c>
      <c r="T626" s="3" t="s">
        <v>484</v>
      </c>
      <c r="U626" s="3" t="s">
        <v>37</v>
      </c>
      <c r="V626" s="3" t="s">
        <v>524</v>
      </c>
      <c r="W626" s="3" t="s">
        <v>60</v>
      </c>
      <c r="X626" s="3" t="s">
        <v>262</v>
      </c>
      <c r="Y626" s="3" t="s">
        <v>543</v>
      </c>
      <c r="Z626" s="3"/>
      <c r="AA626" s="3"/>
      <c r="AB626" s="3" t="s">
        <v>43</v>
      </c>
      <c r="AC626" s="3" t="s">
        <v>66</v>
      </c>
      <c r="AD626" s="3">
        <v>1</v>
      </c>
    </row>
    <row r="627" spans="1:30" x14ac:dyDescent="0.3">
      <c r="A627" s="5">
        <v>903</v>
      </c>
      <c r="B627" s="6" t="s">
        <v>508</v>
      </c>
      <c r="C627" s="3" t="s">
        <v>529</v>
      </c>
      <c r="D627" s="3" t="s">
        <v>57</v>
      </c>
      <c r="E627" s="3" t="s">
        <v>32</v>
      </c>
      <c r="F627" s="12">
        <v>46023</v>
      </c>
      <c r="G627" s="8">
        <v>2026</v>
      </c>
      <c r="H627" s="7" t="s">
        <v>484</v>
      </c>
      <c r="I627" s="7" t="s">
        <v>484</v>
      </c>
      <c r="J627" s="3"/>
      <c r="K627" s="10">
        <v>100</v>
      </c>
      <c r="L627" s="10">
        <v>99</v>
      </c>
      <c r="M627" s="3">
        <f t="shared" si="110"/>
        <v>0.99</v>
      </c>
      <c r="N627" s="3">
        <f t="shared" si="112"/>
        <v>0.99</v>
      </c>
      <c r="O627" s="3" t="s">
        <v>58</v>
      </c>
      <c r="P627" s="3" t="s">
        <v>58</v>
      </c>
      <c r="Q627" s="3" t="str">
        <f t="shared" si="108"/>
        <v>903-2026-01-01</v>
      </c>
      <c r="R627" s="3">
        <v>0</v>
      </c>
      <c r="S627" s="3">
        <v>0</v>
      </c>
      <c r="T627" s="3" t="s">
        <v>484</v>
      </c>
      <c r="U627" s="3" t="s">
        <v>37</v>
      </c>
      <c r="V627" s="3" t="s">
        <v>529</v>
      </c>
      <c r="W627" s="3" t="s">
        <v>112</v>
      </c>
      <c r="X627" s="3" t="s">
        <v>113</v>
      </c>
      <c r="Y627" s="3" t="s">
        <v>541</v>
      </c>
      <c r="Z627" s="3" t="s">
        <v>101</v>
      </c>
      <c r="AA627" s="3" t="s">
        <v>264</v>
      </c>
      <c r="AB627" s="3" t="s">
        <v>43</v>
      </c>
      <c r="AC627" s="3" t="s">
        <v>66</v>
      </c>
      <c r="AD627" s="3">
        <v>1</v>
      </c>
    </row>
    <row r="628" spans="1:30" x14ac:dyDescent="0.3">
      <c r="A628" s="3">
        <v>912</v>
      </c>
      <c r="B628" s="3" t="s">
        <v>512</v>
      </c>
      <c r="C628" s="3" t="s">
        <v>349</v>
      </c>
      <c r="D628" s="3" t="s">
        <v>57</v>
      </c>
      <c r="E628" s="3" t="s">
        <v>32</v>
      </c>
      <c r="F628" s="12">
        <v>46023</v>
      </c>
      <c r="G628" s="8">
        <v>2026</v>
      </c>
      <c r="H628" s="7" t="s">
        <v>484</v>
      </c>
      <c r="I628" s="7" t="s">
        <v>484</v>
      </c>
      <c r="J628" s="3"/>
      <c r="K628" s="3">
        <v>75</v>
      </c>
      <c r="L628" s="3">
        <v>70</v>
      </c>
      <c r="M628" s="3">
        <f t="shared" si="110"/>
        <v>0.93333333333333335</v>
      </c>
      <c r="N628" s="3">
        <f t="shared" si="112"/>
        <v>0.93333333333333335</v>
      </c>
      <c r="O628" s="3" t="s">
        <v>58</v>
      </c>
      <c r="P628" s="3" t="s">
        <v>58</v>
      </c>
      <c r="Q628" s="3" t="str">
        <f t="shared" si="108"/>
        <v>912-2026-01-01</v>
      </c>
      <c r="R628" s="3">
        <v>0</v>
      </c>
      <c r="S628" s="3">
        <v>0</v>
      </c>
      <c r="T628" s="3" t="s">
        <v>484</v>
      </c>
      <c r="U628" s="3" t="s">
        <v>37</v>
      </c>
      <c r="V628" s="3" t="s">
        <v>349</v>
      </c>
      <c r="W628" s="3" t="s">
        <v>73</v>
      </c>
      <c r="X628" s="3" t="s">
        <v>218</v>
      </c>
      <c r="Y628" s="3" t="s">
        <v>351</v>
      </c>
      <c r="Z628" s="3" t="s">
        <v>86</v>
      </c>
      <c r="AA628" s="3" t="s">
        <v>87</v>
      </c>
      <c r="AB628" s="3" t="s">
        <v>43</v>
      </c>
      <c r="AC628" s="3" t="s">
        <v>66</v>
      </c>
      <c r="AD628" s="3">
        <v>1</v>
      </c>
    </row>
    <row r="629" spans="1:30" x14ac:dyDescent="0.3">
      <c r="A629" s="3">
        <v>925</v>
      </c>
      <c r="B629" s="3" t="s">
        <v>506</v>
      </c>
      <c r="C629" s="3" t="s">
        <v>142</v>
      </c>
      <c r="D629" s="3" t="s">
        <v>57</v>
      </c>
      <c r="E629" s="3" t="s">
        <v>32</v>
      </c>
      <c r="F629" s="12">
        <v>46023</v>
      </c>
      <c r="G629" s="8">
        <v>2026</v>
      </c>
      <c r="H629" s="7" t="s">
        <v>484</v>
      </c>
      <c r="I629" s="7" t="s">
        <v>484</v>
      </c>
      <c r="J629" s="3"/>
      <c r="K629" s="11">
        <v>100</v>
      </c>
      <c r="L629" s="11">
        <v>100</v>
      </c>
      <c r="M629" s="3">
        <f t="shared" si="110"/>
        <v>1</v>
      </c>
      <c r="N629" s="3">
        <f t="shared" si="112"/>
        <v>1</v>
      </c>
      <c r="O629" s="3" t="s">
        <v>58</v>
      </c>
      <c r="P629" s="3" t="s">
        <v>58</v>
      </c>
      <c r="Q629" s="3" t="str">
        <f t="shared" si="108"/>
        <v>925-2026-01-01</v>
      </c>
      <c r="R629" s="3">
        <v>0</v>
      </c>
      <c r="S629" s="3">
        <v>0</v>
      </c>
      <c r="T629" s="3" t="s">
        <v>484</v>
      </c>
      <c r="U629" s="3" t="s">
        <v>37</v>
      </c>
      <c r="V629" s="3" t="s">
        <v>142</v>
      </c>
      <c r="W629" s="3" t="s">
        <v>145</v>
      </c>
      <c r="X629" s="3" t="s">
        <v>146</v>
      </c>
      <c r="Y629" s="3" t="s">
        <v>147</v>
      </c>
      <c r="Z629" s="3"/>
      <c r="AA629" s="3"/>
      <c r="AB629" s="3" t="s">
        <v>43</v>
      </c>
      <c r="AC629" s="3" t="s">
        <v>66</v>
      </c>
      <c r="AD629" s="3">
        <v>1</v>
      </c>
    </row>
    <row r="630" spans="1:30" x14ac:dyDescent="0.3">
      <c r="A630" s="3">
        <v>921</v>
      </c>
      <c r="B630" s="3" t="s">
        <v>505</v>
      </c>
      <c r="C630" s="3" t="s">
        <v>524</v>
      </c>
      <c r="D630" s="3" t="s">
        <v>57</v>
      </c>
      <c r="E630" s="3" t="s">
        <v>32</v>
      </c>
      <c r="F630" s="12">
        <v>46023</v>
      </c>
      <c r="G630" s="8">
        <v>2026</v>
      </c>
      <c r="H630" s="7" t="s">
        <v>484</v>
      </c>
      <c r="I630" s="7" t="s">
        <v>484</v>
      </c>
      <c r="J630" s="3"/>
      <c r="K630" s="3">
        <v>100</v>
      </c>
      <c r="L630" s="3">
        <v>100</v>
      </c>
      <c r="M630" s="3">
        <f t="shared" si="110"/>
        <v>1</v>
      </c>
      <c r="N630" s="3">
        <f t="shared" si="112"/>
        <v>1</v>
      </c>
      <c r="O630" s="3" t="s">
        <v>58</v>
      </c>
      <c r="P630" s="3" t="s">
        <v>58</v>
      </c>
      <c r="Q630" s="3" t="str">
        <f t="shared" si="108"/>
        <v>921-2026-01-01</v>
      </c>
      <c r="R630" s="3">
        <v>0</v>
      </c>
      <c r="S630" s="3">
        <v>0</v>
      </c>
      <c r="T630" s="3" t="s">
        <v>484</v>
      </c>
      <c r="U630" s="3" t="s">
        <v>37</v>
      </c>
      <c r="V630" s="3" t="s">
        <v>524</v>
      </c>
      <c r="W630" s="3" t="s">
        <v>60</v>
      </c>
      <c r="X630" s="3" t="s">
        <v>262</v>
      </c>
      <c r="Y630" s="3" t="s">
        <v>543</v>
      </c>
      <c r="Z630" s="3"/>
      <c r="AA630" s="3"/>
      <c r="AB630" s="3" t="s">
        <v>43</v>
      </c>
      <c r="AC630" s="3" t="s">
        <v>66</v>
      </c>
      <c r="AD630" s="3">
        <v>1</v>
      </c>
    </row>
    <row r="631" spans="1:30" x14ac:dyDescent="0.3">
      <c r="A631" s="3">
        <v>922</v>
      </c>
      <c r="B631" s="3" t="s">
        <v>519</v>
      </c>
      <c r="C631" s="3" t="s">
        <v>186</v>
      </c>
      <c r="D631" s="3" t="s">
        <v>57</v>
      </c>
      <c r="E631" s="3" t="s">
        <v>32</v>
      </c>
      <c r="F631" s="12">
        <v>46023</v>
      </c>
      <c r="G631" s="8">
        <v>2026</v>
      </c>
      <c r="H631" s="7" t="s">
        <v>484</v>
      </c>
      <c r="I631" s="7" t="s">
        <v>484</v>
      </c>
      <c r="J631" s="3"/>
      <c r="K631" s="3">
        <v>100</v>
      </c>
      <c r="L631" s="3">
        <v>99</v>
      </c>
      <c r="M631" s="3">
        <f t="shared" si="110"/>
        <v>0.99</v>
      </c>
      <c r="N631" s="3">
        <f t="shared" si="112"/>
        <v>0.99</v>
      </c>
      <c r="O631" s="3" t="s">
        <v>58</v>
      </c>
      <c r="P631" s="3" t="s">
        <v>58</v>
      </c>
      <c r="Q631" s="3" t="str">
        <f t="shared" si="108"/>
        <v>922-2026-01-01</v>
      </c>
      <c r="R631" s="3">
        <v>0</v>
      </c>
      <c r="S631" s="3">
        <v>0</v>
      </c>
      <c r="T631" s="3" t="s">
        <v>484</v>
      </c>
      <c r="U631" s="3" t="s">
        <v>37</v>
      </c>
      <c r="V631" s="3" t="s">
        <v>186</v>
      </c>
      <c r="W631" s="3" t="s">
        <v>112</v>
      </c>
      <c r="X631" s="3" t="s">
        <v>113</v>
      </c>
      <c r="Y631" s="3" t="s">
        <v>123</v>
      </c>
      <c r="Z631" s="3"/>
      <c r="AA631" s="3"/>
      <c r="AB631" s="3" t="s">
        <v>43</v>
      </c>
      <c r="AC631" s="3" t="s">
        <v>66</v>
      </c>
      <c r="AD631" s="3">
        <v>1</v>
      </c>
    </row>
    <row r="632" spans="1:30" x14ac:dyDescent="0.3">
      <c r="A632" s="3">
        <v>917</v>
      </c>
      <c r="B632" s="3" t="s">
        <v>517</v>
      </c>
      <c r="C632" s="3" t="s">
        <v>30</v>
      </c>
      <c r="D632" s="3" t="s">
        <v>57</v>
      </c>
      <c r="E632" s="3" t="s">
        <v>32</v>
      </c>
      <c r="F632" s="12">
        <v>46023</v>
      </c>
      <c r="G632" s="8">
        <v>2026</v>
      </c>
      <c r="H632" s="7" t="s">
        <v>484</v>
      </c>
      <c r="I632" s="7" t="s">
        <v>484</v>
      </c>
      <c r="J632" s="3"/>
      <c r="K632" s="3">
        <v>100</v>
      </c>
      <c r="L632" s="3">
        <v>99</v>
      </c>
      <c r="M632" s="3">
        <f t="shared" si="110"/>
        <v>0.99</v>
      </c>
      <c r="N632" s="3">
        <f>IF(L632/K632&gt;1,1,L632/K632)</f>
        <v>0.99</v>
      </c>
      <c r="O632" s="3" t="s">
        <v>58</v>
      </c>
      <c r="P632" s="3" t="s">
        <v>58</v>
      </c>
      <c r="Q632" s="3" t="str">
        <f t="shared" si="108"/>
        <v>917-2026-01-01</v>
      </c>
      <c r="R632" s="3">
        <v>0</v>
      </c>
      <c r="S632" s="3">
        <v>0</v>
      </c>
      <c r="T632" s="3" t="s">
        <v>484</v>
      </c>
      <c r="U632" s="3" t="s">
        <v>37</v>
      </c>
      <c r="V632" s="3" t="s">
        <v>30</v>
      </c>
      <c r="W632" s="3" t="s">
        <v>60</v>
      </c>
      <c r="X632" s="3" t="s">
        <v>262</v>
      </c>
      <c r="Y632" s="3" t="s">
        <v>543</v>
      </c>
      <c r="Z632" s="3"/>
      <c r="AA632" s="3"/>
      <c r="AB632" s="3" t="s">
        <v>43</v>
      </c>
      <c r="AC632" s="3" t="s">
        <v>66</v>
      </c>
      <c r="AD632" s="3">
        <v>1</v>
      </c>
    </row>
    <row r="633" spans="1:30" x14ac:dyDescent="0.3">
      <c r="A633" s="3">
        <v>924</v>
      </c>
      <c r="B633" s="3" t="s">
        <v>552</v>
      </c>
      <c r="C633" s="3" t="s">
        <v>232</v>
      </c>
      <c r="D633" s="3" t="s">
        <v>57</v>
      </c>
      <c r="E633" s="3" t="s">
        <v>32</v>
      </c>
      <c r="F633" s="12">
        <v>46023</v>
      </c>
      <c r="G633" s="8">
        <v>2026</v>
      </c>
      <c r="H633" s="7" t="s">
        <v>484</v>
      </c>
      <c r="I633" s="7" t="s">
        <v>484</v>
      </c>
      <c r="J633" s="3"/>
      <c r="K633" s="3">
        <v>90</v>
      </c>
      <c r="L633" s="3">
        <v>85</v>
      </c>
      <c r="M633" s="3">
        <f t="shared" si="110"/>
        <v>0.94444444444444442</v>
      </c>
      <c r="N633" s="3">
        <f t="shared" ref="N633:N637" si="113">IF(L633/K633&gt;1,1,L633/K633)</f>
        <v>0.94444444444444442</v>
      </c>
      <c r="O633" s="3" t="s">
        <v>58</v>
      </c>
      <c r="P633" s="3" t="s">
        <v>58</v>
      </c>
      <c r="Q633" s="3" t="str">
        <f t="shared" si="108"/>
        <v>924-2026-01-01</v>
      </c>
      <c r="R633" s="3">
        <v>0</v>
      </c>
      <c r="S633" s="3">
        <v>0</v>
      </c>
      <c r="T633" s="3" t="s">
        <v>484</v>
      </c>
      <c r="U633" s="3" t="s">
        <v>37</v>
      </c>
      <c r="V633" s="3" t="s">
        <v>232</v>
      </c>
      <c r="W633" s="3" t="s">
        <v>145</v>
      </c>
      <c r="X633" s="3" t="s">
        <v>179</v>
      </c>
      <c r="Y633" s="3" t="s">
        <v>273</v>
      </c>
      <c r="Z633" s="3"/>
      <c r="AA633" s="3"/>
      <c r="AB633" s="3" t="s">
        <v>43</v>
      </c>
      <c r="AC633" s="3" t="s">
        <v>66</v>
      </c>
      <c r="AD633" s="3">
        <v>1</v>
      </c>
    </row>
    <row r="634" spans="1:30" x14ac:dyDescent="0.3">
      <c r="A634" s="3">
        <v>918</v>
      </c>
      <c r="B634" s="3" t="s">
        <v>553</v>
      </c>
      <c r="C634" s="3" t="s">
        <v>524</v>
      </c>
      <c r="D634" s="3" t="s">
        <v>57</v>
      </c>
      <c r="E634" s="3" t="s">
        <v>32</v>
      </c>
      <c r="F634" s="12">
        <v>46023</v>
      </c>
      <c r="G634" s="8">
        <v>2026</v>
      </c>
      <c r="H634" s="7" t="s">
        <v>484</v>
      </c>
      <c r="I634" s="7" t="s">
        <v>484</v>
      </c>
      <c r="J634" s="3"/>
      <c r="K634" s="3">
        <v>99</v>
      </c>
      <c r="L634" s="3">
        <v>99</v>
      </c>
      <c r="M634" s="3">
        <f t="shared" si="110"/>
        <v>1</v>
      </c>
      <c r="N634" s="3">
        <f t="shared" si="113"/>
        <v>1</v>
      </c>
      <c r="O634" s="3" t="s">
        <v>58</v>
      </c>
      <c r="P634" s="3" t="s">
        <v>58</v>
      </c>
      <c r="Q634" s="3" t="str">
        <f t="shared" si="108"/>
        <v>918-2026-01-01</v>
      </c>
      <c r="R634" s="3">
        <v>0</v>
      </c>
      <c r="S634" s="3">
        <v>0</v>
      </c>
      <c r="T634" s="3" t="s">
        <v>484</v>
      </c>
      <c r="U634" s="3" t="s">
        <v>37</v>
      </c>
      <c r="V634" s="3" t="s">
        <v>524</v>
      </c>
      <c r="W634" s="3" t="s">
        <v>60</v>
      </c>
      <c r="X634" s="3" t="s">
        <v>262</v>
      </c>
      <c r="Y634" s="3" t="s">
        <v>338</v>
      </c>
      <c r="Z634" s="3"/>
      <c r="AA634" s="3"/>
      <c r="AB634" s="3" t="s">
        <v>43</v>
      </c>
      <c r="AC634" s="3" t="s">
        <v>66</v>
      </c>
      <c r="AD634" s="3">
        <v>1</v>
      </c>
    </row>
    <row r="635" spans="1:30" x14ac:dyDescent="0.3">
      <c r="A635" s="3">
        <v>919</v>
      </c>
      <c r="B635" s="3" t="s">
        <v>518</v>
      </c>
      <c r="C635" s="3" t="s">
        <v>530</v>
      </c>
      <c r="D635" s="3" t="s">
        <v>57</v>
      </c>
      <c r="E635" s="3" t="s">
        <v>32</v>
      </c>
      <c r="F635" s="12">
        <v>46023</v>
      </c>
      <c r="G635" s="8">
        <v>2026</v>
      </c>
      <c r="H635" s="7" t="s">
        <v>484</v>
      </c>
      <c r="I635" s="7" t="s">
        <v>484</v>
      </c>
      <c r="J635" s="3"/>
      <c r="K635" s="3">
        <v>90</v>
      </c>
      <c r="L635" s="3">
        <v>87</v>
      </c>
      <c r="M635" s="3">
        <f t="shared" si="110"/>
        <v>0.96666666666666667</v>
      </c>
      <c r="N635" s="3">
        <f t="shared" si="113"/>
        <v>0.96666666666666667</v>
      </c>
      <c r="O635" s="3" t="s">
        <v>58</v>
      </c>
      <c r="P635" s="3" t="s">
        <v>58</v>
      </c>
      <c r="Q635" s="3" t="str">
        <f t="shared" si="108"/>
        <v>919-2026-01-01</v>
      </c>
      <c r="R635" s="3">
        <v>0</v>
      </c>
      <c r="S635" s="3">
        <v>0</v>
      </c>
      <c r="T635" s="3" t="s">
        <v>484</v>
      </c>
      <c r="U635" s="3" t="s">
        <v>37</v>
      </c>
      <c r="V635" s="3" t="s">
        <v>530</v>
      </c>
      <c r="W635" s="3" t="s">
        <v>60</v>
      </c>
      <c r="X635" s="3" t="s">
        <v>262</v>
      </c>
      <c r="Y635" s="3" t="s">
        <v>543</v>
      </c>
      <c r="Z635" s="3"/>
      <c r="AA635" s="3"/>
      <c r="AB635" s="3" t="s">
        <v>43</v>
      </c>
      <c r="AC635" s="3" t="s">
        <v>66</v>
      </c>
      <c r="AD635" s="3">
        <v>1</v>
      </c>
    </row>
    <row r="636" spans="1:30" x14ac:dyDescent="0.3">
      <c r="A636" s="3">
        <v>926</v>
      </c>
      <c r="B636" s="3" t="s">
        <v>554</v>
      </c>
      <c r="C636" s="3" t="s">
        <v>530</v>
      </c>
      <c r="D636" s="3" t="s">
        <v>57</v>
      </c>
      <c r="E636" s="3" t="s">
        <v>32</v>
      </c>
      <c r="F636" s="12">
        <v>46022</v>
      </c>
      <c r="G636" s="8">
        <v>2025</v>
      </c>
      <c r="H636" s="7" t="s">
        <v>44</v>
      </c>
      <c r="I636" s="7" t="s">
        <v>465</v>
      </c>
      <c r="J636" s="3">
        <v>2</v>
      </c>
      <c r="K636" s="3">
        <v>66</v>
      </c>
      <c r="L636" s="3">
        <v>66</v>
      </c>
      <c r="M636" s="3">
        <f t="shared" si="110"/>
        <v>1</v>
      </c>
      <c r="N636" s="3">
        <f t="shared" si="113"/>
        <v>1</v>
      </c>
      <c r="O636" s="3" t="s">
        <v>58</v>
      </c>
      <c r="P636" s="3" t="s">
        <v>58</v>
      </c>
      <c r="Q636" s="3" t="str">
        <f t="shared" si="108"/>
        <v>926-2025-12-31</v>
      </c>
      <c r="R636" s="3">
        <v>0</v>
      </c>
      <c r="S636" s="3">
        <v>0</v>
      </c>
      <c r="T636" s="3" t="s">
        <v>443</v>
      </c>
      <c r="U636" s="3" t="s">
        <v>37</v>
      </c>
      <c r="V636" s="3" t="s">
        <v>530</v>
      </c>
      <c r="W636" s="3" t="s">
        <v>60</v>
      </c>
      <c r="X636" s="3" t="s">
        <v>262</v>
      </c>
      <c r="Y636" s="3" t="s">
        <v>543</v>
      </c>
      <c r="Z636" s="3"/>
      <c r="AA636" s="3"/>
      <c r="AB636" s="3" t="s">
        <v>43</v>
      </c>
      <c r="AC636" s="3" t="s">
        <v>66</v>
      </c>
      <c r="AD636" s="3">
        <v>1</v>
      </c>
    </row>
    <row r="637" spans="1:30" x14ac:dyDescent="0.3">
      <c r="A637" s="3">
        <v>926</v>
      </c>
      <c r="B637" s="3" t="s">
        <v>554</v>
      </c>
      <c r="C637" s="3" t="s">
        <v>530</v>
      </c>
      <c r="D637" s="3" t="s">
        <v>57</v>
      </c>
      <c r="E637" s="3" t="s">
        <v>32</v>
      </c>
      <c r="F637" s="12">
        <v>46023</v>
      </c>
      <c r="G637" s="8">
        <v>2026</v>
      </c>
      <c r="H637" s="7" t="s">
        <v>484</v>
      </c>
      <c r="I637" s="7" t="s">
        <v>484</v>
      </c>
      <c r="J637" s="3"/>
      <c r="K637" s="3">
        <v>66</v>
      </c>
      <c r="L637" s="3">
        <v>66</v>
      </c>
      <c r="M637" s="3">
        <f t="shared" si="110"/>
        <v>1</v>
      </c>
      <c r="N637" s="3">
        <f t="shared" si="113"/>
        <v>1</v>
      </c>
      <c r="O637" s="3" t="s">
        <v>58</v>
      </c>
      <c r="P637" s="3" t="s">
        <v>58</v>
      </c>
      <c r="Q637" s="3" t="str">
        <f t="shared" si="108"/>
        <v>926-2026-01-01</v>
      </c>
      <c r="R637" s="3">
        <v>0</v>
      </c>
      <c r="S637" s="3">
        <v>0</v>
      </c>
      <c r="T637" s="3" t="s">
        <v>484</v>
      </c>
      <c r="U637" s="3" t="s">
        <v>37</v>
      </c>
      <c r="V637" s="3" t="s">
        <v>530</v>
      </c>
      <c r="W637" s="3" t="s">
        <v>60</v>
      </c>
      <c r="X637" s="3" t="s">
        <v>262</v>
      </c>
      <c r="Y637" s="3" t="s">
        <v>543</v>
      </c>
      <c r="Z637" s="3"/>
      <c r="AA637" s="3"/>
      <c r="AB637" s="3" t="s">
        <v>43</v>
      </c>
      <c r="AC637" s="3" t="s">
        <v>66</v>
      </c>
      <c r="AD637" s="3">
        <v>1</v>
      </c>
    </row>
    <row r="638" spans="1:30" x14ac:dyDescent="0.3">
      <c r="A638" s="16" t="s">
        <v>556</v>
      </c>
      <c r="B638" s="6" t="s">
        <v>557</v>
      </c>
      <c r="C638" s="3" t="s">
        <v>37</v>
      </c>
      <c r="D638" s="3" t="s">
        <v>31</v>
      </c>
      <c r="E638" s="3" t="s">
        <v>32</v>
      </c>
      <c r="F638" s="12">
        <v>46023</v>
      </c>
      <c r="G638" s="8">
        <v>2026</v>
      </c>
      <c r="H638" s="7" t="s">
        <v>484</v>
      </c>
      <c r="I638" s="7" t="s">
        <v>484</v>
      </c>
      <c r="J638" s="3"/>
      <c r="K638" s="3"/>
      <c r="L638" s="3"/>
      <c r="M638" s="3"/>
      <c r="N638" s="3"/>
      <c r="O638" s="3" t="s">
        <v>544</v>
      </c>
      <c r="P638" s="3" t="s">
        <v>544</v>
      </c>
      <c r="Q638" s="3" t="str">
        <f t="shared" si="108"/>
        <v>Prov-1-2026-01-01</v>
      </c>
      <c r="R638" s="3"/>
      <c r="S638" s="3"/>
      <c r="T638" s="3"/>
      <c r="U638" s="3" t="s">
        <v>37</v>
      </c>
      <c r="V638" s="3" t="s">
        <v>527</v>
      </c>
      <c r="W638" s="3" t="s">
        <v>73</v>
      </c>
      <c r="X638" s="3" t="s">
        <v>74</v>
      </c>
      <c r="Y638" s="3" t="s">
        <v>585</v>
      </c>
      <c r="Z638" s="3"/>
      <c r="AA638" s="3"/>
      <c r="AB638" s="3" t="s">
        <v>43</v>
      </c>
      <c r="AC638" s="3" t="s">
        <v>66</v>
      </c>
      <c r="AD638" s="3">
        <v>0</v>
      </c>
    </row>
    <row r="639" spans="1:30" x14ac:dyDescent="0.3">
      <c r="A639" s="16" t="s">
        <v>558</v>
      </c>
      <c r="B639" s="6" t="s">
        <v>559</v>
      </c>
      <c r="C639" s="3" t="s">
        <v>37</v>
      </c>
      <c r="D639" s="3" t="s">
        <v>31</v>
      </c>
      <c r="E639" s="3" t="s">
        <v>32</v>
      </c>
      <c r="F639" s="12">
        <v>46023</v>
      </c>
      <c r="G639" s="8">
        <v>2026</v>
      </c>
      <c r="H639" s="7" t="s">
        <v>484</v>
      </c>
      <c r="I639" s="7" t="s">
        <v>484</v>
      </c>
      <c r="J639" s="3"/>
      <c r="K639" s="3"/>
      <c r="L639" s="3"/>
      <c r="M639" s="3"/>
      <c r="N639" s="3"/>
      <c r="O639" s="3" t="s">
        <v>544</v>
      </c>
      <c r="P639" s="3" t="s">
        <v>544</v>
      </c>
      <c r="Q639" s="3" t="str">
        <f t="shared" si="108"/>
        <v>Prov-2-2026-01-01</v>
      </c>
      <c r="R639" s="3"/>
      <c r="S639" s="3"/>
      <c r="T639" s="3"/>
      <c r="U639" s="3" t="s">
        <v>37</v>
      </c>
      <c r="V639" s="3" t="s">
        <v>527</v>
      </c>
      <c r="W639" s="3" t="s">
        <v>73</v>
      </c>
      <c r="X639" s="3" t="s">
        <v>74</v>
      </c>
      <c r="Y639" s="3" t="s">
        <v>585</v>
      </c>
      <c r="Z639" s="3"/>
      <c r="AA639" s="3"/>
      <c r="AB639" s="3" t="s">
        <v>43</v>
      </c>
      <c r="AC639" s="3" t="s">
        <v>66</v>
      </c>
      <c r="AD639" s="3">
        <v>0</v>
      </c>
    </row>
    <row r="640" spans="1:30" x14ac:dyDescent="0.3">
      <c r="A640" s="5" t="s">
        <v>560</v>
      </c>
      <c r="B640" s="6" t="s">
        <v>561</v>
      </c>
      <c r="C640" s="3" t="s">
        <v>37</v>
      </c>
      <c r="D640" s="3" t="s">
        <v>31</v>
      </c>
      <c r="E640" s="3" t="s">
        <v>32</v>
      </c>
      <c r="F640" s="12">
        <v>46023</v>
      </c>
      <c r="G640" s="8">
        <v>2026</v>
      </c>
      <c r="H640" s="7" t="s">
        <v>484</v>
      </c>
      <c r="I640" s="7" t="s">
        <v>484</v>
      </c>
      <c r="J640" s="3"/>
      <c r="K640" s="3"/>
      <c r="L640" s="3"/>
      <c r="M640" s="3"/>
      <c r="N640" s="3"/>
      <c r="O640" s="3" t="s">
        <v>544</v>
      </c>
      <c r="P640" s="3" t="s">
        <v>544</v>
      </c>
      <c r="Q640" s="3" t="str">
        <f t="shared" si="108"/>
        <v>Prov-3-2026-01-01</v>
      </c>
      <c r="R640" s="3"/>
      <c r="S640" s="3"/>
      <c r="T640" s="3"/>
      <c r="U640" s="3" t="s">
        <v>37</v>
      </c>
      <c r="V640" s="3" t="s">
        <v>582</v>
      </c>
      <c r="W640" s="3" t="s">
        <v>73</v>
      </c>
      <c r="X640" s="6" t="s">
        <v>218</v>
      </c>
      <c r="Y640" s="3" t="s">
        <v>583</v>
      </c>
      <c r="Z640" s="3"/>
      <c r="AA640" s="3"/>
      <c r="AB640" s="3" t="s">
        <v>43</v>
      </c>
      <c r="AC640" s="3" t="s">
        <v>66</v>
      </c>
      <c r="AD640" s="3">
        <v>0</v>
      </c>
    </row>
    <row r="641" spans="1:30" x14ac:dyDescent="0.3">
      <c r="A641" s="5" t="s">
        <v>562</v>
      </c>
      <c r="B641" s="6" t="s">
        <v>563</v>
      </c>
      <c r="C641" s="3" t="s">
        <v>37</v>
      </c>
      <c r="D641" s="3" t="s">
        <v>31</v>
      </c>
      <c r="E641" s="3" t="s">
        <v>32</v>
      </c>
      <c r="F641" s="12">
        <v>46023</v>
      </c>
      <c r="G641" s="8">
        <v>2026</v>
      </c>
      <c r="H641" s="7" t="s">
        <v>484</v>
      </c>
      <c r="I641" s="7" t="s">
        <v>484</v>
      </c>
      <c r="J641" s="3"/>
      <c r="K641" s="3"/>
      <c r="L641" s="3"/>
      <c r="M641" s="3"/>
      <c r="N641" s="3"/>
      <c r="O641" s="3" t="s">
        <v>544</v>
      </c>
      <c r="P641" s="3" t="s">
        <v>544</v>
      </c>
      <c r="Q641" s="3" t="str">
        <f t="shared" si="108"/>
        <v>Prov-5-2026-01-01</v>
      </c>
      <c r="R641" s="3"/>
      <c r="S641" s="3"/>
      <c r="T641" s="3"/>
      <c r="U641" s="3" t="s">
        <v>37</v>
      </c>
      <c r="V641" s="3" t="s">
        <v>83</v>
      </c>
      <c r="W641" s="3" t="s">
        <v>312</v>
      </c>
      <c r="X641" s="3" t="s">
        <v>313</v>
      </c>
      <c r="Y641" s="3" t="s">
        <v>540</v>
      </c>
      <c r="Z641" s="3"/>
      <c r="AA641" s="3"/>
      <c r="AB641" s="3" t="s">
        <v>43</v>
      </c>
      <c r="AC641" s="3" t="s">
        <v>66</v>
      </c>
      <c r="AD641" s="3">
        <v>0</v>
      </c>
    </row>
    <row r="642" spans="1:30" x14ac:dyDescent="0.3">
      <c r="A642" s="5" t="s">
        <v>564</v>
      </c>
      <c r="B642" s="6" t="s">
        <v>565</v>
      </c>
      <c r="C642" s="3" t="s">
        <v>37</v>
      </c>
      <c r="D642" s="3" t="s">
        <v>31</v>
      </c>
      <c r="E642" s="3" t="s">
        <v>32</v>
      </c>
      <c r="F642" s="12">
        <v>46023</v>
      </c>
      <c r="G642" s="8">
        <v>2026</v>
      </c>
      <c r="H642" s="7" t="s">
        <v>484</v>
      </c>
      <c r="I642" s="7" t="s">
        <v>484</v>
      </c>
      <c r="J642" s="3"/>
      <c r="K642" s="3"/>
      <c r="L642" s="3"/>
      <c r="M642" s="3"/>
      <c r="N642" s="3"/>
      <c r="O642" s="3" t="s">
        <v>544</v>
      </c>
      <c r="P642" s="3" t="s">
        <v>544</v>
      </c>
      <c r="Q642" s="3" t="str">
        <f t="shared" si="108"/>
        <v>Prov-7-2026-01-01</v>
      </c>
      <c r="R642" s="3"/>
      <c r="S642" s="3"/>
      <c r="T642" s="3"/>
      <c r="U642" s="3" t="s">
        <v>37</v>
      </c>
      <c r="V642" s="3" t="s">
        <v>525</v>
      </c>
      <c r="W642" s="3" t="s">
        <v>312</v>
      </c>
      <c r="X642" s="3" t="s">
        <v>535</v>
      </c>
      <c r="Y642" s="3" t="s">
        <v>536</v>
      </c>
      <c r="Z642" s="3"/>
      <c r="AA642" s="3"/>
      <c r="AB642" s="3" t="s">
        <v>43</v>
      </c>
      <c r="AC642" s="3" t="s">
        <v>66</v>
      </c>
      <c r="AD642" s="3">
        <v>0</v>
      </c>
    </row>
    <row r="643" spans="1:30" x14ac:dyDescent="0.3">
      <c r="A643" s="5" t="s">
        <v>566</v>
      </c>
      <c r="B643" s="6" t="s">
        <v>567</v>
      </c>
      <c r="C643" s="3" t="s">
        <v>37</v>
      </c>
      <c r="D643" s="3" t="s">
        <v>31</v>
      </c>
      <c r="E643" s="3" t="s">
        <v>32</v>
      </c>
      <c r="F643" s="12">
        <v>46023</v>
      </c>
      <c r="G643" s="8">
        <v>2026</v>
      </c>
      <c r="H643" s="7" t="s">
        <v>484</v>
      </c>
      <c r="I643" s="7" t="s">
        <v>484</v>
      </c>
      <c r="J643" s="3"/>
      <c r="K643" s="3"/>
      <c r="L643" s="3"/>
      <c r="M643" s="3"/>
      <c r="N643" s="3"/>
      <c r="O643" s="3" t="s">
        <v>544</v>
      </c>
      <c r="P643" s="3" t="s">
        <v>544</v>
      </c>
      <c r="Q643" s="3" t="str">
        <f t="shared" ref="Q643:Q650" si="114">A643&amp;"-"&amp;YEAR(F643)&amp;"-"&amp;IF(LEN(MONTH(F643))=1,"0"&amp;MONTH(F643),MONTH(F643))&amp;"-"&amp;IF(LEN(DAY(F643))=1,"0"&amp;DAY(F643),DAY(F643))</f>
        <v>Prov-8-2026-01-01</v>
      </c>
      <c r="R643" s="3"/>
      <c r="S643" s="3"/>
      <c r="T643" s="3"/>
      <c r="U643" s="3" t="s">
        <v>37</v>
      </c>
      <c r="V643" s="3" t="s">
        <v>526</v>
      </c>
      <c r="W643" s="3" t="s">
        <v>112</v>
      </c>
      <c r="X643" s="3" t="s">
        <v>113</v>
      </c>
      <c r="Y643" s="3" t="s">
        <v>541</v>
      </c>
      <c r="Z643" s="3"/>
      <c r="AA643" s="3"/>
      <c r="AB643" s="3" t="s">
        <v>43</v>
      </c>
      <c r="AC643" s="3" t="s">
        <v>66</v>
      </c>
      <c r="AD643" s="3">
        <v>0</v>
      </c>
    </row>
    <row r="644" spans="1:30" x14ac:dyDescent="0.3">
      <c r="A644" s="5" t="s">
        <v>568</v>
      </c>
      <c r="B644" s="6" t="s">
        <v>569</v>
      </c>
      <c r="C644" s="3" t="s">
        <v>37</v>
      </c>
      <c r="D644" s="3" t="s">
        <v>31</v>
      </c>
      <c r="E644" s="3" t="s">
        <v>32</v>
      </c>
      <c r="F644" s="12">
        <v>46023</v>
      </c>
      <c r="G644" s="8">
        <v>2026</v>
      </c>
      <c r="H644" s="7" t="s">
        <v>484</v>
      </c>
      <c r="I644" s="7" t="s">
        <v>484</v>
      </c>
      <c r="J644" s="3"/>
      <c r="K644" s="3"/>
      <c r="L644" s="3"/>
      <c r="M644" s="3"/>
      <c r="N644" s="3"/>
      <c r="O644" s="3" t="s">
        <v>544</v>
      </c>
      <c r="P644" s="3" t="s">
        <v>544</v>
      </c>
      <c r="Q644" s="3" t="str">
        <f t="shared" si="114"/>
        <v>Prov-9-2026-01-01</v>
      </c>
      <c r="R644" s="3"/>
      <c r="S644" s="3"/>
      <c r="T644" s="3"/>
      <c r="U644" s="3" t="s">
        <v>37</v>
      </c>
      <c r="V644" s="3" t="s">
        <v>526</v>
      </c>
      <c r="W644" s="3" t="s">
        <v>112</v>
      </c>
      <c r="X644" s="3" t="s">
        <v>113</v>
      </c>
      <c r="Y644" s="3" t="s">
        <v>541</v>
      </c>
      <c r="Z644" s="3"/>
      <c r="AA644" s="3"/>
      <c r="AB644" s="3" t="s">
        <v>43</v>
      </c>
      <c r="AC644" s="3" t="s">
        <v>66</v>
      </c>
      <c r="AD644" s="3">
        <v>0</v>
      </c>
    </row>
    <row r="645" spans="1:30" x14ac:dyDescent="0.3">
      <c r="A645" s="5" t="s">
        <v>570</v>
      </c>
      <c r="B645" s="6" t="s">
        <v>571</v>
      </c>
      <c r="C645" s="3" t="s">
        <v>37</v>
      </c>
      <c r="D645" s="3" t="s">
        <v>31</v>
      </c>
      <c r="E645" s="3" t="s">
        <v>32</v>
      </c>
      <c r="F645" s="12">
        <v>46023</v>
      </c>
      <c r="G645" s="8">
        <v>2026</v>
      </c>
      <c r="H645" s="7" t="s">
        <v>484</v>
      </c>
      <c r="I645" s="7" t="s">
        <v>484</v>
      </c>
      <c r="J645" s="3"/>
      <c r="K645" s="3"/>
      <c r="L645" s="3"/>
      <c r="M645" s="3"/>
      <c r="N645" s="3"/>
      <c r="O645" s="3" t="s">
        <v>544</v>
      </c>
      <c r="P645" s="3" t="s">
        <v>544</v>
      </c>
      <c r="Q645" s="3" t="str">
        <f t="shared" si="114"/>
        <v>Prov-13-2026-01-01</v>
      </c>
      <c r="R645" s="3"/>
      <c r="S645" s="3"/>
      <c r="T645" s="3"/>
      <c r="U645" s="3" t="s">
        <v>37</v>
      </c>
      <c r="V645" s="3" t="s">
        <v>30</v>
      </c>
      <c r="W645" s="3" t="s">
        <v>60</v>
      </c>
      <c r="X645" s="3" t="s">
        <v>262</v>
      </c>
      <c r="Y645" s="3" t="s">
        <v>543</v>
      </c>
      <c r="Z645" s="3"/>
      <c r="AA645" s="3"/>
      <c r="AB645" s="3" t="s">
        <v>43</v>
      </c>
      <c r="AC645" s="3" t="s">
        <v>66</v>
      </c>
      <c r="AD645" s="3">
        <v>0</v>
      </c>
    </row>
    <row r="646" spans="1:30" x14ac:dyDescent="0.3">
      <c r="A646" s="5" t="s">
        <v>572</v>
      </c>
      <c r="B646" s="6" t="s">
        <v>573</v>
      </c>
      <c r="C646" s="3" t="s">
        <v>37</v>
      </c>
      <c r="D646" s="3" t="s">
        <v>31</v>
      </c>
      <c r="E646" s="3" t="s">
        <v>32</v>
      </c>
      <c r="F646" s="12">
        <v>46023</v>
      </c>
      <c r="G646" s="8">
        <v>2026</v>
      </c>
      <c r="H646" s="7" t="s">
        <v>484</v>
      </c>
      <c r="I646" s="7" t="s">
        <v>484</v>
      </c>
      <c r="J646" s="3"/>
      <c r="K646" s="3"/>
      <c r="L646" s="3"/>
      <c r="M646" s="3"/>
      <c r="N646" s="3"/>
      <c r="O646" s="3" t="s">
        <v>544</v>
      </c>
      <c r="P646" s="3" t="s">
        <v>544</v>
      </c>
      <c r="Q646" s="3" t="str">
        <f t="shared" si="114"/>
        <v>Prov-14-2026-01-01</v>
      </c>
      <c r="R646" s="3"/>
      <c r="S646" s="3"/>
      <c r="T646" s="3"/>
      <c r="U646" s="3" t="s">
        <v>37</v>
      </c>
      <c r="V646" s="3" t="s">
        <v>260</v>
      </c>
      <c r="W646" s="3" t="s">
        <v>60</v>
      </c>
      <c r="X646" s="3" t="s">
        <v>262</v>
      </c>
      <c r="Y646" s="3" t="s">
        <v>263</v>
      </c>
      <c r="Z646" s="3"/>
      <c r="AA646" s="3"/>
      <c r="AB646" s="3" t="s">
        <v>43</v>
      </c>
      <c r="AC646" s="3" t="s">
        <v>66</v>
      </c>
      <c r="AD646" s="3">
        <v>0</v>
      </c>
    </row>
    <row r="647" spans="1:30" x14ac:dyDescent="0.3">
      <c r="A647" s="5" t="s">
        <v>574</v>
      </c>
      <c r="B647" s="6" t="s">
        <v>575</v>
      </c>
      <c r="C647" s="3" t="s">
        <v>37</v>
      </c>
      <c r="D647" s="3" t="s">
        <v>31</v>
      </c>
      <c r="E647" s="3" t="s">
        <v>32</v>
      </c>
      <c r="F647" s="12">
        <v>46023</v>
      </c>
      <c r="G647" s="8">
        <v>2026</v>
      </c>
      <c r="H647" s="7" t="s">
        <v>484</v>
      </c>
      <c r="I647" s="7" t="s">
        <v>484</v>
      </c>
      <c r="J647" s="3"/>
      <c r="K647" s="3"/>
      <c r="L647" s="3"/>
      <c r="M647" s="3"/>
      <c r="N647" s="3"/>
      <c r="O647" s="3" t="s">
        <v>544</v>
      </c>
      <c r="P647" s="3" t="s">
        <v>544</v>
      </c>
      <c r="Q647" s="3" t="str">
        <f t="shared" si="114"/>
        <v>Prov-15-2026-01-01</v>
      </c>
      <c r="R647" s="3"/>
      <c r="S647" s="3"/>
      <c r="T647" s="3"/>
      <c r="U647" s="3" t="s">
        <v>37</v>
      </c>
      <c r="V647" s="3" t="s">
        <v>260</v>
      </c>
      <c r="W647" s="3" t="s">
        <v>60</v>
      </c>
      <c r="X647" s="3" t="s">
        <v>262</v>
      </c>
      <c r="Y647" s="3" t="s">
        <v>263</v>
      </c>
      <c r="Z647" s="3"/>
      <c r="AA647" s="3"/>
      <c r="AB647" s="3" t="s">
        <v>43</v>
      </c>
      <c r="AC647" s="3" t="s">
        <v>66</v>
      </c>
      <c r="AD647" s="3">
        <v>0</v>
      </c>
    </row>
    <row r="648" spans="1:30" x14ac:dyDescent="0.3">
      <c r="A648" s="5" t="s">
        <v>576</v>
      </c>
      <c r="B648" s="3" t="s">
        <v>577</v>
      </c>
      <c r="C648" s="3" t="s">
        <v>37</v>
      </c>
      <c r="D648" s="3" t="s">
        <v>31</v>
      </c>
      <c r="E648" s="3" t="s">
        <v>32</v>
      </c>
      <c r="F648" s="12">
        <v>46023</v>
      </c>
      <c r="G648" s="8">
        <v>2026</v>
      </c>
      <c r="H648" s="7" t="s">
        <v>484</v>
      </c>
      <c r="I648" s="7" t="s">
        <v>484</v>
      </c>
      <c r="J648" s="3"/>
      <c r="K648" s="3"/>
      <c r="L648" s="3"/>
      <c r="M648" s="3"/>
      <c r="N648" s="3"/>
      <c r="O648" s="3" t="s">
        <v>544</v>
      </c>
      <c r="P648" s="3" t="s">
        <v>544</v>
      </c>
      <c r="Q648" s="3" t="str">
        <f t="shared" si="114"/>
        <v>Prov-16-2026-01-01</v>
      </c>
      <c r="R648" s="3"/>
      <c r="S648" s="3"/>
      <c r="T648" s="3"/>
      <c r="U648" s="3" t="s">
        <v>37</v>
      </c>
      <c r="V648" s="3" t="s">
        <v>260</v>
      </c>
      <c r="W648" s="3" t="s">
        <v>60</v>
      </c>
      <c r="X648" s="3" t="s">
        <v>262</v>
      </c>
      <c r="Y648" s="3" t="s">
        <v>263</v>
      </c>
      <c r="Z648" s="3"/>
      <c r="AA648" s="3"/>
      <c r="AB648" s="3" t="s">
        <v>43</v>
      </c>
      <c r="AC648" s="3" t="s">
        <v>66</v>
      </c>
      <c r="AD648" s="3">
        <v>0</v>
      </c>
    </row>
    <row r="649" spans="1:30" x14ac:dyDescent="0.3">
      <c r="A649" s="5" t="s">
        <v>578</v>
      </c>
      <c r="B649" s="6" t="s">
        <v>579</v>
      </c>
      <c r="C649" s="3" t="s">
        <v>37</v>
      </c>
      <c r="D649" s="3" t="s">
        <v>31</v>
      </c>
      <c r="E649" s="3" t="s">
        <v>32</v>
      </c>
      <c r="F649" s="12">
        <v>46023</v>
      </c>
      <c r="G649" s="8">
        <v>2026</v>
      </c>
      <c r="H649" s="7" t="s">
        <v>484</v>
      </c>
      <c r="I649" s="7" t="s">
        <v>484</v>
      </c>
      <c r="J649" s="3"/>
      <c r="K649" s="3"/>
      <c r="L649" s="3"/>
      <c r="M649" s="3"/>
      <c r="N649" s="3"/>
      <c r="O649" s="3" t="s">
        <v>544</v>
      </c>
      <c r="P649" s="3" t="s">
        <v>544</v>
      </c>
      <c r="Q649" s="3" t="str">
        <f t="shared" si="114"/>
        <v>Prov-17-2026-01-01</v>
      </c>
      <c r="R649" s="3"/>
      <c r="S649" s="3"/>
      <c r="T649" s="3"/>
      <c r="U649" s="3" t="s">
        <v>37</v>
      </c>
      <c r="V649" s="3" t="s">
        <v>525</v>
      </c>
      <c r="W649" s="3" t="s">
        <v>312</v>
      </c>
      <c r="X649" s="3" t="s">
        <v>535</v>
      </c>
      <c r="Y649" s="3" t="s">
        <v>536</v>
      </c>
      <c r="Z649" s="3"/>
      <c r="AA649" s="3"/>
      <c r="AB649" s="3" t="s">
        <v>43</v>
      </c>
      <c r="AC649" s="3" t="s">
        <v>66</v>
      </c>
      <c r="AD649" s="3">
        <v>0</v>
      </c>
    </row>
    <row r="650" spans="1:30" x14ac:dyDescent="0.3">
      <c r="A650" s="5" t="s">
        <v>580</v>
      </c>
      <c r="B650" s="6" t="s">
        <v>581</v>
      </c>
      <c r="C650" s="3" t="s">
        <v>37</v>
      </c>
      <c r="D650" s="3" t="s">
        <v>31</v>
      </c>
      <c r="E650" s="3" t="s">
        <v>32</v>
      </c>
      <c r="F650" s="12">
        <v>46023</v>
      </c>
      <c r="G650" s="8">
        <v>2026</v>
      </c>
      <c r="H650" s="7" t="s">
        <v>484</v>
      </c>
      <c r="I650" s="7" t="s">
        <v>484</v>
      </c>
      <c r="J650" s="3"/>
      <c r="K650" s="3"/>
      <c r="L650" s="3"/>
      <c r="M650" s="3"/>
      <c r="N650" s="3"/>
      <c r="O650" s="3" t="s">
        <v>544</v>
      </c>
      <c r="P650" s="3" t="s">
        <v>544</v>
      </c>
      <c r="Q650" s="3" t="str">
        <f t="shared" si="114"/>
        <v>Prov-18-2026-01-01</v>
      </c>
      <c r="R650" s="3"/>
      <c r="S650" s="3"/>
      <c r="T650" s="3"/>
      <c r="U650" s="3" t="s">
        <v>37</v>
      </c>
      <c r="V650" s="3" t="s">
        <v>525</v>
      </c>
      <c r="W650" s="3" t="s">
        <v>312</v>
      </c>
      <c r="X650" s="3" t="s">
        <v>535</v>
      </c>
      <c r="Y650" s="3" t="s">
        <v>536</v>
      </c>
      <c r="Z650" s="3"/>
      <c r="AA650" s="3"/>
      <c r="AB650" s="3" t="s">
        <v>43</v>
      </c>
      <c r="AC650" s="3" t="s">
        <v>66</v>
      </c>
      <c r="AD650" s="3">
        <v>0</v>
      </c>
    </row>
    <row r="651" spans="1:30" x14ac:dyDescent="0.3">
      <c r="A651">
        <v>325</v>
      </c>
      <c r="B651" t="s">
        <v>224</v>
      </c>
      <c r="C651" t="s">
        <v>216</v>
      </c>
      <c r="D651" t="s">
        <v>31</v>
      </c>
      <c r="E651" t="s">
        <v>32</v>
      </c>
      <c r="F651" s="2">
        <v>44742</v>
      </c>
      <c r="G651">
        <v>2022</v>
      </c>
      <c r="H651" t="s">
        <v>33</v>
      </c>
      <c r="I651" t="s">
        <v>34</v>
      </c>
    </row>
    <row r="652" spans="1:30" x14ac:dyDescent="0.3">
      <c r="A652">
        <v>325</v>
      </c>
      <c r="B652" t="s">
        <v>224</v>
      </c>
      <c r="C652" t="s">
        <v>216</v>
      </c>
      <c r="D652" t="s">
        <v>31</v>
      </c>
      <c r="E652" t="s">
        <v>32</v>
      </c>
      <c r="F652" s="2">
        <v>44926</v>
      </c>
      <c r="G652">
        <v>2022</v>
      </c>
      <c r="H652" t="s">
        <v>44</v>
      </c>
      <c r="I652" t="s">
        <v>45</v>
      </c>
    </row>
    <row r="653" spans="1:30" x14ac:dyDescent="0.3">
      <c r="A653">
        <v>325</v>
      </c>
      <c r="B653" t="s">
        <v>224</v>
      </c>
      <c r="C653" t="s">
        <v>216</v>
      </c>
      <c r="D653" t="s">
        <v>31</v>
      </c>
      <c r="E653" t="s">
        <v>32</v>
      </c>
      <c r="F653" s="2">
        <v>45107</v>
      </c>
      <c r="G653">
        <v>2023</v>
      </c>
      <c r="H653" t="s">
        <v>33</v>
      </c>
      <c r="I653" t="s">
        <v>47</v>
      </c>
    </row>
    <row r="654" spans="1:30" x14ac:dyDescent="0.3">
      <c r="A654">
        <v>325</v>
      </c>
      <c r="B654" t="s">
        <v>224</v>
      </c>
      <c r="C654" t="s">
        <v>216</v>
      </c>
      <c r="D654" t="s">
        <v>31</v>
      </c>
      <c r="E654" t="s">
        <v>32</v>
      </c>
      <c r="F654" s="2">
        <v>45291</v>
      </c>
      <c r="G654">
        <v>2023</v>
      </c>
      <c r="H654" t="s">
        <v>44</v>
      </c>
      <c r="I654" t="s">
        <v>49</v>
      </c>
    </row>
    <row r="655" spans="1:30" x14ac:dyDescent="0.3">
      <c r="A655">
        <v>325</v>
      </c>
      <c r="B655" t="s">
        <v>224</v>
      </c>
      <c r="C655" t="s">
        <v>216</v>
      </c>
      <c r="D655" t="s">
        <v>31</v>
      </c>
      <c r="E655" t="s">
        <v>32</v>
      </c>
      <c r="F655" s="2">
        <v>45473</v>
      </c>
      <c r="G655">
        <v>2024</v>
      </c>
      <c r="H655" t="s">
        <v>33</v>
      </c>
      <c r="I655" t="s">
        <v>51</v>
      </c>
    </row>
    <row r="656" spans="1:30" x14ac:dyDescent="0.3">
      <c r="A656">
        <v>325</v>
      </c>
      <c r="B656" t="s">
        <v>224</v>
      </c>
      <c r="C656" t="s">
        <v>216</v>
      </c>
      <c r="D656" t="s">
        <v>31</v>
      </c>
      <c r="E656" t="s">
        <v>32</v>
      </c>
      <c r="F656" s="2">
        <v>45657</v>
      </c>
      <c r="G656">
        <v>2024</v>
      </c>
      <c r="H656" t="s">
        <v>44</v>
      </c>
      <c r="I656" t="s">
        <v>53</v>
      </c>
    </row>
    <row r="657" spans="1:9" x14ac:dyDescent="0.3">
      <c r="A657">
        <v>325</v>
      </c>
      <c r="B657" t="s">
        <v>224</v>
      </c>
      <c r="C657" t="s">
        <v>216</v>
      </c>
      <c r="D657" t="s">
        <v>31</v>
      </c>
      <c r="E657" t="s">
        <v>32</v>
      </c>
      <c r="F657" s="2">
        <v>45838</v>
      </c>
      <c r="G657">
        <v>2025</v>
      </c>
      <c r="H657" t="s">
        <v>33</v>
      </c>
      <c r="I657" t="s">
        <v>404</v>
      </c>
    </row>
    <row r="658" spans="1:9" x14ac:dyDescent="0.3">
      <c r="A658">
        <v>325</v>
      </c>
      <c r="B658" t="s">
        <v>224</v>
      </c>
      <c r="C658" t="s">
        <v>216</v>
      </c>
      <c r="D658" t="s">
        <v>31</v>
      </c>
      <c r="E658" t="s">
        <v>32</v>
      </c>
      <c r="F658" s="2">
        <v>46022</v>
      </c>
      <c r="G658">
        <v>2025</v>
      </c>
      <c r="H658" t="s">
        <v>33</v>
      </c>
      <c r="I658" t="s">
        <v>404</v>
      </c>
    </row>
  </sheetData>
  <autoFilter ref="A1:AD658" xr:uid="{81204473-508B-4912-9C6F-0C18486752FA}"/>
  <conditionalFormatting sqref="A559">
    <cfRule type="duplicateValues" dxfId="16" priority="11"/>
    <cfRule type="duplicateValues" dxfId="15" priority="12"/>
    <cfRule type="duplicateValues" dxfId="14" priority="13"/>
  </conditionalFormatting>
  <conditionalFormatting sqref="A560">
    <cfRule type="duplicateValues" dxfId="13" priority="14"/>
  </conditionalFormatting>
  <conditionalFormatting sqref="A583">
    <cfRule type="duplicateValues" dxfId="12" priority="5"/>
    <cfRule type="duplicateValues" dxfId="11" priority="6"/>
    <cfRule type="duplicateValues" dxfId="10" priority="7"/>
  </conditionalFormatting>
  <conditionalFormatting sqref="A584">
    <cfRule type="duplicateValues" dxfId="9" priority="8"/>
    <cfRule type="duplicateValues" dxfId="8" priority="9"/>
    <cfRule type="duplicateValues" dxfId="7" priority="10"/>
  </conditionalFormatting>
  <conditionalFormatting sqref="A638:A648">
    <cfRule type="duplicateValues" dxfId="6" priority="15"/>
  </conditionalFormatting>
  <conditionalFormatting sqref="A638:A650">
    <cfRule type="duplicateValues" dxfId="5" priority="16"/>
  </conditionalFormatting>
  <conditionalFormatting sqref="A649">
    <cfRule type="duplicateValues" dxfId="4" priority="4"/>
  </conditionalFormatting>
  <conditionalFormatting sqref="A650">
    <cfRule type="duplicateValues" dxfId="3" priority="2"/>
  </conditionalFormatting>
  <conditionalFormatting sqref="B638:B648">
    <cfRule type="duplicateValues" dxfId="2" priority="17"/>
  </conditionalFormatting>
  <conditionalFormatting sqref="B649">
    <cfRule type="duplicateValues" dxfId="1" priority="3"/>
  </conditionalFormatting>
  <conditionalFormatting sqref="B650">
    <cfRule type="duplicateValues" dxfId="0" priority="1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T249"/>
  <sheetViews>
    <sheetView workbookViewId="0">
      <selection activeCell="D99" sqref="D99:I249"/>
    </sheetView>
  </sheetViews>
  <sheetFormatPr baseColWidth="10" defaultColWidth="8.88671875" defaultRowHeight="14.4" x14ac:dyDescent="0.3"/>
  <cols>
    <col min="6" max="6" width="31.6640625" customWidth="1"/>
  </cols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idden="1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2">
        <v>44742</v>
      </c>
      <c r="G2">
        <v>2022</v>
      </c>
      <c r="H2" t="s">
        <v>33</v>
      </c>
      <c r="I2" t="s">
        <v>34</v>
      </c>
      <c r="J2">
        <v>1</v>
      </c>
      <c r="K2">
        <v>49004</v>
      </c>
      <c r="L2">
        <v>51012</v>
      </c>
      <c r="M2">
        <v>1.040976246836993</v>
      </c>
      <c r="N2">
        <v>1.040976246836993</v>
      </c>
      <c r="O2" t="s">
        <v>35</v>
      </c>
      <c r="P2" t="s">
        <v>35</v>
      </c>
      <c r="Q2" t="s">
        <v>36</v>
      </c>
      <c r="R2">
        <v>0</v>
      </c>
      <c r="S2">
        <v>0</v>
      </c>
      <c r="T2" t="s">
        <v>31</v>
      </c>
    </row>
    <row r="3" spans="1:20" hidden="1" x14ac:dyDescent="0.3">
      <c r="A3">
        <v>14</v>
      </c>
      <c r="B3" t="s">
        <v>29</v>
      </c>
      <c r="C3" t="s">
        <v>30</v>
      </c>
      <c r="D3" t="s">
        <v>31</v>
      </c>
      <c r="E3" t="s">
        <v>32</v>
      </c>
      <c r="F3" s="2">
        <v>44926</v>
      </c>
      <c r="G3">
        <v>2022</v>
      </c>
      <c r="H3" t="s">
        <v>44</v>
      </c>
      <c r="I3" t="s">
        <v>45</v>
      </c>
      <c r="J3">
        <v>2</v>
      </c>
      <c r="K3">
        <v>50430</v>
      </c>
      <c r="L3">
        <v>50241</v>
      </c>
      <c r="M3">
        <v>0.99625223081499104</v>
      </c>
      <c r="N3">
        <v>0.99625223081499104</v>
      </c>
      <c r="O3" t="s">
        <v>35</v>
      </c>
      <c r="P3" t="s">
        <v>35</v>
      </c>
      <c r="Q3" t="s">
        <v>46</v>
      </c>
      <c r="R3">
        <v>0</v>
      </c>
      <c r="S3">
        <v>0</v>
      </c>
      <c r="T3" t="s">
        <v>31</v>
      </c>
    </row>
    <row r="4" spans="1:20" hidden="1" x14ac:dyDescent="0.3">
      <c r="A4">
        <v>14</v>
      </c>
      <c r="B4" t="s">
        <v>29</v>
      </c>
      <c r="C4" t="s">
        <v>30</v>
      </c>
      <c r="D4" t="s">
        <v>31</v>
      </c>
      <c r="E4" t="s">
        <v>32</v>
      </c>
      <c r="F4" s="2">
        <v>45107</v>
      </c>
      <c r="G4">
        <v>2023</v>
      </c>
      <c r="H4" t="s">
        <v>33</v>
      </c>
      <c r="I4" t="s">
        <v>47</v>
      </c>
      <c r="J4">
        <v>1</v>
      </c>
      <c r="K4">
        <v>52177</v>
      </c>
      <c r="L4">
        <v>51473</v>
      </c>
      <c r="M4">
        <v>0.98650746497498898</v>
      </c>
      <c r="N4">
        <v>0.98650746497498898</v>
      </c>
      <c r="O4" t="s">
        <v>35</v>
      </c>
      <c r="P4" t="s">
        <v>35</v>
      </c>
      <c r="Q4" t="s">
        <v>48</v>
      </c>
      <c r="R4">
        <v>0</v>
      </c>
      <c r="S4">
        <v>0</v>
      </c>
      <c r="T4" t="s">
        <v>31</v>
      </c>
    </row>
    <row r="5" spans="1:20" hidden="1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2">
        <v>45291</v>
      </c>
      <c r="G5">
        <v>2023</v>
      </c>
      <c r="H5" t="s">
        <v>44</v>
      </c>
      <c r="I5" t="s">
        <v>49</v>
      </c>
      <c r="J5">
        <v>2</v>
      </c>
      <c r="K5">
        <v>51687</v>
      </c>
      <c r="L5">
        <v>51375</v>
      </c>
      <c r="M5">
        <v>0.99396366591212493</v>
      </c>
      <c r="N5">
        <v>0.99396366591212493</v>
      </c>
      <c r="O5" t="s">
        <v>35</v>
      </c>
      <c r="P5" t="s">
        <v>35</v>
      </c>
      <c r="Q5" t="s">
        <v>50</v>
      </c>
      <c r="R5">
        <v>0</v>
      </c>
      <c r="S5">
        <v>0</v>
      </c>
      <c r="T5" t="s">
        <v>31</v>
      </c>
    </row>
    <row r="6" spans="1:20" hidden="1" x14ac:dyDescent="0.3">
      <c r="A6">
        <v>14</v>
      </c>
      <c r="B6" t="s">
        <v>29</v>
      </c>
      <c r="C6" t="s">
        <v>30</v>
      </c>
      <c r="D6" t="s">
        <v>31</v>
      </c>
      <c r="E6" t="s">
        <v>32</v>
      </c>
      <c r="F6" s="2">
        <v>45473</v>
      </c>
      <c r="G6">
        <v>2024</v>
      </c>
      <c r="H6" t="s">
        <v>33</v>
      </c>
      <c r="I6" t="s">
        <v>51</v>
      </c>
      <c r="J6">
        <v>1</v>
      </c>
      <c r="K6">
        <v>52403.186118801452</v>
      </c>
      <c r="L6">
        <v>52585</v>
      </c>
      <c r="M6">
        <v>1.00346951959727</v>
      </c>
      <c r="N6">
        <v>1.00346951959727</v>
      </c>
      <c r="O6" t="s">
        <v>35</v>
      </c>
      <c r="P6" t="s">
        <v>35</v>
      </c>
      <c r="Q6" t="s">
        <v>52</v>
      </c>
      <c r="R6">
        <v>0</v>
      </c>
      <c r="S6">
        <v>0</v>
      </c>
      <c r="T6" t="s">
        <v>31</v>
      </c>
    </row>
    <row r="7" spans="1:20" hidden="1" x14ac:dyDescent="0.3">
      <c r="A7">
        <v>14</v>
      </c>
      <c r="B7" t="s">
        <v>29</v>
      </c>
      <c r="C7" t="s">
        <v>30</v>
      </c>
      <c r="D7" t="s">
        <v>31</v>
      </c>
      <c r="E7" t="s">
        <v>32</v>
      </c>
      <c r="F7" s="2">
        <v>45657</v>
      </c>
      <c r="G7">
        <v>2024</v>
      </c>
      <c r="H7" t="s">
        <v>44</v>
      </c>
      <c r="I7" t="s">
        <v>53</v>
      </c>
      <c r="J7">
        <v>2</v>
      </c>
      <c r="K7">
        <v>51116.334115206948</v>
      </c>
      <c r="L7">
        <v>52005</v>
      </c>
      <c r="M7">
        <v>1.017385164647961</v>
      </c>
      <c r="N7">
        <v>1.017385164647961</v>
      </c>
      <c r="O7" t="s">
        <v>35</v>
      </c>
      <c r="P7" t="s">
        <v>35</v>
      </c>
      <c r="Q7" t="s">
        <v>54</v>
      </c>
      <c r="R7">
        <v>0</v>
      </c>
      <c r="S7">
        <v>0</v>
      </c>
      <c r="T7" t="s">
        <v>31</v>
      </c>
    </row>
    <row r="8" spans="1:20" hidden="1" x14ac:dyDescent="0.3">
      <c r="A8">
        <v>77</v>
      </c>
      <c r="B8" t="s">
        <v>55</v>
      </c>
      <c r="C8" t="s">
        <v>56</v>
      </c>
      <c r="D8" t="s">
        <v>57</v>
      </c>
      <c r="E8" t="s">
        <v>32</v>
      </c>
      <c r="F8" s="2">
        <v>44742</v>
      </c>
      <c r="G8">
        <v>2022</v>
      </c>
      <c r="H8" t="s">
        <v>33</v>
      </c>
      <c r="I8" t="s">
        <v>34</v>
      </c>
      <c r="J8">
        <v>1</v>
      </c>
      <c r="K8">
        <v>97</v>
      </c>
      <c r="L8">
        <v>97.683333333333323</v>
      </c>
      <c r="M8">
        <v>1.0070446735395191</v>
      </c>
      <c r="N8">
        <v>1.0070446735395191</v>
      </c>
      <c r="O8" t="s">
        <v>58</v>
      </c>
      <c r="P8" t="s">
        <v>58</v>
      </c>
      <c r="Q8" t="s">
        <v>59</v>
      </c>
      <c r="R8">
        <v>0</v>
      </c>
      <c r="S8">
        <v>1</v>
      </c>
      <c r="T8" t="s">
        <v>31</v>
      </c>
    </row>
    <row r="9" spans="1:20" hidden="1" x14ac:dyDescent="0.3">
      <c r="A9">
        <v>77</v>
      </c>
      <c r="B9" t="s">
        <v>55</v>
      </c>
      <c r="C9" t="s">
        <v>56</v>
      </c>
      <c r="D9" t="s">
        <v>57</v>
      </c>
      <c r="E9" t="s">
        <v>32</v>
      </c>
      <c r="F9" s="2">
        <v>44926</v>
      </c>
      <c r="G9">
        <v>2022</v>
      </c>
      <c r="H9" t="s">
        <v>44</v>
      </c>
      <c r="I9" t="s">
        <v>45</v>
      </c>
      <c r="J9">
        <v>2</v>
      </c>
      <c r="K9">
        <v>97</v>
      </c>
      <c r="L9">
        <v>98.116666666666674</v>
      </c>
      <c r="M9">
        <v>1.0115120274914089</v>
      </c>
      <c r="N9">
        <v>1.0115120274914089</v>
      </c>
      <c r="O9" t="s">
        <v>58</v>
      </c>
      <c r="P9" t="s">
        <v>58</v>
      </c>
      <c r="Q9" t="s">
        <v>67</v>
      </c>
      <c r="R9">
        <v>0</v>
      </c>
      <c r="S9">
        <v>1</v>
      </c>
      <c r="T9" t="s">
        <v>31</v>
      </c>
    </row>
    <row r="10" spans="1:20" hidden="1" x14ac:dyDescent="0.3">
      <c r="A10">
        <v>77</v>
      </c>
      <c r="B10" t="s">
        <v>55</v>
      </c>
      <c r="C10" t="s">
        <v>56</v>
      </c>
      <c r="D10" t="s">
        <v>57</v>
      </c>
      <c r="E10" t="s">
        <v>32</v>
      </c>
      <c r="F10" s="2">
        <v>45107</v>
      </c>
      <c r="G10">
        <v>2023</v>
      </c>
      <c r="H10" t="s">
        <v>33</v>
      </c>
      <c r="I10" t="s">
        <v>47</v>
      </c>
      <c r="J10">
        <v>1</v>
      </c>
      <c r="K10">
        <v>97</v>
      </c>
      <c r="L10">
        <v>97.683333333333337</v>
      </c>
      <c r="M10">
        <v>1.0070446735395191</v>
      </c>
      <c r="N10">
        <v>1.0070446735395191</v>
      </c>
      <c r="O10" t="s">
        <v>58</v>
      </c>
      <c r="P10" t="s">
        <v>58</v>
      </c>
      <c r="Q10" t="s">
        <v>68</v>
      </c>
      <c r="R10">
        <v>0</v>
      </c>
      <c r="S10">
        <v>1</v>
      </c>
      <c r="T10" t="s">
        <v>31</v>
      </c>
    </row>
    <row r="11" spans="1:20" hidden="1" x14ac:dyDescent="0.3">
      <c r="A11">
        <v>77</v>
      </c>
      <c r="B11" t="s">
        <v>55</v>
      </c>
      <c r="C11" t="s">
        <v>56</v>
      </c>
      <c r="D11" t="s">
        <v>57</v>
      </c>
      <c r="E11" t="s">
        <v>32</v>
      </c>
      <c r="F11" s="2">
        <v>45291</v>
      </c>
      <c r="G11">
        <v>2023</v>
      </c>
      <c r="H11" t="s">
        <v>44</v>
      </c>
      <c r="I11" t="s">
        <v>49</v>
      </c>
      <c r="J11">
        <v>2</v>
      </c>
      <c r="K11">
        <v>97</v>
      </c>
      <c r="L11">
        <v>97.583333333333329</v>
      </c>
      <c r="M11">
        <v>1.0060137457044671</v>
      </c>
      <c r="N11">
        <v>1.0060137457044671</v>
      </c>
      <c r="O11" t="s">
        <v>58</v>
      </c>
      <c r="P11" t="s">
        <v>58</v>
      </c>
      <c r="Q11" t="s">
        <v>69</v>
      </c>
      <c r="R11">
        <v>0</v>
      </c>
      <c r="S11">
        <v>1</v>
      </c>
      <c r="T11" t="s">
        <v>31</v>
      </c>
    </row>
    <row r="12" spans="1:20" hidden="1" x14ac:dyDescent="0.3">
      <c r="A12">
        <v>96</v>
      </c>
      <c r="B12" t="s">
        <v>70</v>
      </c>
      <c r="C12" t="s">
        <v>71</v>
      </c>
      <c r="D12" t="s">
        <v>31</v>
      </c>
      <c r="E12" t="s">
        <v>32</v>
      </c>
      <c r="F12" s="2">
        <v>44926</v>
      </c>
      <c r="G12">
        <v>2022</v>
      </c>
      <c r="H12" t="s">
        <v>44</v>
      </c>
      <c r="I12" t="s">
        <v>45</v>
      </c>
      <c r="J12">
        <v>2</v>
      </c>
      <c r="K12">
        <v>509</v>
      </c>
      <c r="L12">
        <v>565</v>
      </c>
      <c r="M12">
        <v>1.1100196463654219</v>
      </c>
      <c r="N12">
        <v>1.1100196463654219</v>
      </c>
      <c r="O12" t="s">
        <v>35</v>
      </c>
      <c r="P12" t="s">
        <v>35</v>
      </c>
      <c r="Q12" t="s">
        <v>72</v>
      </c>
      <c r="R12">
        <v>0</v>
      </c>
      <c r="S12">
        <v>0</v>
      </c>
      <c r="T12" t="s">
        <v>31</v>
      </c>
    </row>
    <row r="13" spans="1:20" hidden="1" x14ac:dyDescent="0.3">
      <c r="A13">
        <v>96</v>
      </c>
      <c r="B13" t="s">
        <v>70</v>
      </c>
      <c r="C13" t="s">
        <v>71</v>
      </c>
      <c r="D13" t="s">
        <v>31</v>
      </c>
      <c r="E13" t="s">
        <v>32</v>
      </c>
      <c r="F13" s="2">
        <v>45107</v>
      </c>
      <c r="G13">
        <v>2023</v>
      </c>
      <c r="H13" t="s">
        <v>33</v>
      </c>
      <c r="I13" t="s">
        <v>47</v>
      </c>
      <c r="J13">
        <v>1</v>
      </c>
      <c r="K13">
        <v>305</v>
      </c>
      <c r="L13">
        <v>209</v>
      </c>
      <c r="M13">
        <v>0.68524590163934429</v>
      </c>
      <c r="N13">
        <v>0.68524590163934429</v>
      </c>
      <c r="O13" t="s">
        <v>35</v>
      </c>
      <c r="P13" t="s">
        <v>35</v>
      </c>
      <c r="Q13" t="s">
        <v>79</v>
      </c>
      <c r="R13">
        <v>0</v>
      </c>
      <c r="S13">
        <v>0</v>
      </c>
      <c r="T13" t="s">
        <v>31</v>
      </c>
    </row>
    <row r="14" spans="1:20" hidden="1" x14ac:dyDescent="0.3">
      <c r="A14">
        <v>96</v>
      </c>
      <c r="B14" t="s">
        <v>70</v>
      </c>
      <c r="C14" t="s">
        <v>71</v>
      </c>
      <c r="D14" t="s">
        <v>31</v>
      </c>
      <c r="E14" t="s">
        <v>32</v>
      </c>
      <c r="F14" s="2">
        <v>45291</v>
      </c>
      <c r="G14">
        <v>2023</v>
      </c>
      <c r="H14" t="s">
        <v>44</v>
      </c>
      <c r="I14" t="s">
        <v>49</v>
      </c>
      <c r="J14">
        <v>2</v>
      </c>
      <c r="K14">
        <v>306</v>
      </c>
      <c r="L14">
        <v>496</v>
      </c>
      <c r="M14">
        <v>1.3</v>
      </c>
      <c r="N14">
        <v>1.620915032679739</v>
      </c>
      <c r="O14" t="s">
        <v>35</v>
      </c>
      <c r="P14" t="s">
        <v>35</v>
      </c>
      <c r="Q14" t="s">
        <v>80</v>
      </c>
      <c r="R14">
        <v>0</v>
      </c>
      <c r="S14">
        <v>0</v>
      </c>
      <c r="T14" t="s">
        <v>31</v>
      </c>
    </row>
    <row r="15" spans="1:20" hidden="1" x14ac:dyDescent="0.3">
      <c r="A15">
        <v>96</v>
      </c>
      <c r="B15" t="s">
        <v>70</v>
      </c>
      <c r="C15" t="s">
        <v>71</v>
      </c>
      <c r="D15" t="s">
        <v>31</v>
      </c>
      <c r="E15" t="s">
        <v>32</v>
      </c>
      <c r="F15" s="2">
        <v>45473</v>
      </c>
      <c r="G15">
        <v>2024</v>
      </c>
      <c r="H15" t="s">
        <v>33</v>
      </c>
      <c r="I15" t="s">
        <v>51</v>
      </c>
      <c r="J15">
        <v>1</v>
      </c>
      <c r="K15">
        <v>336</v>
      </c>
      <c r="L15">
        <v>143</v>
      </c>
      <c r="M15">
        <v>0.42559523809523808</v>
      </c>
      <c r="N15">
        <v>0.42559523809523808</v>
      </c>
      <c r="O15" t="s">
        <v>35</v>
      </c>
      <c r="P15" t="s">
        <v>35</v>
      </c>
      <c r="Q15" t="s">
        <v>81</v>
      </c>
      <c r="R15">
        <v>0</v>
      </c>
      <c r="S15">
        <v>0</v>
      </c>
      <c r="T15" t="s">
        <v>31</v>
      </c>
    </row>
    <row r="16" spans="1:20" hidden="1" x14ac:dyDescent="0.3">
      <c r="A16">
        <v>97</v>
      </c>
      <c r="B16" t="s">
        <v>82</v>
      </c>
      <c r="C16" t="s">
        <v>83</v>
      </c>
      <c r="D16" t="s">
        <v>31</v>
      </c>
      <c r="E16" t="s">
        <v>32</v>
      </c>
      <c r="F16" s="2">
        <v>44742</v>
      </c>
      <c r="G16">
        <v>2022</v>
      </c>
      <c r="H16" t="s">
        <v>33</v>
      </c>
      <c r="I16" t="s">
        <v>34</v>
      </c>
      <c r="J16">
        <v>1</v>
      </c>
      <c r="K16">
        <v>2</v>
      </c>
      <c r="L16">
        <v>2</v>
      </c>
      <c r="M16">
        <v>1</v>
      </c>
      <c r="N16">
        <v>1</v>
      </c>
      <c r="O16" t="s">
        <v>35</v>
      </c>
      <c r="P16" t="s">
        <v>35</v>
      </c>
      <c r="Q16" t="s">
        <v>84</v>
      </c>
      <c r="R16">
        <v>0</v>
      </c>
      <c r="S16">
        <v>0</v>
      </c>
      <c r="T16" t="s">
        <v>31</v>
      </c>
    </row>
    <row r="17" spans="1:20" hidden="1" x14ac:dyDescent="0.3">
      <c r="A17">
        <v>97</v>
      </c>
      <c r="B17" t="s">
        <v>82</v>
      </c>
      <c r="C17" t="s">
        <v>83</v>
      </c>
      <c r="D17" t="s">
        <v>31</v>
      </c>
      <c r="E17" t="s">
        <v>32</v>
      </c>
      <c r="F17" s="2">
        <v>44926</v>
      </c>
      <c r="G17">
        <v>2022</v>
      </c>
      <c r="H17" t="s">
        <v>44</v>
      </c>
      <c r="I17" t="s">
        <v>45</v>
      </c>
      <c r="J17">
        <v>2</v>
      </c>
      <c r="K17">
        <v>0</v>
      </c>
      <c r="L17">
        <v>0</v>
      </c>
      <c r="O17" t="s">
        <v>35</v>
      </c>
      <c r="P17" t="s">
        <v>35</v>
      </c>
      <c r="Q17" t="s">
        <v>88</v>
      </c>
      <c r="R17">
        <v>0</v>
      </c>
      <c r="S17">
        <v>0</v>
      </c>
      <c r="T17" t="s">
        <v>31</v>
      </c>
    </row>
    <row r="18" spans="1:20" hidden="1" x14ac:dyDescent="0.3">
      <c r="A18">
        <v>97</v>
      </c>
      <c r="B18" t="s">
        <v>82</v>
      </c>
      <c r="C18" t="s">
        <v>83</v>
      </c>
      <c r="D18" t="s">
        <v>31</v>
      </c>
      <c r="E18" t="s">
        <v>32</v>
      </c>
      <c r="F18" s="2">
        <v>45107</v>
      </c>
      <c r="G18">
        <v>2023</v>
      </c>
      <c r="H18" t="s">
        <v>33</v>
      </c>
      <c r="I18" t="s">
        <v>47</v>
      </c>
      <c r="J18">
        <v>1</v>
      </c>
      <c r="K18">
        <v>0</v>
      </c>
      <c r="L18">
        <v>0</v>
      </c>
      <c r="Q18" t="s">
        <v>89</v>
      </c>
      <c r="R18">
        <v>0</v>
      </c>
      <c r="S18">
        <v>0</v>
      </c>
      <c r="T18" t="s">
        <v>31</v>
      </c>
    </row>
    <row r="19" spans="1:20" hidden="1" x14ac:dyDescent="0.3">
      <c r="A19">
        <v>97</v>
      </c>
      <c r="B19" t="s">
        <v>82</v>
      </c>
      <c r="C19" t="s">
        <v>83</v>
      </c>
      <c r="D19" t="s">
        <v>31</v>
      </c>
      <c r="E19" t="s">
        <v>32</v>
      </c>
      <c r="F19" s="2">
        <v>45291</v>
      </c>
      <c r="G19">
        <v>2023</v>
      </c>
      <c r="H19" t="s">
        <v>44</v>
      </c>
      <c r="I19" t="s">
        <v>49</v>
      </c>
      <c r="J19">
        <v>2</v>
      </c>
      <c r="K19">
        <v>0</v>
      </c>
      <c r="L19">
        <v>0</v>
      </c>
      <c r="Q19" t="s">
        <v>90</v>
      </c>
      <c r="R19">
        <v>0</v>
      </c>
      <c r="S19">
        <v>0</v>
      </c>
      <c r="T19" t="s">
        <v>31</v>
      </c>
    </row>
    <row r="20" spans="1:20" hidden="1" x14ac:dyDescent="0.3">
      <c r="A20">
        <v>98</v>
      </c>
      <c r="B20" t="s">
        <v>91</v>
      </c>
      <c r="C20" t="s">
        <v>83</v>
      </c>
      <c r="D20" t="s">
        <v>31</v>
      </c>
      <c r="E20" t="s">
        <v>32</v>
      </c>
      <c r="F20" s="2">
        <v>44742</v>
      </c>
      <c r="G20">
        <v>2022</v>
      </c>
      <c r="H20" t="s">
        <v>33</v>
      </c>
      <c r="I20" t="s">
        <v>34</v>
      </c>
      <c r="J20">
        <v>1</v>
      </c>
      <c r="K20">
        <v>0</v>
      </c>
      <c r="L20">
        <v>0</v>
      </c>
      <c r="O20" t="s">
        <v>35</v>
      </c>
      <c r="P20" t="s">
        <v>35</v>
      </c>
      <c r="Q20" t="s">
        <v>92</v>
      </c>
      <c r="R20">
        <v>0</v>
      </c>
      <c r="S20">
        <v>0</v>
      </c>
      <c r="T20" t="s">
        <v>31</v>
      </c>
    </row>
    <row r="21" spans="1:20" hidden="1" x14ac:dyDescent="0.3">
      <c r="A21">
        <v>98</v>
      </c>
      <c r="B21" t="s">
        <v>91</v>
      </c>
      <c r="C21" t="s">
        <v>83</v>
      </c>
      <c r="D21" t="s">
        <v>31</v>
      </c>
      <c r="E21" t="s">
        <v>32</v>
      </c>
      <c r="F21" s="2">
        <v>44926</v>
      </c>
      <c r="G21">
        <v>2022</v>
      </c>
      <c r="H21" t="s">
        <v>44</v>
      </c>
      <c r="I21" t="s">
        <v>45</v>
      </c>
      <c r="J21">
        <v>2</v>
      </c>
      <c r="K21">
        <v>2</v>
      </c>
      <c r="L21">
        <v>2</v>
      </c>
      <c r="M21">
        <v>1</v>
      </c>
      <c r="N21">
        <v>1</v>
      </c>
      <c r="O21" t="s">
        <v>35</v>
      </c>
      <c r="P21" t="s">
        <v>35</v>
      </c>
      <c r="Q21" t="s">
        <v>93</v>
      </c>
      <c r="R21">
        <v>0</v>
      </c>
      <c r="S21">
        <v>0</v>
      </c>
      <c r="T21" t="s">
        <v>31</v>
      </c>
    </row>
    <row r="22" spans="1:20" hidden="1" x14ac:dyDescent="0.3">
      <c r="A22">
        <v>98</v>
      </c>
      <c r="B22" t="s">
        <v>91</v>
      </c>
      <c r="C22" t="s">
        <v>83</v>
      </c>
      <c r="D22" t="s">
        <v>31</v>
      </c>
      <c r="E22" t="s">
        <v>32</v>
      </c>
      <c r="F22" s="2">
        <v>45107</v>
      </c>
      <c r="G22">
        <v>2023</v>
      </c>
      <c r="H22" t="s">
        <v>33</v>
      </c>
      <c r="I22" t="s">
        <v>47</v>
      </c>
      <c r="J22">
        <v>1</v>
      </c>
      <c r="K22">
        <v>0</v>
      </c>
      <c r="L22">
        <v>0</v>
      </c>
      <c r="O22" t="s">
        <v>35</v>
      </c>
      <c r="P22" t="s">
        <v>35</v>
      </c>
      <c r="Q22" t="s">
        <v>94</v>
      </c>
      <c r="R22">
        <v>0</v>
      </c>
      <c r="S22">
        <v>0</v>
      </c>
      <c r="T22" t="s">
        <v>31</v>
      </c>
    </row>
    <row r="23" spans="1:20" hidden="1" x14ac:dyDescent="0.3">
      <c r="A23">
        <v>98</v>
      </c>
      <c r="B23" t="s">
        <v>91</v>
      </c>
      <c r="C23" t="s">
        <v>83</v>
      </c>
      <c r="D23" t="s">
        <v>31</v>
      </c>
      <c r="E23" t="s">
        <v>32</v>
      </c>
      <c r="F23" s="2">
        <v>45291</v>
      </c>
      <c r="G23">
        <v>2023</v>
      </c>
      <c r="H23" t="s">
        <v>44</v>
      </c>
      <c r="I23" t="s">
        <v>49</v>
      </c>
      <c r="J23">
        <v>2</v>
      </c>
      <c r="K23">
        <v>1</v>
      </c>
      <c r="L23">
        <v>1</v>
      </c>
      <c r="M23">
        <v>1</v>
      </c>
      <c r="N23">
        <v>1</v>
      </c>
      <c r="O23" t="s">
        <v>35</v>
      </c>
      <c r="P23" t="s">
        <v>35</v>
      </c>
      <c r="Q23" t="s">
        <v>95</v>
      </c>
      <c r="R23">
        <v>0</v>
      </c>
      <c r="S23">
        <v>0</v>
      </c>
      <c r="T23" t="s">
        <v>31</v>
      </c>
    </row>
    <row r="24" spans="1:20" hidden="1" x14ac:dyDescent="0.3">
      <c r="A24">
        <v>109</v>
      </c>
      <c r="B24" t="s">
        <v>469</v>
      </c>
      <c r="C24" t="s">
        <v>97</v>
      </c>
      <c r="D24" t="s">
        <v>66</v>
      </c>
      <c r="E24" t="s">
        <v>32</v>
      </c>
      <c r="F24" s="2">
        <v>45291</v>
      </c>
      <c r="G24">
        <v>2023</v>
      </c>
      <c r="H24" t="s">
        <v>44</v>
      </c>
      <c r="I24" t="s">
        <v>49</v>
      </c>
      <c r="J24">
        <v>2</v>
      </c>
      <c r="Q24" t="s">
        <v>98</v>
      </c>
      <c r="R24">
        <v>0</v>
      </c>
      <c r="S24">
        <v>0</v>
      </c>
      <c r="T24" t="s">
        <v>31</v>
      </c>
    </row>
    <row r="25" spans="1:20" hidden="1" x14ac:dyDescent="0.3">
      <c r="A25">
        <v>109</v>
      </c>
      <c r="B25" t="s">
        <v>469</v>
      </c>
      <c r="C25" t="s">
        <v>99</v>
      </c>
      <c r="D25" t="s">
        <v>66</v>
      </c>
      <c r="E25" t="s">
        <v>32</v>
      </c>
      <c r="F25" s="2">
        <v>45657</v>
      </c>
      <c r="G25">
        <v>2024</v>
      </c>
      <c r="H25" t="s">
        <v>44</v>
      </c>
      <c r="I25" t="s">
        <v>53</v>
      </c>
      <c r="J25">
        <v>2</v>
      </c>
      <c r="Q25" t="s">
        <v>103</v>
      </c>
      <c r="R25">
        <v>0</v>
      </c>
      <c r="S25">
        <v>0</v>
      </c>
      <c r="T25" t="s">
        <v>31</v>
      </c>
    </row>
    <row r="26" spans="1:20" hidden="1" x14ac:dyDescent="0.3">
      <c r="A26">
        <v>148</v>
      </c>
      <c r="B26" t="s">
        <v>104</v>
      </c>
      <c r="C26" t="s">
        <v>105</v>
      </c>
      <c r="D26" t="s">
        <v>31</v>
      </c>
      <c r="E26" t="s">
        <v>32</v>
      </c>
      <c r="F26" s="2">
        <v>45107</v>
      </c>
      <c r="G26">
        <v>2023</v>
      </c>
      <c r="H26" t="s">
        <v>33</v>
      </c>
      <c r="I26" t="s">
        <v>47</v>
      </c>
      <c r="J26">
        <v>1</v>
      </c>
      <c r="K26">
        <v>2.5</v>
      </c>
      <c r="L26">
        <v>3.57</v>
      </c>
      <c r="M26">
        <v>1.3</v>
      </c>
      <c r="N26">
        <v>1.4279999999999999</v>
      </c>
      <c r="O26" t="s">
        <v>58</v>
      </c>
      <c r="P26" t="s">
        <v>58</v>
      </c>
      <c r="Q26" t="s">
        <v>106</v>
      </c>
      <c r="R26">
        <v>1</v>
      </c>
      <c r="S26">
        <v>1</v>
      </c>
      <c r="T26" t="s">
        <v>31</v>
      </c>
    </row>
    <row r="27" spans="1:20" hidden="1" x14ac:dyDescent="0.3">
      <c r="A27">
        <v>148</v>
      </c>
      <c r="B27" t="s">
        <v>104</v>
      </c>
      <c r="C27" t="s">
        <v>105</v>
      </c>
      <c r="D27" t="s">
        <v>31</v>
      </c>
      <c r="E27" t="s">
        <v>32</v>
      </c>
      <c r="F27" s="2">
        <v>45291</v>
      </c>
      <c r="G27">
        <v>2023</v>
      </c>
      <c r="H27" t="s">
        <v>44</v>
      </c>
      <c r="I27" t="s">
        <v>49</v>
      </c>
      <c r="J27">
        <v>2</v>
      </c>
      <c r="K27">
        <v>5</v>
      </c>
      <c r="L27">
        <v>5.71</v>
      </c>
      <c r="M27">
        <v>1.1419999999999999</v>
      </c>
      <c r="N27">
        <v>1.1419999999999999</v>
      </c>
      <c r="O27" t="s">
        <v>58</v>
      </c>
      <c r="P27" t="s">
        <v>58</v>
      </c>
      <c r="Q27" t="s">
        <v>107</v>
      </c>
      <c r="R27">
        <v>1</v>
      </c>
      <c r="S27">
        <v>1</v>
      </c>
      <c r="T27" t="s">
        <v>31</v>
      </c>
    </row>
    <row r="28" spans="1:20" hidden="1" x14ac:dyDescent="0.3">
      <c r="A28">
        <v>148</v>
      </c>
      <c r="B28" t="s">
        <v>104</v>
      </c>
      <c r="C28" t="s">
        <v>105</v>
      </c>
      <c r="D28" t="s">
        <v>31</v>
      </c>
      <c r="E28" t="s">
        <v>32</v>
      </c>
      <c r="F28" s="2">
        <v>45473</v>
      </c>
      <c r="G28">
        <v>2024</v>
      </c>
      <c r="H28" t="s">
        <v>33</v>
      </c>
      <c r="I28" t="s">
        <v>51</v>
      </c>
      <c r="J28">
        <v>1</v>
      </c>
      <c r="K28">
        <v>5</v>
      </c>
      <c r="L28">
        <v>4.3</v>
      </c>
      <c r="M28">
        <v>0.86</v>
      </c>
      <c r="N28">
        <v>0.86</v>
      </c>
      <c r="O28" t="s">
        <v>58</v>
      </c>
      <c r="P28" t="s">
        <v>58</v>
      </c>
      <c r="Q28" t="s">
        <v>108</v>
      </c>
      <c r="R28">
        <v>1</v>
      </c>
      <c r="S28">
        <v>1</v>
      </c>
      <c r="T28" t="s">
        <v>31</v>
      </c>
    </row>
    <row r="29" spans="1:20" hidden="1" x14ac:dyDescent="0.3">
      <c r="A29">
        <v>148</v>
      </c>
      <c r="B29" t="s">
        <v>104</v>
      </c>
      <c r="C29" t="s">
        <v>105</v>
      </c>
      <c r="D29" t="s">
        <v>31</v>
      </c>
      <c r="E29" t="s">
        <v>32</v>
      </c>
      <c r="F29" s="2">
        <v>45657</v>
      </c>
      <c r="G29">
        <v>2024</v>
      </c>
      <c r="H29" t="s">
        <v>44</v>
      </c>
      <c r="I29" t="s">
        <v>53</v>
      </c>
      <c r="J29">
        <v>2</v>
      </c>
      <c r="K29">
        <v>5</v>
      </c>
      <c r="L29">
        <v>6.3</v>
      </c>
      <c r="M29">
        <v>1.26</v>
      </c>
      <c r="N29">
        <v>1.26</v>
      </c>
      <c r="Q29" t="s">
        <v>109</v>
      </c>
      <c r="R29">
        <v>0</v>
      </c>
      <c r="S29">
        <v>0</v>
      </c>
      <c r="T29" t="s">
        <v>31</v>
      </c>
    </row>
    <row r="30" spans="1:20" hidden="1" x14ac:dyDescent="0.3">
      <c r="A30">
        <v>193</v>
      </c>
      <c r="B30" t="s">
        <v>110</v>
      </c>
      <c r="C30" t="s">
        <v>30</v>
      </c>
      <c r="D30" t="s">
        <v>31</v>
      </c>
      <c r="E30" t="s">
        <v>32</v>
      </c>
      <c r="F30" s="2">
        <v>44742</v>
      </c>
      <c r="G30">
        <v>2022</v>
      </c>
      <c r="H30" t="s">
        <v>33</v>
      </c>
      <c r="I30" t="s">
        <v>34</v>
      </c>
      <c r="J30">
        <v>1</v>
      </c>
      <c r="K30">
        <v>76</v>
      </c>
      <c r="L30">
        <v>91.8</v>
      </c>
      <c r="M30">
        <v>1.2078947368421049</v>
      </c>
      <c r="N30">
        <v>1.2078947368421049</v>
      </c>
      <c r="O30" t="s">
        <v>58</v>
      </c>
      <c r="P30" t="s">
        <v>58</v>
      </c>
      <c r="Q30" t="s">
        <v>111</v>
      </c>
      <c r="R30">
        <v>1</v>
      </c>
      <c r="S30">
        <v>1</v>
      </c>
      <c r="T30" t="s">
        <v>31</v>
      </c>
    </row>
    <row r="31" spans="1:20" hidden="1" x14ac:dyDescent="0.3">
      <c r="A31">
        <v>193</v>
      </c>
      <c r="B31" t="s">
        <v>110</v>
      </c>
      <c r="C31" t="s">
        <v>30</v>
      </c>
      <c r="D31" t="s">
        <v>31</v>
      </c>
      <c r="E31" t="s">
        <v>32</v>
      </c>
      <c r="F31" s="2">
        <v>44926</v>
      </c>
      <c r="G31">
        <v>2022</v>
      </c>
      <c r="H31" t="s">
        <v>44</v>
      </c>
      <c r="I31" t="s">
        <v>45</v>
      </c>
      <c r="J31">
        <v>2</v>
      </c>
      <c r="K31">
        <v>76</v>
      </c>
      <c r="L31">
        <v>92.4</v>
      </c>
      <c r="M31">
        <v>1.215789473684211</v>
      </c>
      <c r="N31">
        <v>1.215789473684211</v>
      </c>
      <c r="O31" t="s">
        <v>58</v>
      </c>
      <c r="P31" t="s">
        <v>58</v>
      </c>
      <c r="Q31" t="s">
        <v>116</v>
      </c>
      <c r="R31">
        <v>1</v>
      </c>
      <c r="S31">
        <v>1</v>
      </c>
      <c r="T31" t="s">
        <v>31</v>
      </c>
    </row>
    <row r="32" spans="1:20" hidden="1" x14ac:dyDescent="0.3">
      <c r="A32">
        <v>193</v>
      </c>
      <c r="B32" t="s">
        <v>110</v>
      </c>
      <c r="C32" t="s">
        <v>30</v>
      </c>
      <c r="D32" t="s">
        <v>31</v>
      </c>
      <c r="E32" t="s">
        <v>32</v>
      </c>
      <c r="F32" s="2">
        <v>45107</v>
      </c>
      <c r="G32">
        <v>2023</v>
      </c>
      <c r="H32" t="s">
        <v>33</v>
      </c>
      <c r="I32" t="s">
        <v>47</v>
      </c>
      <c r="J32">
        <v>1</v>
      </c>
      <c r="K32">
        <v>92</v>
      </c>
      <c r="L32">
        <v>91.9</v>
      </c>
      <c r="M32">
        <v>0.99891304347826093</v>
      </c>
      <c r="N32">
        <v>0.99891304347826093</v>
      </c>
      <c r="O32" t="s">
        <v>58</v>
      </c>
      <c r="P32" t="s">
        <v>58</v>
      </c>
      <c r="Q32" t="s">
        <v>117</v>
      </c>
      <c r="R32">
        <v>1</v>
      </c>
      <c r="S32">
        <v>1</v>
      </c>
      <c r="T32" t="s">
        <v>31</v>
      </c>
    </row>
    <row r="33" spans="1:20" hidden="1" x14ac:dyDescent="0.3">
      <c r="A33">
        <v>193</v>
      </c>
      <c r="B33" t="s">
        <v>110</v>
      </c>
      <c r="C33" t="s">
        <v>30</v>
      </c>
      <c r="D33" t="s">
        <v>31</v>
      </c>
      <c r="E33" t="s">
        <v>32</v>
      </c>
      <c r="F33" s="2">
        <v>45291</v>
      </c>
      <c r="G33">
        <v>2023</v>
      </c>
      <c r="H33" t="s">
        <v>44</v>
      </c>
      <c r="I33" t="s">
        <v>49</v>
      </c>
      <c r="J33">
        <v>2</v>
      </c>
      <c r="K33">
        <v>92</v>
      </c>
      <c r="L33">
        <v>91.3</v>
      </c>
      <c r="M33">
        <v>0.99239130434782608</v>
      </c>
      <c r="N33">
        <v>0.99239130434782608</v>
      </c>
      <c r="O33" t="s">
        <v>58</v>
      </c>
      <c r="P33" t="s">
        <v>58</v>
      </c>
      <c r="Q33" t="s">
        <v>118</v>
      </c>
      <c r="R33">
        <v>1</v>
      </c>
      <c r="S33">
        <v>1</v>
      </c>
      <c r="T33" t="s">
        <v>31</v>
      </c>
    </row>
    <row r="34" spans="1:20" hidden="1" x14ac:dyDescent="0.3">
      <c r="A34">
        <v>193</v>
      </c>
      <c r="B34" t="s">
        <v>110</v>
      </c>
      <c r="C34" t="s">
        <v>30</v>
      </c>
      <c r="D34" t="s">
        <v>31</v>
      </c>
      <c r="E34" t="s">
        <v>32</v>
      </c>
      <c r="F34" s="2">
        <v>45473</v>
      </c>
      <c r="G34">
        <v>2024</v>
      </c>
      <c r="H34" t="s">
        <v>33</v>
      </c>
      <c r="I34" t="s">
        <v>51</v>
      </c>
      <c r="J34">
        <v>1</v>
      </c>
      <c r="K34">
        <v>90</v>
      </c>
      <c r="L34">
        <v>91.7</v>
      </c>
      <c r="M34">
        <v>1.018888888888889</v>
      </c>
      <c r="N34">
        <v>1.018888888888889</v>
      </c>
      <c r="O34" t="s">
        <v>58</v>
      </c>
      <c r="P34" t="s">
        <v>58</v>
      </c>
      <c r="Q34" t="s">
        <v>119</v>
      </c>
      <c r="R34">
        <v>1</v>
      </c>
      <c r="S34">
        <v>1</v>
      </c>
      <c r="T34" t="s">
        <v>31</v>
      </c>
    </row>
    <row r="35" spans="1:20" hidden="1" x14ac:dyDescent="0.3">
      <c r="A35">
        <v>193</v>
      </c>
      <c r="B35" t="s">
        <v>110</v>
      </c>
      <c r="C35" t="s">
        <v>30</v>
      </c>
      <c r="D35" t="s">
        <v>31</v>
      </c>
      <c r="E35" t="s">
        <v>32</v>
      </c>
      <c r="F35" s="2">
        <v>45657</v>
      </c>
      <c r="G35">
        <v>2024</v>
      </c>
      <c r="H35" t="s">
        <v>44</v>
      </c>
      <c r="I35" t="s">
        <v>53</v>
      </c>
      <c r="J35">
        <v>2</v>
      </c>
      <c r="K35">
        <v>90</v>
      </c>
      <c r="L35">
        <v>93.5</v>
      </c>
      <c r="M35">
        <v>1.038888888888889</v>
      </c>
      <c r="N35">
        <v>1.038888888888889</v>
      </c>
      <c r="Q35" t="s">
        <v>120</v>
      </c>
      <c r="R35">
        <v>0</v>
      </c>
      <c r="S35">
        <v>0</v>
      </c>
      <c r="T35" t="s">
        <v>31</v>
      </c>
    </row>
    <row r="36" spans="1:20" hidden="1" x14ac:dyDescent="0.3">
      <c r="A36">
        <v>194</v>
      </c>
      <c r="B36" t="s">
        <v>121</v>
      </c>
      <c r="C36" t="s">
        <v>30</v>
      </c>
      <c r="D36" t="s">
        <v>31</v>
      </c>
      <c r="E36" t="s">
        <v>32</v>
      </c>
      <c r="F36" s="2">
        <v>44742</v>
      </c>
      <c r="G36">
        <v>2022</v>
      </c>
      <c r="H36" t="s">
        <v>33</v>
      </c>
      <c r="I36" t="s">
        <v>34</v>
      </c>
      <c r="J36">
        <v>1</v>
      </c>
      <c r="K36">
        <v>73</v>
      </c>
      <c r="L36">
        <v>83.26</v>
      </c>
      <c r="M36">
        <v>1.140547945205479</v>
      </c>
      <c r="N36">
        <v>1.140547945205479</v>
      </c>
      <c r="O36" t="s">
        <v>58</v>
      </c>
      <c r="P36" t="s">
        <v>58</v>
      </c>
      <c r="Q36" t="s">
        <v>122</v>
      </c>
      <c r="R36">
        <v>0</v>
      </c>
      <c r="S36">
        <v>0</v>
      </c>
      <c r="T36" t="s">
        <v>31</v>
      </c>
    </row>
    <row r="37" spans="1:20" hidden="1" x14ac:dyDescent="0.3">
      <c r="A37">
        <v>194</v>
      </c>
      <c r="B37" t="s">
        <v>121</v>
      </c>
      <c r="C37" t="s">
        <v>30</v>
      </c>
      <c r="D37" t="s">
        <v>31</v>
      </c>
      <c r="E37" t="s">
        <v>32</v>
      </c>
      <c r="F37" s="2">
        <v>44926</v>
      </c>
      <c r="G37">
        <v>2022</v>
      </c>
      <c r="H37" t="s">
        <v>44</v>
      </c>
      <c r="I37" t="s">
        <v>45</v>
      </c>
      <c r="J37">
        <v>2</v>
      </c>
      <c r="K37">
        <v>73</v>
      </c>
      <c r="L37">
        <v>83.11</v>
      </c>
      <c r="M37">
        <v>1.138493150684931</v>
      </c>
      <c r="N37">
        <v>1.138493150684931</v>
      </c>
      <c r="O37" t="s">
        <v>58</v>
      </c>
      <c r="P37" t="s">
        <v>58</v>
      </c>
      <c r="Q37" t="s">
        <v>125</v>
      </c>
      <c r="R37">
        <v>0</v>
      </c>
      <c r="S37">
        <v>0</v>
      </c>
      <c r="T37" t="s">
        <v>31</v>
      </c>
    </row>
    <row r="38" spans="1:20" hidden="1" x14ac:dyDescent="0.3">
      <c r="A38">
        <v>194</v>
      </c>
      <c r="B38" t="s">
        <v>121</v>
      </c>
      <c r="C38" t="s">
        <v>30</v>
      </c>
      <c r="D38" t="s">
        <v>31</v>
      </c>
      <c r="E38" t="s">
        <v>32</v>
      </c>
      <c r="F38" s="2">
        <v>45107</v>
      </c>
      <c r="G38">
        <v>2023</v>
      </c>
      <c r="H38" t="s">
        <v>33</v>
      </c>
      <c r="I38" t="s">
        <v>47</v>
      </c>
      <c r="J38">
        <v>1</v>
      </c>
      <c r="K38">
        <v>80</v>
      </c>
      <c r="L38">
        <v>79.180000000000007</v>
      </c>
      <c r="M38">
        <v>0.98975000000000013</v>
      </c>
      <c r="N38">
        <v>0.98975000000000013</v>
      </c>
      <c r="O38" t="s">
        <v>58</v>
      </c>
      <c r="P38" t="s">
        <v>58</v>
      </c>
      <c r="Q38" t="s">
        <v>126</v>
      </c>
      <c r="R38">
        <v>0</v>
      </c>
      <c r="S38">
        <v>0</v>
      </c>
      <c r="T38" t="s">
        <v>31</v>
      </c>
    </row>
    <row r="39" spans="1:20" hidden="1" x14ac:dyDescent="0.3">
      <c r="A39">
        <v>194</v>
      </c>
      <c r="B39" t="s">
        <v>121</v>
      </c>
      <c r="C39" t="s">
        <v>30</v>
      </c>
      <c r="D39" t="s">
        <v>31</v>
      </c>
      <c r="E39" t="s">
        <v>32</v>
      </c>
      <c r="F39" s="2">
        <v>45291</v>
      </c>
      <c r="G39">
        <v>2023</v>
      </c>
      <c r="H39" t="s">
        <v>44</v>
      </c>
      <c r="I39" t="s">
        <v>49</v>
      </c>
      <c r="J39">
        <v>2</v>
      </c>
      <c r="K39">
        <v>80</v>
      </c>
      <c r="L39">
        <v>81.91</v>
      </c>
      <c r="M39">
        <v>1.0238750000000001</v>
      </c>
      <c r="N39">
        <v>1.0238750000000001</v>
      </c>
      <c r="O39" t="s">
        <v>58</v>
      </c>
      <c r="P39" t="s">
        <v>58</v>
      </c>
      <c r="Q39" t="s">
        <v>127</v>
      </c>
      <c r="R39">
        <v>0</v>
      </c>
      <c r="S39">
        <v>0</v>
      </c>
      <c r="T39" t="s">
        <v>31</v>
      </c>
    </row>
    <row r="40" spans="1:20" hidden="1" x14ac:dyDescent="0.3">
      <c r="A40">
        <v>194</v>
      </c>
      <c r="B40" t="s">
        <v>121</v>
      </c>
      <c r="C40" t="s">
        <v>30</v>
      </c>
      <c r="D40" t="s">
        <v>31</v>
      </c>
      <c r="E40" t="s">
        <v>32</v>
      </c>
      <c r="F40" s="2">
        <v>45473</v>
      </c>
      <c r="G40">
        <v>2024</v>
      </c>
      <c r="H40" t="s">
        <v>33</v>
      </c>
      <c r="I40" t="s">
        <v>51</v>
      </c>
      <c r="J40">
        <v>1</v>
      </c>
      <c r="K40">
        <v>81</v>
      </c>
      <c r="L40">
        <v>83.01</v>
      </c>
      <c r="M40">
        <v>1.0248148148148151</v>
      </c>
      <c r="N40">
        <v>1.0248148148148151</v>
      </c>
      <c r="O40" t="s">
        <v>58</v>
      </c>
      <c r="P40" t="s">
        <v>58</v>
      </c>
      <c r="Q40" t="s">
        <v>128</v>
      </c>
      <c r="R40">
        <v>0</v>
      </c>
      <c r="S40">
        <v>0</v>
      </c>
      <c r="T40" t="s">
        <v>31</v>
      </c>
    </row>
    <row r="41" spans="1:20" hidden="1" x14ac:dyDescent="0.3">
      <c r="A41">
        <v>200</v>
      </c>
      <c r="B41" t="s">
        <v>129</v>
      </c>
      <c r="C41" t="s">
        <v>130</v>
      </c>
      <c r="D41" t="s">
        <v>66</v>
      </c>
      <c r="E41" t="s">
        <v>32</v>
      </c>
      <c r="F41" s="2">
        <v>45291</v>
      </c>
      <c r="G41">
        <v>2023</v>
      </c>
      <c r="H41" t="s">
        <v>44</v>
      </c>
      <c r="I41" t="s">
        <v>49</v>
      </c>
      <c r="J41">
        <v>2</v>
      </c>
      <c r="L41">
        <v>90</v>
      </c>
      <c r="O41" t="s">
        <v>131</v>
      </c>
      <c r="P41" t="s">
        <v>58</v>
      </c>
      <c r="Q41" t="s">
        <v>132</v>
      </c>
      <c r="R41">
        <v>0</v>
      </c>
      <c r="S41">
        <v>0</v>
      </c>
      <c r="T41" t="s">
        <v>31</v>
      </c>
    </row>
    <row r="42" spans="1:20" hidden="1" x14ac:dyDescent="0.3">
      <c r="A42">
        <v>200</v>
      </c>
      <c r="B42" t="s">
        <v>129</v>
      </c>
      <c r="C42" t="s">
        <v>130</v>
      </c>
      <c r="D42" t="s">
        <v>66</v>
      </c>
      <c r="E42" t="s">
        <v>32</v>
      </c>
      <c r="F42" s="2">
        <v>45657</v>
      </c>
      <c r="G42">
        <v>2024</v>
      </c>
      <c r="H42" t="s">
        <v>44</v>
      </c>
      <c r="I42" t="s">
        <v>53</v>
      </c>
      <c r="J42">
        <v>2</v>
      </c>
      <c r="K42">
        <v>80</v>
      </c>
      <c r="L42">
        <v>87.4</v>
      </c>
      <c r="M42">
        <v>1.0925</v>
      </c>
      <c r="N42">
        <v>1.0925</v>
      </c>
      <c r="Q42" t="s">
        <v>136</v>
      </c>
      <c r="R42">
        <v>0</v>
      </c>
      <c r="S42">
        <v>0</v>
      </c>
      <c r="T42" t="s">
        <v>31</v>
      </c>
    </row>
    <row r="43" spans="1:20" hidden="1" x14ac:dyDescent="0.3">
      <c r="A43">
        <v>202</v>
      </c>
      <c r="B43" t="s">
        <v>137</v>
      </c>
      <c r="C43" t="s">
        <v>130</v>
      </c>
      <c r="D43" t="s">
        <v>66</v>
      </c>
      <c r="E43" t="s">
        <v>32</v>
      </c>
      <c r="F43" s="2">
        <v>45291</v>
      </c>
      <c r="G43">
        <v>2023</v>
      </c>
      <c r="H43" t="s">
        <v>44</v>
      </c>
      <c r="I43" t="s">
        <v>49</v>
      </c>
      <c r="J43">
        <v>2</v>
      </c>
      <c r="K43">
        <v>66</v>
      </c>
      <c r="L43">
        <v>64.7</v>
      </c>
      <c r="M43">
        <v>0.98030303030303034</v>
      </c>
      <c r="N43">
        <v>0.98030303030303034</v>
      </c>
      <c r="Q43" t="s">
        <v>138</v>
      </c>
      <c r="R43">
        <v>1</v>
      </c>
      <c r="S43">
        <v>1</v>
      </c>
      <c r="T43" t="s">
        <v>31</v>
      </c>
    </row>
    <row r="44" spans="1:20" hidden="1" x14ac:dyDescent="0.3">
      <c r="A44">
        <v>202</v>
      </c>
      <c r="B44" t="s">
        <v>137</v>
      </c>
      <c r="C44" t="s">
        <v>130</v>
      </c>
      <c r="D44" t="s">
        <v>66</v>
      </c>
      <c r="E44" t="s">
        <v>32</v>
      </c>
      <c r="F44" s="2">
        <v>45657</v>
      </c>
      <c r="G44">
        <v>2024</v>
      </c>
      <c r="H44" t="s">
        <v>44</v>
      </c>
      <c r="I44" t="s">
        <v>53</v>
      </c>
      <c r="J44">
        <v>2</v>
      </c>
      <c r="K44">
        <v>0</v>
      </c>
      <c r="O44" t="s">
        <v>35</v>
      </c>
      <c r="Q44" t="s">
        <v>140</v>
      </c>
      <c r="R44">
        <v>0</v>
      </c>
      <c r="S44">
        <v>0</v>
      </c>
      <c r="T44" t="s">
        <v>31</v>
      </c>
    </row>
    <row r="45" spans="1:20" hidden="1" x14ac:dyDescent="0.3">
      <c r="A45">
        <v>203</v>
      </c>
      <c r="B45" t="s">
        <v>141</v>
      </c>
      <c r="C45" t="s">
        <v>142</v>
      </c>
      <c r="D45" t="s">
        <v>31</v>
      </c>
      <c r="E45" t="s">
        <v>32</v>
      </c>
      <c r="F45" s="2">
        <v>44742</v>
      </c>
      <c r="G45">
        <v>2022</v>
      </c>
      <c r="H45" t="s">
        <v>33</v>
      </c>
      <c r="I45" t="s">
        <v>34</v>
      </c>
      <c r="J45">
        <v>1</v>
      </c>
      <c r="K45">
        <v>113672</v>
      </c>
      <c r="L45">
        <v>119144</v>
      </c>
      <c r="M45">
        <v>1.0481385037652191</v>
      </c>
      <c r="N45">
        <v>1.0481385037652191</v>
      </c>
      <c r="O45" t="s">
        <v>143</v>
      </c>
      <c r="P45" t="s">
        <v>143</v>
      </c>
      <c r="Q45" t="s">
        <v>144</v>
      </c>
      <c r="R45">
        <v>0</v>
      </c>
      <c r="S45">
        <v>0</v>
      </c>
      <c r="T45" t="s">
        <v>31</v>
      </c>
    </row>
    <row r="46" spans="1:20" hidden="1" x14ac:dyDescent="0.3">
      <c r="A46">
        <v>203</v>
      </c>
      <c r="B46" t="s">
        <v>141</v>
      </c>
      <c r="C46" t="s">
        <v>142</v>
      </c>
      <c r="D46" t="s">
        <v>31</v>
      </c>
      <c r="E46" t="s">
        <v>32</v>
      </c>
      <c r="F46" s="2">
        <v>44926</v>
      </c>
      <c r="G46">
        <v>2022</v>
      </c>
      <c r="H46" t="s">
        <v>44</v>
      </c>
      <c r="I46" t="s">
        <v>45</v>
      </c>
      <c r="J46">
        <v>2</v>
      </c>
      <c r="K46">
        <v>110768</v>
      </c>
      <c r="L46">
        <v>121738</v>
      </c>
      <c r="M46">
        <v>1.099035822620251</v>
      </c>
      <c r="N46">
        <v>1.099035822620251</v>
      </c>
      <c r="O46" t="s">
        <v>143</v>
      </c>
      <c r="P46" t="s">
        <v>143</v>
      </c>
      <c r="Q46" t="s">
        <v>149</v>
      </c>
      <c r="R46">
        <v>0</v>
      </c>
      <c r="S46">
        <v>0</v>
      </c>
      <c r="T46" t="s">
        <v>31</v>
      </c>
    </row>
    <row r="47" spans="1:20" hidden="1" x14ac:dyDescent="0.3">
      <c r="A47">
        <v>203</v>
      </c>
      <c r="B47" t="s">
        <v>141</v>
      </c>
      <c r="C47" t="s">
        <v>142</v>
      </c>
      <c r="D47" t="s">
        <v>31</v>
      </c>
      <c r="E47" t="s">
        <v>32</v>
      </c>
      <c r="F47" s="2">
        <v>45107</v>
      </c>
      <c r="G47">
        <v>2023</v>
      </c>
      <c r="H47" t="s">
        <v>33</v>
      </c>
      <c r="I47" t="s">
        <v>47</v>
      </c>
      <c r="J47">
        <v>1</v>
      </c>
      <c r="K47">
        <v>123465.69985999999</v>
      </c>
      <c r="L47">
        <v>129185.069909</v>
      </c>
      <c r="M47">
        <v>1.046323554278519</v>
      </c>
      <c r="N47">
        <v>1.046323554278519</v>
      </c>
      <c r="O47" t="s">
        <v>143</v>
      </c>
      <c r="P47" t="s">
        <v>143</v>
      </c>
      <c r="Q47" t="s">
        <v>150</v>
      </c>
      <c r="R47">
        <v>0</v>
      </c>
      <c r="S47">
        <v>0</v>
      </c>
      <c r="T47" t="s">
        <v>31</v>
      </c>
    </row>
    <row r="48" spans="1:20" hidden="1" x14ac:dyDescent="0.3">
      <c r="A48">
        <v>203</v>
      </c>
      <c r="B48" t="s">
        <v>141</v>
      </c>
      <c r="C48" t="s">
        <v>142</v>
      </c>
      <c r="D48" t="s">
        <v>31</v>
      </c>
      <c r="E48" t="s">
        <v>32</v>
      </c>
      <c r="F48" s="2">
        <v>45291</v>
      </c>
      <c r="G48">
        <v>2023</v>
      </c>
      <c r="H48" t="s">
        <v>44</v>
      </c>
      <c r="I48" t="s">
        <v>49</v>
      </c>
      <c r="J48">
        <v>2</v>
      </c>
      <c r="K48">
        <v>141378.739416</v>
      </c>
      <c r="L48">
        <v>144681.981019</v>
      </c>
      <c r="M48">
        <v>1.023364486178366</v>
      </c>
      <c r="N48">
        <v>1.023364486178366</v>
      </c>
      <c r="O48" t="s">
        <v>143</v>
      </c>
      <c r="P48" t="s">
        <v>143</v>
      </c>
      <c r="Q48" t="s">
        <v>151</v>
      </c>
      <c r="R48">
        <v>0</v>
      </c>
      <c r="S48">
        <v>0</v>
      </c>
      <c r="T48" t="s">
        <v>31</v>
      </c>
    </row>
    <row r="49" spans="1:20" hidden="1" x14ac:dyDescent="0.3">
      <c r="A49">
        <v>203</v>
      </c>
      <c r="B49" t="s">
        <v>141</v>
      </c>
      <c r="C49" t="s">
        <v>142</v>
      </c>
      <c r="D49" t="s">
        <v>31</v>
      </c>
      <c r="E49" t="s">
        <v>32</v>
      </c>
      <c r="F49" s="2">
        <v>45473</v>
      </c>
      <c r="G49">
        <v>2024</v>
      </c>
      <c r="H49" t="s">
        <v>33</v>
      </c>
      <c r="I49" t="s">
        <v>51</v>
      </c>
      <c r="J49">
        <v>1</v>
      </c>
      <c r="K49">
        <v>142872.2583337345</v>
      </c>
      <c r="L49">
        <v>145741.54103414001</v>
      </c>
      <c r="M49">
        <v>1.0200828539694751</v>
      </c>
      <c r="N49">
        <v>1.0200828539694751</v>
      </c>
      <c r="O49" t="s">
        <v>143</v>
      </c>
      <c r="P49" t="s">
        <v>143</v>
      </c>
      <c r="Q49" t="s">
        <v>152</v>
      </c>
      <c r="R49">
        <v>0</v>
      </c>
      <c r="S49">
        <v>0</v>
      </c>
      <c r="T49" t="s">
        <v>31</v>
      </c>
    </row>
    <row r="50" spans="1:20" hidden="1" x14ac:dyDescent="0.3">
      <c r="A50">
        <v>203</v>
      </c>
      <c r="B50" t="s">
        <v>141</v>
      </c>
      <c r="C50" t="s">
        <v>142</v>
      </c>
      <c r="D50" t="s">
        <v>31</v>
      </c>
      <c r="E50" t="s">
        <v>32</v>
      </c>
      <c r="F50" s="2">
        <v>45657</v>
      </c>
      <c r="G50">
        <v>2024</v>
      </c>
      <c r="H50" t="s">
        <v>44</v>
      </c>
      <c r="I50" t="s">
        <v>53</v>
      </c>
      <c r="J50">
        <v>2</v>
      </c>
      <c r="K50">
        <v>146766.19433692191</v>
      </c>
      <c r="L50">
        <v>152125.58089486</v>
      </c>
      <c r="M50">
        <v>1.036516491976585</v>
      </c>
      <c r="N50">
        <v>1.036516491976585</v>
      </c>
      <c r="O50" t="s">
        <v>143</v>
      </c>
      <c r="P50" t="s">
        <v>143</v>
      </c>
      <c r="Q50" t="s">
        <v>153</v>
      </c>
      <c r="R50">
        <v>0</v>
      </c>
      <c r="S50">
        <v>0</v>
      </c>
      <c r="T50" t="s">
        <v>31</v>
      </c>
    </row>
    <row r="51" spans="1:20" hidden="1" x14ac:dyDescent="0.3">
      <c r="A51">
        <v>204</v>
      </c>
      <c r="B51" t="s">
        <v>154</v>
      </c>
      <c r="C51" t="s">
        <v>142</v>
      </c>
      <c r="D51" t="s">
        <v>31</v>
      </c>
      <c r="E51" t="s">
        <v>32</v>
      </c>
      <c r="F51" s="2">
        <v>44742</v>
      </c>
      <c r="G51">
        <v>2022</v>
      </c>
      <c r="H51" t="s">
        <v>33</v>
      </c>
      <c r="I51" t="s">
        <v>34</v>
      </c>
      <c r="J51">
        <v>1</v>
      </c>
      <c r="K51">
        <v>58804</v>
      </c>
      <c r="L51">
        <v>37101</v>
      </c>
      <c r="M51">
        <v>0.63092646758723891</v>
      </c>
      <c r="N51">
        <v>0.63092646758723891</v>
      </c>
      <c r="O51" t="s">
        <v>143</v>
      </c>
      <c r="P51" t="s">
        <v>143</v>
      </c>
      <c r="Q51" t="s">
        <v>155</v>
      </c>
      <c r="R51">
        <v>0</v>
      </c>
      <c r="S51">
        <v>0</v>
      </c>
      <c r="T51" t="s">
        <v>31</v>
      </c>
    </row>
    <row r="52" spans="1:20" hidden="1" x14ac:dyDescent="0.3">
      <c r="A52">
        <v>204</v>
      </c>
      <c r="B52" t="s">
        <v>154</v>
      </c>
      <c r="C52" t="s">
        <v>142</v>
      </c>
      <c r="D52" t="s">
        <v>31</v>
      </c>
      <c r="E52" t="s">
        <v>32</v>
      </c>
      <c r="F52" s="2">
        <v>44925</v>
      </c>
      <c r="G52">
        <v>2022</v>
      </c>
      <c r="H52" t="s">
        <v>44</v>
      </c>
      <c r="I52" t="s">
        <v>45</v>
      </c>
      <c r="J52">
        <v>2</v>
      </c>
      <c r="K52">
        <v>82987</v>
      </c>
      <c r="L52">
        <v>18386</v>
      </c>
      <c r="M52">
        <v>0.22155277332594259</v>
      </c>
      <c r="N52">
        <v>0.22155277332594259</v>
      </c>
      <c r="O52" t="s">
        <v>143</v>
      </c>
      <c r="P52" t="s">
        <v>143</v>
      </c>
      <c r="Q52" t="s">
        <v>156</v>
      </c>
      <c r="R52">
        <v>0</v>
      </c>
      <c r="S52">
        <v>0</v>
      </c>
      <c r="T52" t="s">
        <v>31</v>
      </c>
    </row>
    <row r="53" spans="1:20" hidden="1" x14ac:dyDescent="0.3">
      <c r="A53">
        <v>204</v>
      </c>
      <c r="B53" t="s">
        <v>154</v>
      </c>
      <c r="C53" t="s">
        <v>142</v>
      </c>
      <c r="D53" t="s">
        <v>31</v>
      </c>
      <c r="E53" t="s">
        <v>32</v>
      </c>
      <c r="F53" s="2">
        <v>45107</v>
      </c>
      <c r="G53">
        <v>2023</v>
      </c>
      <c r="H53" t="s">
        <v>33</v>
      </c>
      <c r="I53" t="s">
        <v>47</v>
      </c>
      <c r="J53">
        <v>1</v>
      </c>
      <c r="K53">
        <v>8772.7956340000001</v>
      </c>
      <c r="L53">
        <v>17085.606216</v>
      </c>
      <c r="M53">
        <v>1.3</v>
      </c>
      <c r="N53">
        <v>1.9475668793403469</v>
      </c>
      <c r="O53" t="s">
        <v>143</v>
      </c>
      <c r="P53" t="s">
        <v>143</v>
      </c>
      <c r="Q53" t="s">
        <v>157</v>
      </c>
      <c r="R53">
        <v>0</v>
      </c>
      <c r="S53">
        <v>0</v>
      </c>
      <c r="T53" t="s">
        <v>31</v>
      </c>
    </row>
    <row r="54" spans="1:20" hidden="1" x14ac:dyDescent="0.3">
      <c r="A54">
        <v>204</v>
      </c>
      <c r="B54" t="s">
        <v>154</v>
      </c>
      <c r="C54" t="s">
        <v>142</v>
      </c>
      <c r="D54" t="s">
        <v>31</v>
      </c>
      <c r="E54" t="s">
        <v>32</v>
      </c>
      <c r="F54" s="2">
        <v>45291</v>
      </c>
      <c r="G54">
        <v>2023</v>
      </c>
      <c r="H54" t="s">
        <v>44</v>
      </c>
      <c r="I54" t="s">
        <v>49</v>
      </c>
      <c r="J54">
        <v>2</v>
      </c>
      <c r="K54">
        <v>78073.811390316565</v>
      </c>
      <c r="L54">
        <v>123931.15668299999</v>
      </c>
      <c r="M54">
        <v>1.3</v>
      </c>
      <c r="N54">
        <v>1.5873588656179161</v>
      </c>
      <c r="O54" t="s">
        <v>143</v>
      </c>
      <c r="P54" t="s">
        <v>143</v>
      </c>
      <c r="Q54" t="s">
        <v>158</v>
      </c>
      <c r="R54">
        <v>0</v>
      </c>
      <c r="S54">
        <v>0</v>
      </c>
      <c r="T54" t="s">
        <v>31</v>
      </c>
    </row>
    <row r="55" spans="1:20" hidden="1" x14ac:dyDescent="0.3">
      <c r="A55">
        <v>204</v>
      </c>
      <c r="B55" t="s">
        <v>154</v>
      </c>
      <c r="C55" t="s">
        <v>142</v>
      </c>
      <c r="D55" t="s">
        <v>31</v>
      </c>
      <c r="E55" t="s">
        <v>32</v>
      </c>
      <c r="F55" s="2">
        <v>45473</v>
      </c>
      <c r="G55">
        <v>2024</v>
      </c>
      <c r="H55" t="s">
        <v>33</v>
      </c>
      <c r="I55" t="s">
        <v>51</v>
      </c>
      <c r="J55">
        <v>1</v>
      </c>
      <c r="K55">
        <v>20714.519157999999</v>
      </c>
      <c r="L55">
        <v>27665.037063</v>
      </c>
      <c r="M55">
        <v>1.3</v>
      </c>
      <c r="N55">
        <v>1.335538462273004</v>
      </c>
      <c r="O55" t="s">
        <v>143</v>
      </c>
      <c r="P55" t="s">
        <v>143</v>
      </c>
      <c r="Q55" t="s">
        <v>159</v>
      </c>
      <c r="R55">
        <v>0</v>
      </c>
      <c r="S55">
        <v>0</v>
      </c>
      <c r="T55" t="s">
        <v>31</v>
      </c>
    </row>
    <row r="56" spans="1:20" hidden="1" x14ac:dyDescent="0.3">
      <c r="A56">
        <v>204</v>
      </c>
      <c r="B56" t="s">
        <v>154</v>
      </c>
      <c r="C56" t="s">
        <v>142</v>
      </c>
      <c r="D56" t="s">
        <v>31</v>
      </c>
      <c r="E56" t="s">
        <v>32</v>
      </c>
      <c r="F56" s="2">
        <v>45657</v>
      </c>
      <c r="G56">
        <v>2024</v>
      </c>
      <c r="H56" t="s">
        <v>44</v>
      </c>
      <c r="I56" t="s">
        <v>53</v>
      </c>
      <c r="J56">
        <v>2</v>
      </c>
      <c r="K56">
        <v>101459.98229760421</v>
      </c>
      <c r="L56">
        <v>149297.71176100001</v>
      </c>
      <c r="M56">
        <v>1.3</v>
      </c>
      <c r="N56">
        <v>1.335538462273004</v>
      </c>
      <c r="O56" t="s">
        <v>143</v>
      </c>
      <c r="P56" t="s">
        <v>143</v>
      </c>
      <c r="Q56" t="s">
        <v>160</v>
      </c>
      <c r="R56">
        <v>0</v>
      </c>
      <c r="S56">
        <v>0</v>
      </c>
      <c r="T56" t="s">
        <v>31</v>
      </c>
    </row>
    <row r="57" spans="1:20" hidden="1" x14ac:dyDescent="0.3">
      <c r="A57">
        <v>205</v>
      </c>
      <c r="B57" t="s">
        <v>161</v>
      </c>
      <c r="C57" t="s">
        <v>142</v>
      </c>
      <c r="D57" t="s">
        <v>31</v>
      </c>
      <c r="E57" t="s">
        <v>32</v>
      </c>
      <c r="F57" s="2">
        <v>45107</v>
      </c>
      <c r="G57">
        <v>2023</v>
      </c>
      <c r="H57" t="s">
        <v>33</v>
      </c>
      <c r="I57" t="s">
        <v>47</v>
      </c>
      <c r="J57">
        <v>1</v>
      </c>
      <c r="K57">
        <v>2622.5539939999999</v>
      </c>
      <c r="L57">
        <v>4338.4199079999999</v>
      </c>
      <c r="M57">
        <v>1.3</v>
      </c>
      <c r="N57">
        <v>1.654272864515139</v>
      </c>
      <c r="O57" t="s">
        <v>143</v>
      </c>
      <c r="P57" t="s">
        <v>143</v>
      </c>
      <c r="Q57" t="s">
        <v>162</v>
      </c>
      <c r="R57">
        <v>0</v>
      </c>
      <c r="S57">
        <v>0</v>
      </c>
      <c r="T57" t="s">
        <v>31</v>
      </c>
    </row>
    <row r="58" spans="1:20" hidden="1" x14ac:dyDescent="0.3">
      <c r="A58">
        <v>205</v>
      </c>
      <c r="B58" t="s">
        <v>161</v>
      </c>
      <c r="C58" t="s">
        <v>142</v>
      </c>
      <c r="D58" t="s">
        <v>31</v>
      </c>
      <c r="E58" t="s">
        <v>32</v>
      </c>
      <c r="F58" s="2">
        <v>45291</v>
      </c>
      <c r="G58">
        <v>2023</v>
      </c>
      <c r="H58" t="s">
        <v>44</v>
      </c>
      <c r="I58" t="s">
        <v>49</v>
      </c>
      <c r="J58">
        <v>2</v>
      </c>
      <c r="K58">
        <v>2041.786670711695</v>
      </c>
      <c r="L58">
        <v>7345.4747770000004</v>
      </c>
      <c r="M58">
        <v>1.3</v>
      </c>
      <c r="N58">
        <v>3.597572107981108</v>
      </c>
      <c r="O58" t="s">
        <v>143</v>
      </c>
      <c r="P58" t="s">
        <v>143</v>
      </c>
      <c r="Q58" t="s">
        <v>163</v>
      </c>
      <c r="R58">
        <v>0</v>
      </c>
      <c r="S58">
        <v>0</v>
      </c>
      <c r="T58" t="s">
        <v>31</v>
      </c>
    </row>
    <row r="59" spans="1:20" hidden="1" x14ac:dyDescent="0.3">
      <c r="A59">
        <v>205</v>
      </c>
      <c r="B59" t="s">
        <v>161</v>
      </c>
      <c r="C59" t="s">
        <v>142</v>
      </c>
      <c r="D59" t="s">
        <v>31</v>
      </c>
      <c r="E59" t="s">
        <v>32</v>
      </c>
      <c r="F59" s="2">
        <v>45473</v>
      </c>
      <c r="G59">
        <v>2024</v>
      </c>
      <c r="H59" t="s">
        <v>33</v>
      </c>
      <c r="I59" t="s">
        <v>51</v>
      </c>
      <c r="J59">
        <v>1</v>
      </c>
      <c r="K59">
        <v>2039.2370430000001</v>
      </c>
      <c r="L59">
        <v>4385.721681</v>
      </c>
      <c r="M59">
        <v>1.3</v>
      </c>
      <c r="N59">
        <v>2.1506679157553932</v>
      </c>
      <c r="O59" t="s">
        <v>143</v>
      </c>
      <c r="P59" t="s">
        <v>143</v>
      </c>
      <c r="Q59" t="s">
        <v>164</v>
      </c>
      <c r="R59">
        <v>0</v>
      </c>
      <c r="S59">
        <v>0</v>
      </c>
      <c r="T59" t="s">
        <v>31</v>
      </c>
    </row>
    <row r="60" spans="1:20" hidden="1" x14ac:dyDescent="0.3">
      <c r="A60">
        <v>205</v>
      </c>
      <c r="B60" t="s">
        <v>161</v>
      </c>
      <c r="C60" t="s">
        <v>142</v>
      </c>
      <c r="D60" t="s">
        <v>31</v>
      </c>
      <c r="E60" t="s">
        <v>32</v>
      </c>
      <c r="F60" s="2">
        <v>45657</v>
      </c>
      <c r="G60">
        <v>2024</v>
      </c>
      <c r="H60" t="s">
        <v>44</v>
      </c>
      <c r="I60" t="s">
        <v>53</v>
      </c>
      <c r="J60">
        <v>2</v>
      </c>
      <c r="K60">
        <v>2783.2196537144901</v>
      </c>
      <c r="L60">
        <v>5092.3929009999993</v>
      </c>
      <c r="M60">
        <v>1.3</v>
      </c>
      <c r="N60">
        <v>1.829676969334304</v>
      </c>
      <c r="O60" t="s">
        <v>143</v>
      </c>
      <c r="P60" t="s">
        <v>143</v>
      </c>
      <c r="Q60" t="s">
        <v>165</v>
      </c>
      <c r="R60">
        <v>0</v>
      </c>
      <c r="S60">
        <v>0</v>
      </c>
      <c r="T60" t="s">
        <v>31</v>
      </c>
    </row>
    <row r="61" spans="1:20" hidden="1" x14ac:dyDescent="0.3">
      <c r="A61">
        <v>206</v>
      </c>
      <c r="B61" t="s">
        <v>166</v>
      </c>
      <c r="C61" t="s">
        <v>142</v>
      </c>
      <c r="D61" t="s">
        <v>31</v>
      </c>
      <c r="E61" t="s">
        <v>32</v>
      </c>
      <c r="F61" s="2">
        <v>45107</v>
      </c>
      <c r="G61">
        <v>2023</v>
      </c>
      <c r="H61" t="s">
        <v>33</v>
      </c>
      <c r="I61" t="s">
        <v>47</v>
      </c>
      <c r="J61">
        <v>1</v>
      </c>
      <c r="K61">
        <v>1302.483921</v>
      </c>
      <c r="L61">
        <v>1606.86814</v>
      </c>
      <c r="M61">
        <v>1.2336951835584311</v>
      </c>
      <c r="N61">
        <v>1.2336951835584311</v>
      </c>
      <c r="O61" t="s">
        <v>143</v>
      </c>
      <c r="P61" t="s">
        <v>143</v>
      </c>
      <c r="Q61" t="s">
        <v>167</v>
      </c>
      <c r="R61">
        <v>0</v>
      </c>
      <c r="S61">
        <v>0</v>
      </c>
      <c r="T61" t="s">
        <v>31</v>
      </c>
    </row>
    <row r="62" spans="1:20" hidden="1" x14ac:dyDescent="0.3">
      <c r="A62">
        <v>206</v>
      </c>
      <c r="B62" t="s">
        <v>166</v>
      </c>
      <c r="C62" t="s">
        <v>142</v>
      </c>
      <c r="D62" t="s">
        <v>31</v>
      </c>
      <c r="E62" t="s">
        <v>32</v>
      </c>
      <c r="F62" s="2">
        <v>45291</v>
      </c>
      <c r="G62">
        <v>2023</v>
      </c>
      <c r="H62" t="s">
        <v>44</v>
      </c>
      <c r="I62" t="s">
        <v>49</v>
      </c>
      <c r="J62">
        <v>2</v>
      </c>
      <c r="K62">
        <v>1302.483921</v>
      </c>
      <c r="L62">
        <v>6000.2702790000003</v>
      </c>
      <c r="M62">
        <v>4.6067902891217347</v>
      </c>
      <c r="N62">
        <v>4.6067902891217347</v>
      </c>
      <c r="O62" t="s">
        <v>143</v>
      </c>
      <c r="P62" t="s">
        <v>143</v>
      </c>
      <c r="Q62" t="s">
        <v>168</v>
      </c>
      <c r="R62">
        <v>0</v>
      </c>
      <c r="S62">
        <v>0</v>
      </c>
      <c r="T62" t="s">
        <v>31</v>
      </c>
    </row>
    <row r="63" spans="1:20" hidden="1" x14ac:dyDescent="0.3">
      <c r="A63">
        <v>206</v>
      </c>
      <c r="B63" t="s">
        <v>166</v>
      </c>
      <c r="C63" t="s">
        <v>142</v>
      </c>
      <c r="D63" t="s">
        <v>31</v>
      </c>
      <c r="E63" t="s">
        <v>32</v>
      </c>
      <c r="F63" s="2">
        <v>45657</v>
      </c>
      <c r="G63">
        <v>2024</v>
      </c>
      <c r="H63" t="s">
        <v>44</v>
      </c>
      <c r="I63" t="s">
        <v>53</v>
      </c>
      <c r="J63">
        <v>2</v>
      </c>
      <c r="O63" t="s">
        <v>143</v>
      </c>
      <c r="P63" t="s">
        <v>143</v>
      </c>
      <c r="Q63" t="s">
        <v>169</v>
      </c>
      <c r="R63">
        <v>0</v>
      </c>
      <c r="S63">
        <v>0</v>
      </c>
      <c r="T63" t="s">
        <v>31</v>
      </c>
    </row>
    <row r="64" spans="1:20" hidden="1" x14ac:dyDescent="0.3">
      <c r="A64">
        <v>207</v>
      </c>
      <c r="B64" t="s">
        <v>170</v>
      </c>
      <c r="C64" t="s">
        <v>142</v>
      </c>
      <c r="D64" t="s">
        <v>31</v>
      </c>
      <c r="E64" t="s">
        <v>171</v>
      </c>
      <c r="F64" s="2">
        <v>45107</v>
      </c>
      <c r="G64">
        <v>2023</v>
      </c>
      <c r="H64" t="s">
        <v>33</v>
      </c>
      <c r="I64" t="s">
        <v>47</v>
      </c>
      <c r="J64">
        <v>1</v>
      </c>
      <c r="K64">
        <v>114640.77968199999</v>
      </c>
      <c r="L64">
        <v>116015.126638</v>
      </c>
      <c r="M64">
        <v>0.98815372619220287</v>
      </c>
      <c r="N64">
        <v>0.98815372619220287</v>
      </c>
      <c r="O64" t="s">
        <v>143</v>
      </c>
      <c r="P64" t="s">
        <v>143</v>
      </c>
      <c r="Q64" t="s">
        <v>172</v>
      </c>
      <c r="R64">
        <v>0</v>
      </c>
      <c r="S64">
        <v>0</v>
      </c>
      <c r="T64" t="s">
        <v>31</v>
      </c>
    </row>
    <row r="65" spans="1:20" hidden="1" x14ac:dyDescent="0.3">
      <c r="A65">
        <v>207</v>
      </c>
      <c r="B65" t="s">
        <v>170</v>
      </c>
      <c r="C65" t="s">
        <v>142</v>
      </c>
      <c r="D65" t="s">
        <v>31</v>
      </c>
      <c r="E65" t="s">
        <v>171</v>
      </c>
      <c r="F65" s="2">
        <v>45291</v>
      </c>
      <c r="G65">
        <v>2023</v>
      </c>
      <c r="H65" t="s">
        <v>44</v>
      </c>
      <c r="I65" t="s">
        <v>49</v>
      </c>
      <c r="J65">
        <v>2</v>
      </c>
      <c r="K65">
        <v>238770.96657245801</v>
      </c>
      <c r="L65">
        <v>247359.733075</v>
      </c>
      <c r="M65">
        <v>0.96527823507984689</v>
      </c>
      <c r="N65">
        <v>0.96527823507984689</v>
      </c>
      <c r="O65" t="s">
        <v>143</v>
      </c>
      <c r="P65" t="s">
        <v>143</v>
      </c>
      <c r="Q65" t="s">
        <v>173</v>
      </c>
      <c r="R65">
        <v>0</v>
      </c>
      <c r="S65">
        <v>0</v>
      </c>
      <c r="T65" t="s">
        <v>31</v>
      </c>
    </row>
    <row r="66" spans="1:20" hidden="1" x14ac:dyDescent="0.3">
      <c r="A66">
        <v>207</v>
      </c>
      <c r="B66" t="s">
        <v>170</v>
      </c>
      <c r="C66" t="s">
        <v>142</v>
      </c>
      <c r="D66" t="s">
        <v>31</v>
      </c>
      <c r="E66" t="s">
        <v>171</v>
      </c>
      <c r="F66" s="2">
        <v>45473</v>
      </c>
      <c r="G66">
        <v>2024</v>
      </c>
      <c r="H66" t="s">
        <v>33</v>
      </c>
      <c r="I66" t="s">
        <v>51</v>
      </c>
      <c r="J66">
        <v>1</v>
      </c>
      <c r="K66">
        <v>128735.29679399999</v>
      </c>
      <c r="L66">
        <v>131039.3223</v>
      </c>
      <c r="M66">
        <v>1.017897387611471</v>
      </c>
      <c r="N66">
        <v>1.017897387611471</v>
      </c>
      <c r="O66" t="s">
        <v>143</v>
      </c>
      <c r="P66" t="s">
        <v>143</v>
      </c>
      <c r="Q66" t="s">
        <v>174</v>
      </c>
      <c r="R66">
        <v>0</v>
      </c>
      <c r="S66">
        <v>0</v>
      </c>
      <c r="T66" t="s">
        <v>31</v>
      </c>
    </row>
    <row r="67" spans="1:20" hidden="1" x14ac:dyDescent="0.3">
      <c r="A67">
        <v>207</v>
      </c>
      <c r="B67" t="s">
        <v>170</v>
      </c>
      <c r="C67" t="s">
        <v>142</v>
      </c>
      <c r="D67" t="s">
        <v>31</v>
      </c>
      <c r="E67" t="s">
        <v>171</v>
      </c>
      <c r="F67" s="2">
        <v>45657</v>
      </c>
      <c r="G67">
        <v>2024</v>
      </c>
      <c r="H67" t="s">
        <v>44</v>
      </c>
      <c r="I67" t="s">
        <v>53</v>
      </c>
      <c r="J67">
        <v>2</v>
      </c>
      <c r="K67">
        <v>262628.34438982193</v>
      </c>
      <c r="L67">
        <v>268399.19981700002</v>
      </c>
      <c r="M67">
        <v>1.017897387611471</v>
      </c>
      <c r="N67">
        <v>1.017897387611471</v>
      </c>
      <c r="O67" t="s">
        <v>143</v>
      </c>
      <c r="P67" t="s">
        <v>143</v>
      </c>
      <c r="Q67" t="s">
        <v>175</v>
      </c>
      <c r="R67">
        <v>0</v>
      </c>
      <c r="S67">
        <v>0</v>
      </c>
      <c r="T67" t="s">
        <v>31</v>
      </c>
    </row>
    <row r="68" spans="1:20" hidden="1" x14ac:dyDescent="0.3">
      <c r="A68">
        <v>228</v>
      </c>
      <c r="B68" t="s">
        <v>176</v>
      </c>
      <c r="C68" t="s">
        <v>177</v>
      </c>
      <c r="D68" t="s">
        <v>66</v>
      </c>
      <c r="E68" t="s">
        <v>32</v>
      </c>
      <c r="F68" s="2">
        <v>44926</v>
      </c>
      <c r="G68">
        <v>2022</v>
      </c>
      <c r="H68" t="s">
        <v>44</v>
      </c>
      <c r="I68" t="s">
        <v>45</v>
      </c>
      <c r="J68">
        <v>2</v>
      </c>
      <c r="K68">
        <v>100</v>
      </c>
      <c r="L68">
        <v>100.11</v>
      </c>
      <c r="M68">
        <v>1.0011000000000001</v>
      </c>
      <c r="N68">
        <v>1.0011000000000001</v>
      </c>
      <c r="Q68" t="s">
        <v>178</v>
      </c>
      <c r="R68">
        <v>1</v>
      </c>
      <c r="S68">
        <v>1</v>
      </c>
      <c r="T68" t="s">
        <v>31</v>
      </c>
    </row>
    <row r="69" spans="1:20" hidden="1" x14ac:dyDescent="0.3">
      <c r="A69">
        <v>228</v>
      </c>
      <c r="B69" t="s">
        <v>176</v>
      </c>
      <c r="C69" t="s">
        <v>177</v>
      </c>
      <c r="D69" t="s">
        <v>66</v>
      </c>
      <c r="E69" t="s">
        <v>32</v>
      </c>
      <c r="F69" s="2">
        <v>45657</v>
      </c>
      <c r="G69">
        <v>2024</v>
      </c>
      <c r="H69" t="s">
        <v>44</v>
      </c>
      <c r="I69" t="s">
        <v>53</v>
      </c>
      <c r="J69">
        <v>2</v>
      </c>
      <c r="Q69" t="s">
        <v>181</v>
      </c>
      <c r="R69">
        <v>0</v>
      </c>
      <c r="S69">
        <v>0</v>
      </c>
      <c r="T69" t="s">
        <v>31</v>
      </c>
    </row>
    <row r="70" spans="1:20" hidden="1" x14ac:dyDescent="0.3">
      <c r="A70">
        <v>244</v>
      </c>
      <c r="B70" t="s">
        <v>182</v>
      </c>
      <c r="C70" t="s">
        <v>177</v>
      </c>
      <c r="D70" t="s">
        <v>66</v>
      </c>
      <c r="E70" t="s">
        <v>171</v>
      </c>
      <c r="F70" s="2">
        <v>45291</v>
      </c>
      <c r="G70">
        <v>2023</v>
      </c>
      <c r="H70" t="s">
        <v>44</v>
      </c>
      <c r="I70" t="s">
        <v>49</v>
      </c>
      <c r="J70">
        <v>2</v>
      </c>
      <c r="K70">
        <v>25</v>
      </c>
      <c r="L70">
        <v>24</v>
      </c>
      <c r="M70">
        <v>1.041666666666667</v>
      </c>
      <c r="N70">
        <v>1.041666666666667</v>
      </c>
      <c r="Q70" t="s">
        <v>183</v>
      </c>
      <c r="R70">
        <v>0</v>
      </c>
      <c r="S70">
        <v>0</v>
      </c>
      <c r="T70" t="s">
        <v>31</v>
      </c>
    </row>
    <row r="71" spans="1:20" hidden="1" x14ac:dyDescent="0.3">
      <c r="A71">
        <v>244</v>
      </c>
      <c r="B71" t="s">
        <v>182</v>
      </c>
      <c r="C71" t="s">
        <v>177</v>
      </c>
      <c r="D71" t="s">
        <v>66</v>
      </c>
      <c r="E71" t="s">
        <v>171</v>
      </c>
      <c r="F71" s="2">
        <v>45657</v>
      </c>
      <c r="G71">
        <v>2024</v>
      </c>
      <c r="H71" t="s">
        <v>44</v>
      </c>
      <c r="I71" t="s">
        <v>53</v>
      </c>
      <c r="J71">
        <v>2</v>
      </c>
      <c r="K71">
        <v>25</v>
      </c>
      <c r="L71">
        <v>25</v>
      </c>
      <c r="M71">
        <v>1</v>
      </c>
      <c r="N71">
        <v>1</v>
      </c>
      <c r="Q71" t="s">
        <v>184</v>
      </c>
      <c r="R71">
        <v>0</v>
      </c>
      <c r="S71">
        <v>0</v>
      </c>
      <c r="T71" t="s">
        <v>31</v>
      </c>
    </row>
    <row r="72" spans="1:20" hidden="1" x14ac:dyDescent="0.3">
      <c r="A72">
        <v>245</v>
      </c>
      <c r="B72" t="s">
        <v>185</v>
      </c>
      <c r="C72" t="s">
        <v>186</v>
      </c>
      <c r="D72" t="s">
        <v>31</v>
      </c>
      <c r="E72" t="s">
        <v>32</v>
      </c>
      <c r="F72" s="2">
        <v>44742</v>
      </c>
      <c r="G72">
        <v>2022</v>
      </c>
      <c r="H72" t="s">
        <v>33</v>
      </c>
      <c r="I72" t="s">
        <v>34</v>
      </c>
      <c r="J72">
        <v>1</v>
      </c>
      <c r="K72">
        <v>88.5</v>
      </c>
      <c r="L72">
        <v>87</v>
      </c>
      <c r="M72">
        <v>0.98305084745762716</v>
      </c>
      <c r="N72">
        <v>0.98305084745762716</v>
      </c>
      <c r="O72" t="s">
        <v>58</v>
      </c>
      <c r="P72" t="s">
        <v>58</v>
      </c>
      <c r="Q72" t="s">
        <v>187</v>
      </c>
      <c r="R72">
        <v>0</v>
      </c>
      <c r="S72">
        <v>0</v>
      </c>
      <c r="T72" t="s">
        <v>31</v>
      </c>
    </row>
    <row r="73" spans="1:20" hidden="1" x14ac:dyDescent="0.3">
      <c r="A73">
        <v>245</v>
      </c>
      <c r="B73" t="s">
        <v>185</v>
      </c>
      <c r="C73" t="s">
        <v>186</v>
      </c>
      <c r="D73" t="s">
        <v>31</v>
      </c>
      <c r="E73" t="s">
        <v>32</v>
      </c>
      <c r="F73" s="2">
        <v>44926</v>
      </c>
      <c r="G73">
        <v>2022</v>
      </c>
      <c r="H73" t="s">
        <v>44</v>
      </c>
      <c r="I73" t="s">
        <v>45</v>
      </c>
      <c r="J73">
        <v>2</v>
      </c>
      <c r="K73">
        <v>88.5</v>
      </c>
      <c r="L73">
        <v>85.9</v>
      </c>
      <c r="M73">
        <v>0.97062146892655377</v>
      </c>
      <c r="N73">
        <v>0.97062146892655377</v>
      </c>
      <c r="O73" t="s">
        <v>58</v>
      </c>
      <c r="P73" t="s">
        <v>58</v>
      </c>
      <c r="Q73" t="s">
        <v>188</v>
      </c>
      <c r="R73">
        <v>0</v>
      </c>
      <c r="S73">
        <v>0</v>
      </c>
      <c r="T73" t="s">
        <v>31</v>
      </c>
    </row>
    <row r="74" spans="1:20" hidden="1" x14ac:dyDescent="0.3">
      <c r="A74">
        <v>245</v>
      </c>
      <c r="B74" t="s">
        <v>185</v>
      </c>
      <c r="C74" t="s">
        <v>186</v>
      </c>
      <c r="D74" t="s">
        <v>31</v>
      </c>
      <c r="E74" t="s">
        <v>32</v>
      </c>
      <c r="F74" s="2">
        <v>45107</v>
      </c>
      <c r="G74">
        <v>2023</v>
      </c>
      <c r="H74" t="s">
        <v>33</v>
      </c>
      <c r="I74" t="s">
        <v>47</v>
      </c>
      <c r="J74">
        <v>1</v>
      </c>
      <c r="K74">
        <v>87</v>
      </c>
      <c r="L74">
        <v>85.12</v>
      </c>
      <c r="M74">
        <v>0.97839080459770122</v>
      </c>
      <c r="N74">
        <v>0.97839080459770122</v>
      </c>
      <c r="O74" t="s">
        <v>58</v>
      </c>
      <c r="P74" t="s">
        <v>58</v>
      </c>
      <c r="Q74" t="s">
        <v>189</v>
      </c>
      <c r="R74">
        <v>0</v>
      </c>
      <c r="S74">
        <v>0</v>
      </c>
      <c r="T74" t="s">
        <v>31</v>
      </c>
    </row>
    <row r="75" spans="1:20" hidden="1" x14ac:dyDescent="0.3">
      <c r="A75">
        <v>245</v>
      </c>
      <c r="B75" t="s">
        <v>185</v>
      </c>
      <c r="C75" t="s">
        <v>186</v>
      </c>
      <c r="D75" t="s">
        <v>31</v>
      </c>
      <c r="E75" t="s">
        <v>32</v>
      </c>
      <c r="F75" s="2">
        <v>45291</v>
      </c>
      <c r="G75">
        <v>2023</v>
      </c>
      <c r="H75" t="s">
        <v>44</v>
      </c>
      <c r="I75" t="s">
        <v>49</v>
      </c>
      <c r="J75">
        <v>2</v>
      </c>
      <c r="K75">
        <v>87</v>
      </c>
      <c r="L75">
        <v>85.38</v>
      </c>
      <c r="M75">
        <v>0.9813793103448275</v>
      </c>
      <c r="N75">
        <v>0.9813793103448275</v>
      </c>
      <c r="O75" t="s">
        <v>58</v>
      </c>
      <c r="P75" t="s">
        <v>58</v>
      </c>
      <c r="Q75" t="s">
        <v>190</v>
      </c>
      <c r="R75">
        <v>0</v>
      </c>
      <c r="S75">
        <v>0</v>
      </c>
      <c r="T75" t="s">
        <v>31</v>
      </c>
    </row>
    <row r="76" spans="1:20" hidden="1" x14ac:dyDescent="0.3">
      <c r="A76">
        <v>245</v>
      </c>
      <c r="B76" t="s">
        <v>185</v>
      </c>
      <c r="C76" t="s">
        <v>186</v>
      </c>
      <c r="D76" t="s">
        <v>31</v>
      </c>
      <c r="E76" t="s">
        <v>32</v>
      </c>
      <c r="F76" s="2">
        <v>45473</v>
      </c>
      <c r="G76">
        <v>2024</v>
      </c>
      <c r="H76" t="s">
        <v>33</v>
      </c>
      <c r="I76" t="s">
        <v>51</v>
      </c>
      <c r="J76">
        <v>1</v>
      </c>
      <c r="K76">
        <v>85</v>
      </c>
      <c r="L76">
        <v>85.13</v>
      </c>
      <c r="M76">
        <v>1.001529411764706</v>
      </c>
      <c r="N76">
        <v>1.001529411764706</v>
      </c>
      <c r="O76" t="s">
        <v>58</v>
      </c>
      <c r="P76" t="s">
        <v>58</v>
      </c>
      <c r="Q76" t="s">
        <v>191</v>
      </c>
      <c r="R76">
        <v>0</v>
      </c>
      <c r="S76">
        <v>0</v>
      </c>
      <c r="T76" t="s">
        <v>31</v>
      </c>
    </row>
    <row r="77" spans="1:20" hidden="1" x14ac:dyDescent="0.3">
      <c r="A77">
        <v>245</v>
      </c>
      <c r="B77" t="s">
        <v>185</v>
      </c>
      <c r="C77" t="s">
        <v>186</v>
      </c>
      <c r="D77" t="s">
        <v>31</v>
      </c>
      <c r="E77" t="s">
        <v>32</v>
      </c>
      <c r="F77" s="2">
        <v>45657</v>
      </c>
      <c r="G77">
        <v>2024</v>
      </c>
      <c r="H77" t="s">
        <v>44</v>
      </c>
      <c r="I77" t="s">
        <v>53</v>
      </c>
      <c r="J77">
        <v>2</v>
      </c>
      <c r="K77">
        <v>85</v>
      </c>
      <c r="L77">
        <v>85.19</v>
      </c>
      <c r="M77">
        <v>1.0022352941176469</v>
      </c>
      <c r="N77">
        <v>1.0022352941176469</v>
      </c>
      <c r="Q77" t="s">
        <v>192</v>
      </c>
      <c r="R77">
        <v>0</v>
      </c>
      <c r="S77">
        <v>0</v>
      </c>
      <c r="T77" t="s">
        <v>31</v>
      </c>
    </row>
    <row r="78" spans="1:20" hidden="1" x14ac:dyDescent="0.3">
      <c r="A78">
        <v>274</v>
      </c>
      <c r="B78" t="s">
        <v>193</v>
      </c>
      <c r="C78" t="s">
        <v>194</v>
      </c>
      <c r="D78" t="s">
        <v>31</v>
      </c>
      <c r="E78" t="s">
        <v>32</v>
      </c>
      <c r="F78" s="2">
        <v>44742</v>
      </c>
      <c r="G78">
        <v>2022</v>
      </c>
      <c r="H78" t="s">
        <v>33</v>
      </c>
      <c r="I78" t="s">
        <v>34</v>
      </c>
      <c r="J78">
        <v>1</v>
      </c>
      <c r="K78">
        <v>39623</v>
      </c>
      <c r="L78">
        <v>40000</v>
      </c>
      <c r="M78">
        <v>1.0095146758196001</v>
      </c>
      <c r="N78">
        <v>1.0095146758196001</v>
      </c>
      <c r="O78" t="s">
        <v>35</v>
      </c>
      <c r="P78" t="s">
        <v>35</v>
      </c>
      <c r="Q78" t="s">
        <v>195</v>
      </c>
      <c r="R78">
        <v>0</v>
      </c>
      <c r="S78">
        <v>0</v>
      </c>
      <c r="T78" t="s">
        <v>31</v>
      </c>
    </row>
    <row r="79" spans="1:20" hidden="1" x14ac:dyDescent="0.3">
      <c r="A79">
        <v>274</v>
      </c>
      <c r="B79" t="s">
        <v>193</v>
      </c>
      <c r="C79" t="s">
        <v>194</v>
      </c>
      <c r="D79" t="s">
        <v>31</v>
      </c>
      <c r="E79" t="s">
        <v>32</v>
      </c>
      <c r="F79" s="2">
        <v>44926</v>
      </c>
      <c r="G79">
        <v>2022</v>
      </c>
      <c r="H79" t="s">
        <v>44</v>
      </c>
      <c r="I79" t="s">
        <v>45</v>
      </c>
      <c r="J79">
        <v>2</v>
      </c>
      <c r="K79">
        <v>39817</v>
      </c>
      <c r="L79">
        <v>40663</v>
      </c>
      <c r="M79">
        <v>1.0212472059672999</v>
      </c>
      <c r="N79">
        <v>1.0212472059672999</v>
      </c>
      <c r="O79" t="s">
        <v>35</v>
      </c>
      <c r="P79" t="s">
        <v>35</v>
      </c>
      <c r="Q79" t="s">
        <v>196</v>
      </c>
      <c r="R79">
        <v>0</v>
      </c>
      <c r="S79">
        <v>0</v>
      </c>
      <c r="T79" t="s">
        <v>31</v>
      </c>
    </row>
    <row r="80" spans="1:20" hidden="1" x14ac:dyDescent="0.3">
      <c r="A80">
        <v>274</v>
      </c>
      <c r="B80" t="s">
        <v>193</v>
      </c>
      <c r="C80" t="s">
        <v>194</v>
      </c>
      <c r="D80" t="s">
        <v>31</v>
      </c>
      <c r="E80" t="s">
        <v>32</v>
      </c>
      <c r="F80" s="2">
        <v>45107</v>
      </c>
      <c r="G80">
        <v>2023</v>
      </c>
      <c r="H80" t="s">
        <v>33</v>
      </c>
      <c r="I80" t="s">
        <v>47</v>
      </c>
      <c r="J80">
        <v>1</v>
      </c>
      <c r="K80">
        <v>40047</v>
      </c>
      <c r="L80">
        <v>39091</v>
      </c>
      <c r="M80">
        <v>0.97612804954178845</v>
      </c>
      <c r="N80">
        <v>0.97612804954178845</v>
      </c>
      <c r="O80" t="s">
        <v>35</v>
      </c>
      <c r="P80" t="s">
        <v>35</v>
      </c>
      <c r="Q80" t="s">
        <v>197</v>
      </c>
      <c r="R80">
        <v>0</v>
      </c>
      <c r="S80">
        <v>0</v>
      </c>
      <c r="T80" t="s">
        <v>31</v>
      </c>
    </row>
    <row r="81" spans="1:20" hidden="1" x14ac:dyDescent="0.3">
      <c r="A81">
        <v>274</v>
      </c>
      <c r="B81" t="s">
        <v>193</v>
      </c>
      <c r="C81" t="s">
        <v>194</v>
      </c>
      <c r="D81" t="s">
        <v>31</v>
      </c>
      <c r="E81" t="s">
        <v>32</v>
      </c>
      <c r="F81" s="2">
        <v>45291</v>
      </c>
      <c r="G81">
        <v>2023</v>
      </c>
      <c r="H81" t="s">
        <v>44</v>
      </c>
      <c r="I81" t="s">
        <v>49</v>
      </c>
      <c r="J81">
        <v>2</v>
      </c>
      <c r="K81">
        <v>41811</v>
      </c>
      <c r="L81">
        <v>40771</v>
      </c>
      <c r="M81">
        <v>0.97512616297146681</v>
      </c>
      <c r="N81">
        <v>0.97512616297146681</v>
      </c>
      <c r="O81" t="s">
        <v>35</v>
      </c>
      <c r="P81" t="s">
        <v>35</v>
      </c>
      <c r="Q81" t="s">
        <v>198</v>
      </c>
      <c r="R81">
        <v>0</v>
      </c>
      <c r="S81">
        <v>0</v>
      </c>
      <c r="T81" t="s">
        <v>31</v>
      </c>
    </row>
    <row r="82" spans="1:20" hidden="1" x14ac:dyDescent="0.3">
      <c r="A82">
        <v>274</v>
      </c>
      <c r="B82" t="s">
        <v>193</v>
      </c>
      <c r="C82" t="s">
        <v>194</v>
      </c>
      <c r="D82" t="s">
        <v>31</v>
      </c>
      <c r="E82" t="s">
        <v>32</v>
      </c>
      <c r="F82" s="2">
        <v>45473</v>
      </c>
      <c r="G82">
        <v>2024</v>
      </c>
      <c r="H82" t="s">
        <v>33</v>
      </c>
      <c r="I82" t="s">
        <v>51</v>
      </c>
      <c r="J82">
        <v>1</v>
      </c>
      <c r="K82">
        <v>38813</v>
      </c>
      <c r="L82">
        <v>39598</v>
      </c>
      <c r="M82">
        <v>1.020225182284286</v>
      </c>
      <c r="N82">
        <v>1.020225182284286</v>
      </c>
      <c r="O82" t="s">
        <v>35</v>
      </c>
      <c r="P82" t="s">
        <v>35</v>
      </c>
      <c r="Q82" t="s">
        <v>199</v>
      </c>
      <c r="R82">
        <v>0</v>
      </c>
      <c r="S82">
        <v>0</v>
      </c>
      <c r="T82" t="s">
        <v>31</v>
      </c>
    </row>
    <row r="83" spans="1:20" hidden="1" x14ac:dyDescent="0.3">
      <c r="A83">
        <v>274</v>
      </c>
      <c r="B83" t="s">
        <v>193</v>
      </c>
      <c r="C83" t="s">
        <v>194</v>
      </c>
      <c r="D83" t="s">
        <v>31</v>
      </c>
      <c r="E83" t="s">
        <v>32</v>
      </c>
      <c r="F83" s="2">
        <v>45657</v>
      </c>
      <c r="G83">
        <v>2024</v>
      </c>
      <c r="H83" t="s">
        <v>44</v>
      </c>
      <c r="I83" t="s">
        <v>53</v>
      </c>
      <c r="J83">
        <v>2</v>
      </c>
      <c r="K83">
        <v>40441</v>
      </c>
      <c r="L83">
        <v>41436</v>
      </c>
      <c r="M83">
        <v>1.024603743725427</v>
      </c>
      <c r="N83">
        <v>1.024603743725427</v>
      </c>
      <c r="O83" t="s">
        <v>35</v>
      </c>
      <c r="P83" t="s">
        <v>35</v>
      </c>
      <c r="Q83" t="s">
        <v>200</v>
      </c>
      <c r="R83">
        <v>0</v>
      </c>
      <c r="S83">
        <v>0</v>
      </c>
      <c r="T83" t="s">
        <v>31</v>
      </c>
    </row>
    <row r="84" spans="1:20" hidden="1" x14ac:dyDescent="0.3">
      <c r="A84">
        <v>276</v>
      </c>
      <c r="B84" t="s">
        <v>201</v>
      </c>
      <c r="C84" t="s">
        <v>202</v>
      </c>
      <c r="D84" t="s">
        <v>31</v>
      </c>
      <c r="E84" t="s">
        <v>171</v>
      </c>
      <c r="F84" s="2">
        <v>44742</v>
      </c>
      <c r="G84">
        <v>2022</v>
      </c>
      <c r="H84" t="s">
        <v>33</v>
      </c>
      <c r="I84" t="s">
        <v>34</v>
      </c>
      <c r="J84">
        <v>1</v>
      </c>
      <c r="K84">
        <v>93</v>
      </c>
      <c r="L84">
        <v>106</v>
      </c>
      <c r="M84">
        <v>0.87735849056603776</v>
      </c>
      <c r="N84">
        <v>0.87735849056603776</v>
      </c>
      <c r="Q84" t="s">
        <v>203</v>
      </c>
      <c r="R84">
        <v>0</v>
      </c>
      <c r="S84">
        <v>0</v>
      </c>
      <c r="T84" t="s">
        <v>31</v>
      </c>
    </row>
    <row r="85" spans="1:20" hidden="1" x14ac:dyDescent="0.3">
      <c r="A85">
        <v>276</v>
      </c>
      <c r="B85" t="s">
        <v>201</v>
      </c>
      <c r="C85" t="s">
        <v>202</v>
      </c>
      <c r="D85" t="s">
        <v>31</v>
      </c>
      <c r="E85" t="s">
        <v>171</v>
      </c>
      <c r="F85" s="2">
        <v>44926</v>
      </c>
      <c r="G85">
        <v>2022</v>
      </c>
      <c r="H85" t="s">
        <v>44</v>
      </c>
      <c r="I85" t="s">
        <v>45</v>
      </c>
      <c r="J85">
        <v>2</v>
      </c>
      <c r="K85">
        <v>88</v>
      </c>
      <c r="L85">
        <v>88</v>
      </c>
      <c r="M85">
        <v>1</v>
      </c>
      <c r="N85">
        <v>1</v>
      </c>
      <c r="Q85" t="s">
        <v>205</v>
      </c>
      <c r="R85">
        <v>0</v>
      </c>
      <c r="S85">
        <v>0</v>
      </c>
      <c r="T85" t="s">
        <v>31</v>
      </c>
    </row>
    <row r="86" spans="1:20" hidden="1" x14ac:dyDescent="0.3">
      <c r="A86">
        <v>276</v>
      </c>
      <c r="B86" t="s">
        <v>201</v>
      </c>
      <c r="C86" t="s">
        <v>202</v>
      </c>
      <c r="D86" t="s">
        <v>31</v>
      </c>
      <c r="E86" t="s">
        <v>171</v>
      </c>
      <c r="F86" s="2">
        <v>45107</v>
      </c>
      <c r="G86">
        <v>2023</v>
      </c>
      <c r="H86" t="s">
        <v>33</v>
      </c>
      <c r="I86" t="s">
        <v>47</v>
      </c>
      <c r="J86">
        <v>1</v>
      </c>
      <c r="K86">
        <v>85</v>
      </c>
      <c r="L86">
        <v>89.99</v>
      </c>
      <c r="M86">
        <v>0.94454939437715302</v>
      </c>
      <c r="N86">
        <v>0.94454939437715302</v>
      </c>
      <c r="Q86" t="s">
        <v>206</v>
      </c>
      <c r="R86">
        <v>0</v>
      </c>
      <c r="S86">
        <v>0</v>
      </c>
      <c r="T86" t="s">
        <v>31</v>
      </c>
    </row>
    <row r="87" spans="1:20" hidden="1" x14ac:dyDescent="0.3">
      <c r="A87">
        <v>276</v>
      </c>
      <c r="B87" t="s">
        <v>201</v>
      </c>
      <c r="C87" t="s">
        <v>202</v>
      </c>
      <c r="D87" t="s">
        <v>31</v>
      </c>
      <c r="E87" t="s">
        <v>171</v>
      </c>
      <c r="F87" s="2">
        <v>45291</v>
      </c>
      <c r="G87">
        <v>2023</v>
      </c>
      <c r="H87" t="s">
        <v>44</v>
      </c>
      <c r="I87" t="s">
        <v>49</v>
      </c>
      <c r="J87">
        <v>2</v>
      </c>
      <c r="K87">
        <v>85</v>
      </c>
      <c r="L87">
        <v>84.5</v>
      </c>
      <c r="M87">
        <v>1.0059171597633141</v>
      </c>
      <c r="N87">
        <v>1.0059171597633141</v>
      </c>
      <c r="Q87" t="s">
        <v>207</v>
      </c>
      <c r="R87">
        <v>0</v>
      </c>
      <c r="S87">
        <v>0</v>
      </c>
      <c r="T87" t="s">
        <v>31</v>
      </c>
    </row>
    <row r="88" spans="1:20" hidden="1" x14ac:dyDescent="0.3">
      <c r="A88">
        <v>276</v>
      </c>
      <c r="B88" t="s">
        <v>201</v>
      </c>
      <c r="C88" t="s">
        <v>202</v>
      </c>
      <c r="D88" t="s">
        <v>31</v>
      </c>
      <c r="E88" t="s">
        <v>171</v>
      </c>
      <c r="F88" s="2">
        <v>45473</v>
      </c>
      <c r="G88">
        <v>2024</v>
      </c>
      <c r="H88" t="s">
        <v>33</v>
      </c>
      <c r="I88" t="s">
        <v>51</v>
      </c>
      <c r="J88">
        <v>1</v>
      </c>
      <c r="K88">
        <v>75</v>
      </c>
      <c r="L88">
        <v>83.65</v>
      </c>
      <c r="M88">
        <v>0.89659294680215174</v>
      </c>
      <c r="N88">
        <v>0.89659294680215174</v>
      </c>
      <c r="Q88" t="s">
        <v>208</v>
      </c>
      <c r="R88">
        <v>1</v>
      </c>
      <c r="S88">
        <v>1</v>
      </c>
      <c r="T88" t="s">
        <v>31</v>
      </c>
    </row>
    <row r="89" spans="1:20" hidden="1" x14ac:dyDescent="0.3">
      <c r="A89">
        <v>276</v>
      </c>
      <c r="B89" t="s">
        <v>201</v>
      </c>
      <c r="C89" t="s">
        <v>202</v>
      </c>
      <c r="D89" t="s">
        <v>31</v>
      </c>
      <c r="E89" t="s">
        <v>171</v>
      </c>
      <c r="F89" s="2">
        <v>45657</v>
      </c>
      <c r="G89">
        <v>2024</v>
      </c>
      <c r="H89" t="s">
        <v>44</v>
      </c>
      <c r="I89" t="s">
        <v>53</v>
      </c>
      <c r="J89">
        <v>2</v>
      </c>
      <c r="K89">
        <v>75</v>
      </c>
      <c r="L89">
        <v>82.68</v>
      </c>
      <c r="M89">
        <v>1.1024</v>
      </c>
      <c r="N89">
        <v>1.1024</v>
      </c>
      <c r="Q89" t="s">
        <v>209</v>
      </c>
      <c r="R89">
        <v>0</v>
      </c>
      <c r="S89">
        <v>0</v>
      </c>
      <c r="T89" t="s">
        <v>31</v>
      </c>
    </row>
    <row r="90" spans="1:20" hidden="1" x14ac:dyDescent="0.3">
      <c r="A90">
        <v>277</v>
      </c>
      <c r="B90" t="s">
        <v>210</v>
      </c>
      <c r="C90" t="s">
        <v>202</v>
      </c>
      <c r="D90" t="s">
        <v>31</v>
      </c>
      <c r="E90" t="s">
        <v>171</v>
      </c>
      <c r="F90" s="2">
        <v>45107</v>
      </c>
      <c r="G90">
        <v>2023</v>
      </c>
      <c r="H90" t="s">
        <v>33</v>
      </c>
      <c r="I90" t="s">
        <v>47</v>
      </c>
      <c r="J90">
        <v>1</v>
      </c>
      <c r="K90">
        <v>85</v>
      </c>
      <c r="L90">
        <v>76.48</v>
      </c>
      <c r="M90">
        <v>1.1114016736401671</v>
      </c>
      <c r="N90">
        <v>1.1114016736401671</v>
      </c>
      <c r="Q90" t="s">
        <v>211</v>
      </c>
      <c r="R90">
        <v>1</v>
      </c>
      <c r="S90">
        <v>1</v>
      </c>
      <c r="T90" t="s">
        <v>31</v>
      </c>
    </row>
    <row r="91" spans="1:20" hidden="1" x14ac:dyDescent="0.3">
      <c r="A91">
        <v>277</v>
      </c>
      <c r="B91" t="s">
        <v>210</v>
      </c>
      <c r="C91" t="s">
        <v>202</v>
      </c>
      <c r="D91" t="s">
        <v>31</v>
      </c>
      <c r="E91" t="s">
        <v>171</v>
      </c>
      <c r="F91" s="2">
        <v>45291</v>
      </c>
      <c r="G91">
        <v>2023</v>
      </c>
      <c r="H91" t="s">
        <v>44</v>
      </c>
      <c r="I91" t="s">
        <v>49</v>
      </c>
      <c r="J91">
        <v>2</v>
      </c>
      <c r="K91">
        <v>85</v>
      </c>
      <c r="L91">
        <v>73.290000000000006</v>
      </c>
      <c r="M91">
        <v>1.1597762314094691</v>
      </c>
      <c r="N91">
        <v>1.1597762314094691</v>
      </c>
      <c r="Q91" t="s">
        <v>212</v>
      </c>
      <c r="R91">
        <v>1</v>
      </c>
      <c r="S91">
        <v>1</v>
      </c>
      <c r="T91" t="s">
        <v>31</v>
      </c>
    </row>
    <row r="92" spans="1:20" hidden="1" x14ac:dyDescent="0.3">
      <c r="A92">
        <v>277</v>
      </c>
      <c r="B92" t="s">
        <v>210</v>
      </c>
      <c r="C92" t="s">
        <v>202</v>
      </c>
      <c r="D92" t="s">
        <v>31</v>
      </c>
      <c r="E92" t="s">
        <v>171</v>
      </c>
      <c r="F92" s="2">
        <v>45473</v>
      </c>
      <c r="G92">
        <v>2024</v>
      </c>
      <c r="H92" t="s">
        <v>33</v>
      </c>
      <c r="I92" t="s">
        <v>51</v>
      </c>
      <c r="J92">
        <v>1</v>
      </c>
      <c r="K92">
        <v>73</v>
      </c>
      <c r="L92">
        <v>71.180000000000007</v>
      </c>
      <c r="M92">
        <v>1.0255689800505761</v>
      </c>
      <c r="N92">
        <v>1.0255689800505761</v>
      </c>
      <c r="Q92" t="s">
        <v>213</v>
      </c>
      <c r="R92">
        <v>1</v>
      </c>
      <c r="S92">
        <v>1</v>
      </c>
      <c r="T92" t="s">
        <v>31</v>
      </c>
    </row>
    <row r="93" spans="1:20" hidden="1" x14ac:dyDescent="0.3">
      <c r="A93">
        <v>277</v>
      </c>
      <c r="B93" t="s">
        <v>210</v>
      </c>
      <c r="C93" t="s">
        <v>202</v>
      </c>
      <c r="D93" t="s">
        <v>31</v>
      </c>
      <c r="E93" t="s">
        <v>171</v>
      </c>
      <c r="F93" s="2">
        <v>45657</v>
      </c>
      <c r="G93">
        <v>2024</v>
      </c>
      <c r="H93" t="s">
        <v>44</v>
      </c>
      <c r="I93" t="s">
        <v>53</v>
      </c>
      <c r="J93">
        <v>2</v>
      </c>
      <c r="K93">
        <v>73</v>
      </c>
      <c r="L93">
        <v>71.239999999999995</v>
      </c>
      <c r="M93">
        <v>0.97589041095890405</v>
      </c>
      <c r="N93">
        <v>0.97589041095890405</v>
      </c>
      <c r="Q93" t="s">
        <v>214</v>
      </c>
      <c r="R93">
        <v>0</v>
      </c>
      <c r="S93">
        <v>0</v>
      </c>
      <c r="T93" t="s">
        <v>31</v>
      </c>
    </row>
    <row r="94" spans="1:20" hidden="1" x14ac:dyDescent="0.3">
      <c r="A94">
        <v>323</v>
      </c>
      <c r="B94" t="s">
        <v>215</v>
      </c>
      <c r="C94" t="s">
        <v>216</v>
      </c>
      <c r="D94" t="s">
        <v>31</v>
      </c>
      <c r="E94" t="s">
        <v>32</v>
      </c>
      <c r="F94" s="2">
        <v>44926</v>
      </c>
      <c r="G94">
        <v>2022</v>
      </c>
      <c r="H94" t="s">
        <v>44</v>
      </c>
      <c r="I94" t="s">
        <v>45</v>
      </c>
      <c r="J94">
        <v>2</v>
      </c>
      <c r="K94">
        <v>3</v>
      </c>
      <c r="L94">
        <v>3</v>
      </c>
      <c r="M94">
        <v>1</v>
      </c>
      <c r="N94">
        <v>1</v>
      </c>
      <c r="Q94" t="s">
        <v>217</v>
      </c>
      <c r="R94">
        <v>0</v>
      </c>
      <c r="S94">
        <v>0</v>
      </c>
      <c r="T94" t="s">
        <v>31</v>
      </c>
    </row>
    <row r="95" spans="1:20" hidden="1" x14ac:dyDescent="0.3">
      <c r="A95">
        <v>323</v>
      </c>
      <c r="B95" t="s">
        <v>215</v>
      </c>
      <c r="C95" t="s">
        <v>216</v>
      </c>
      <c r="D95" t="s">
        <v>31</v>
      </c>
      <c r="E95" t="s">
        <v>32</v>
      </c>
      <c r="F95" s="2">
        <v>45107</v>
      </c>
      <c r="G95">
        <v>2023</v>
      </c>
      <c r="H95" t="s">
        <v>33</v>
      </c>
      <c r="I95" t="s">
        <v>47</v>
      </c>
      <c r="J95">
        <v>1</v>
      </c>
      <c r="K95">
        <v>2</v>
      </c>
      <c r="L95">
        <v>2</v>
      </c>
      <c r="M95">
        <v>1</v>
      </c>
      <c r="N95">
        <v>1</v>
      </c>
      <c r="Q95" t="s">
        <v>220</v>
      </c>
      <c r="R95">
        <v>0</v>
      </c>
      <c r="S95">
        <v>0</v>
      </c>
      <c r="T95" t="s">
        <v>31</v>
      </c>
    </row>
    <row r="96" spans="1:20" hidden="1" x14ac:dyDescent="0.3">
      <c r="A96">
        <v>323</v>
      </c>
      <c r="B96" t="s">
        <v>215</v>
      </c>
      <c r="C96" t="s">
        <v>216</v>
      </c>
      <c r="D96" t="s">
        <v>31</v>
      </c>
      <c r="E96" t="s">
        <v>32</v>
      </c>
      <c r="F96" s="2">
        <v>45291</v>
      </c>
      <c r="G96">
        <v>2023</v>
      </c>
      <c r="H96" t="s">
        <v>44</v>
      </c>
      <c r="I96" t="s">
        <v>49</v>
      </c>
      <c r="J96">
        <v>2</v>
      </c>
      <c r="K96">
        <v>6</v>
      </c>
      <c r="L96">
        <v>6</v>
      </c>
      <c r="M96">
        <v>1</v>
      </c>
      <c r="N96">
        <v>1</v>
      </c>
      <c r="Q96" t="s">
        <v>221</v>
      </c>
      <c r="R96">
        <v>0</v>
      </c>
      <c r="S96">
        <v>0</v>
      </c>
      <c r="T96" t="s">
        <v>31</v>
      </c>
    </row>
    <row r="97" spans="1:20" hidden="1" x14ac:dyDescent="0.3">
      <c r="A97">
        <v>323</v>
      </c>
      <c r="B97" t="s">
        <v>215</v>
      </c>
      <c r="C97" t="s">
        <v>216</v>
      </c>
      <c r="D97" t="s">
        <v>31</v>
      </c>
      <c r="E97" t="s">
        <v>32</v>
      </c>
      <c r="F97" s="2">
        <v>45473</v>
      </c>
      <c r="G97">
        <v>2024</v>
      </c>
      <c r="H97" t="s">
        <v>33</v>
      </c>
      <c r="I97" t="s">
        <v>51</v>
      </c>
      <c r="J97">
        <v>1</v>
      </c>
      <c r="K97">
        <v>3</v>
      </c>
      <c r="L97">
        <v>3</v>
      </c>
      <c r="M97">
        <v>1</v>
      </c>
      <c r="N97">
        <v>1</v>
      </c>
      <c r="Q97" t="s">
        <v>222</v>
      </c>
      <c r="R97">
        <v>0</v>
      </c>
      <c r="S97">
        <v>0</v>
      </c>
      <c r="T97" t="s">
        <v>31</v>
      </c>
    </row>
    <row r="98" spans="1:20" hidden="1" x14ac:dyDescent="0.3">
      <c r="A98">
        <v>323</v>
      </c>
      <c r="B98" t="s">
        <v>215</v>
      </c>
      <c r="C98" t="s">
        <v>216</v>
      </c>
      <c r="D98" t="s">
        <v>31</v>
      </c>
      <c r="E98" t="s">
        <v>32</v>
      </c>
      <c r="F98" s="2">
        <v>45657</v>
      </c>
      <c r="G98">
        <v>2024</v>
      </c>
      <c r="H98" t="s">
        <v>44</v>
      </c>
      <c r="I98" t="s">
        <v>53</v>
      </c>
      <c r="J98">
        <v>2</v>
      </c>
      <c r="K98">
        <v>0</v>
      </c>
      <c r="L98">
        <v>0</v>
      </c>
      <c r="Q98" t="s">
        <v>223</v>
      </c>
      <c r="R98">
        <v>0</v>
      </c>
      <c r="S98">
        <v>0</v>
      </c>
      <c r="T98" t="s">
        <v>31</v>
      </c>
    </row>
    <row r="99" spans="1:20" x14ac:dyDescent="0.3">
      <c r="A99">
        <v>325</v>
      </c>
      <c r="B99" t="s">
        <v>224</v>
      </c>
      <c r="C99" t="s">
        <v>216</v>
      </c>
      <c r="D99" t="s">
        <v>31</v>
      </c>
      <c r="E99" t="s">
        <v>32</v>
      </c>
      <c r="F99" s="2">
        <v>44742</v>
      </c>
      <c r="G99">
        <v>2022</v>
      </c>
      <c r="H99" t="s">
        <v>33</v>
      </c>
      <c r="I99" t="s">
        <v>34</v>
      </c>
      <c r="J99">
        <v>1</v>
      </c>
      <c r="K99">
        <v>3</v>
      </c>
      <c r="L99">
        <v>3</v>
      </c>
      <c r="M99">
        <v>1</v>
      </c>
      <c r="N99">
        <v>1</v>
      </c>
      <c r="O99" t="s">
        <v>35</v>
      </c>
      <c r="P99" t="s">
        <v>35</v>
      </c>
      <c r="Q99" t="s">
        <v>225</v>
      </c>
      <c r="R99">
        <v>0</v>
      </c>
      <c r="S99">
        <v>0</v>
      </c>
      <c r="T99" t="s">
        <v>31</v>
      </c>
    </row>
    <row r="100" spans="1:20" x14ac:dyDescent="0.3">
      <c r="A100">
        <v>325</v>
      </c>
      <c r="B100" t="s">
        <v>224</v>
      </c>
      <c r="C100" t="s">
        <v>216</v>
      </c>
      <c r="D100" t="s">
        <v>31</v>
      </c>
      <c r="E100" t="s">
        <v>32</v>
      </c>
      <c r="F100" s="2">
        <v>44926</v>
      </c>
      <c r="G100">
        <v>2022</v>
      </c>
      <c r="H100" t="s">
        <v>44</v>
      </c>
      <c r="I100" t="s">
        <v>45</v>
      </c>
      <c r="J100">
        <v>2</v>
      </c>
      <c r="K100">
        <v>3</v>
      </c>
      <c r="L100">
        <v>3</v>
      </c>
      <c r="M100">
        <v>1</v>
      </c>
      <c r="N100">
        <v>1</v>
      </c>
      <c r="O100" t="s">
        <v>35</v>
      </c>
      <c r="P100" t="s">
        <v>35</v>
      </c>
      <c r="Q100" t="s">
        <v>226</v>
      </c>
      <c r="R100">
        <v>0</v>
      </c>
      <c r="S100">
        <v>0</v>
      </c>
      <c r="T100" t="s">
        <v>31</v>
      </c>
    </row>
    <row r="101" spans="1:20" x14ac:dyDescent="0.3">
      <c r="A101">
        <v>325</v>
      </c>
      <c r="B101" t="s">
        <v>224</v>
      </c>
      <c r="C101" t="s">
        <v>216</v>
      </c>
      <c r="D101" t="s">
        <v>31</v>
      </c>
      <c r="E101" t="s">
        <v>32</v>
      </c>
      <c r="F101" s="2">
        <v>45107</v>
      </c>
      <c r="G101">
        <v>2023</v>
      </c>
      <c r="H101" t="s">
        <v>33</v>
      </c>
      <c r="I101" t="s">
        <v>47</v>
      </c>
      <c r="J101">
        <v>1</v>
      </c>
      <c r="K101">
        <v>1</v>
      </c>
      <c r="L101">
        <v>1</v>
      </c>
      <c r="M101">
        <v>1</v>
      </c>
      <c r="N101">
        <v>1</v>
      </c>
      <c r="O101" t="s">
        <v>35</v>
      </c>
      <c r="P101" t="s">
        <v>35</v>
      </c>
      <c r="Q101" t="s">
        <v>227</v>
      </c>
      <c r="R101">
        <v>0</v>
      </c>
      <c r="S101">
        <v>0</v>
      </c>
      <c r="T101" t="s">
        <v>31</v>
      </c>
    </row>
    <row r="102" spans="1:20" x14ac:dyDescent="0.3">
      <c r="A102">
        <v>325</v>
      </c>
      <c r="B102" t="s">
        <v>224</v>
      </c>
      <c r="C102" t="s">
        <v>216</v>
      </c>
      <c r="D102" t="s">
        <v>31</v>
      </c>
      <c r="E102" t="s">
        <v>32</v>
      </c>
      <c r="F102" s="2">
        <v>45291</v>
      </c>
      <c r="G102">
        <v>2023</v>
      </c>
      <c r="H102" t="s">
        <v>44</v>
      </c>
      <c r="I102" t="s">
        <v>49</v>
      </c>
      <c r="J102">
        <v>2</v>
      </c>
      <c r="K102">
        <v>0</v>
      </c>
      <c r="L102">
        <v>0</v>
      </c>
      <c r="Q102" t="s">
        <v>228</v>
      </c>
      <c r="R102">
        <v>0</v>
      </c>
      <c r="S102">
        <v>0</v>
      </c>
      <c r="T102" t="s">
        <v>31</v>
      </c>
    </row>
    <row r="103" spans="1:20" x14ac:dyDescent="0.3">
      <c r="A103">
        <v>325</v>
      </c>
      <c r="B103" t="s">
        <v>224</v>
      </c>
      <c r="C103" t="s">
        <v>216</v>
      </c>
      <c r="D103" t="s">
        <v>31</v>
      </c>
      <c r="E103" t="s">
        <v>32</v>
      </c>
      <c r="F103" s="2">
        <v>45473</v>
      </c>
      <c r="G103">
        <v>2024</v>
      </c>
      <c r="H103" t="s">
        <v>33</v>
      </c>
      <c r="I103" t="s">
        <v>51</v>
      </c>
      <c r="J103">
        <v>1</v>
      </c>
      <c r="K103">
        <v>5</v>
      </c>
      <c r="L103">
        <v>5</v>
      </c>
      <c r="M103">
        <v>1</v>
      </c>
      <c r="N103">
        <v>1</v>
      </c>
      <c r="O103" t="s">
        <v>35</v>
      </c>
      <c r="P103" t="s">
        <v>35</v>
      </c>
      <c r="Q103" t="s">
        <v>229</v>
      </c>
      <c r="R103">
        <v>0</v>
      </c>
      <c r="S103">
        <v>0</v>
      </c>
      <c r="T103" t="s">
        <v>31</v>
      </c>
    </row>
    <row r="104" spans="1:20" x14ac:dyDescent="0.3">
      <c r="A104">
        <v>325</v>
      </c>
      <c r="B104" t="s">
        <v>224</v>
      </c>
      <c r="C104" t="s">
        <v>216</v>
      </c>
      <c r="D104" t="s">
        <v>31</v>
      </c>
      <c r="E104" t="s">
        <v>32</v>
      </c>
      <c r="F104" s="2">
        <v>45657</v>
      </c>
      <c r="G104">
        <v>2024</v>
      </c>
      <c r="H104" t="s">
        <v>44</v>
      </c>
      <c r="I104" t="s">
        <v>53</v>
      </c>
      <c r="J104">
        <v>2</v>
      </c>
      <c r="K104">
        <v>3</v>
      </c>
      <c r="L104">
        <v>3</v>
      </c>
      <c r="M104">
        <v>1</v>
      </c>
      <c r="N104">
        <v>1</v>
      </c>
      <c r="O104" t="s">
        <v>35</v>
      </c>
      <c r="P104" t="s">
        <v>35</v>
      </c>
      <c r="Q104" t="s">
        <v>230</v>
      </c>
      <c r="R104">
        <v>0</v>
      </c>
      <c r="S104">
        <v>0</v>
      </c>
      <c r="T104" t="s">
        <v>31</v>
      </c>
    </row>
    <row r="105" spans="1:20" hidden="1" x14ac:dyDescent="0.3">
      <c r="A105">
        <v>331</v>
      </c>
      <c r="B105" t="s">
        <v>231</v>
      </c>
      <c r="C105" t="s">
        <v>232</v>
      </c>
      <c r="D105" t="s">
        <v>66</v>
      </c>
      <c r="E105" t="s">
        <v>32</v>
      </c>
      <c r="F105" s="2">
        <v>45291</v>
      </c>
      <c r="G105">
        <v>2023</v>
      </c>
      <c r="H105" t="s">
        <v>44</v>
      </c>
      <c r="I105" t="s">
        <v>49</v>
      </c>
      <c r="J105">
        <v>2</v>
      </c>
      <c r="K105">
        <v>0</v>
      </c>
      <c r="L105">
        <v>81</v>
      </c>
      <c r="O105" t="s">
        <v>233</v>
      </c>
      <c r="P105" t="s">
        <v>58</v>
      </c>
      <c r="Q105" t="s">
        <v>234</v>
      </c>
      <c r="R105">
        <v>0</v>
      </c>
      <c r="S105">
        <v>0</v>
      </c>
      <c r="T105" t="s">
        <v>31</v>
      </c>
    </row>
    <row r="106" spans="1:20" hidden="1" x14ac:dyDescent="0.3">
      <c r="A106">
        <v>331</v>
      </c>
      <c r="B106" t="s">
        <v>231</v>
      </c>
      <c r="C106" t="s">
        <v>232</v>
      </c>
      <c r="D106" t="s">
        <v>66</v>
      </c>
      <c r="E106" t="s">
        <v>32</v>
      </c>
      <c r="F106" s="2">
        <v>45657</v>
      </c>
      <c r="G106">
        <v>2024</v>
      </c>
      <c r="H106" t="s">
        <v>44</v>
      </c>
      <c r="I106" t="s">
        <v>53</v>
      </c>
      <c r="J106">
        <v>2</v>
      </c>
      <c r="K106">
        <v>0</v>
      </c>
      <c r="L106">
        <v>82</v>
      </c>
      <c r="O106" t="s">
        <v>233</v>
      </c>
      <c r="P106" t="s">
        <v>58</v>
      </c>
      <c r="Q106" t="s">
        <v>238</v>
      </c>
      <c r="R106">
        <v>0</v>
      </c>
      <c r="S106">
        <v>0</v>
      </c>
      <c r="T106" t="s">
        <v>31</v>
      </c>
    </row>
    <row r="107" spans="1:20" hidden="1" x14ac:dyDescent="0.3">
      <c r="A107">
        <v>332</v>
      </c>
      <c r="B107" t="s">
        <v>239</v>
      </c>
      <c r="C107" t="s">
        <v>130</v>
      </c>
      <c r="D107" t="s">
        <v>31</v>
      </c>
      <c r="E107" t="s">
        <v>171</v>
      </c>
      <c r="F107" s="2">
        <v>44742</v>
      </c>
      <c r="G107">
        <v>2022</v>
      </c>
      <c r="H107" t="s">
        <v>33</v>
      </c>
      <c r="I107" t="s">
        <v>34</v>
      </c>
      <c r="J107">
        <v>1</v>
      </c>
      <c r="K107">
        <v>1.6</v>
      </c>
      <c r="L107">
        <v>1.8</v>
      </c>
      <c r="M107">
        <v>0.88888888888888895</v>
      </c>
      <c r="N107">
        <v>0.88888888888888895</v>
      </c>
      <c r="Q107" t="s">
        <v>240</v>
      </c>
      <c r="R107">
        <v>1</v>
      </c>
      <c r="S107">
        <v>1</v>
      </c>
      <c r="T107" t="s">
        <v>31</v>
      </c>
    </row>
    <row r="108" spans="1:20" hidden="1" x14ac:dyDescent="0.3">
      <c r="A108">
        <v>332</v>
      </c>
      <c r="B108" t="s">
        <v>239</v>
      </c>
      <c r="C108" t="s">
        <v>130</v>
      </c>
      <c r="D108" t="s">
        <v>31</v>
      </c>
      <c r="E108" t="s">
        <v>171</v>
      </c>
      <c r="F108" s="2">
        <v>44926</v>
      </c>
      <c r="G108">
        <v>2022</v>
      </c>
      <c r="H108" t="s">
        <v>44</v>
      </c>
      <c r="I108" t="s">
        <v>45</v>
      </c>
      <c r="J108">
        <v>2</v>
      </c>
      <c r="K108">
        <v>1.6</v>
      </c>
      <c r="L108">
        <v>1.75</v>
      </c>
      <c r="M108">
        <v>0.91428571428571437</v>
      </c>
      <c r="N108">
        <v>0.91428571428571437</v>
      </c>
      <c r="Q108" t="s">
        <v>242</v>
      </c>
      <c r="R108">
        <v>1</v>
      </c>
      <c r="S108">
        <v>1</v>
      </c>
      <c r="T108" t="s">
        <v>31</v>
      </c>
    </row>
    <row r="109" spans="1:20" hidden="1" x14ac:dyDescent="0.3">
      <c r="A109">
        <v>332</v>
      </c>
      <c r="B109" t="s">
        <v>239</v>
      </c>
      <c r="C109" t="s">
        <v>130</v>
      </c>
      <c r="D109" t="s">
        <v>31</v>
      </c>
      <c r="E109" t="s">
        <v>171</v>
      </c>
      <c r="F109" s="2">
        <v>45107</v>
      </c>
      <c r="G109">
        <v>2023</v>
      </c>
      <c r="H109" t="s">
        <v>33</v>
      </c>
      <c r="I109" t="s">
        <v>47</v>
      </c>
      <c r="J109">
        <v>1</v>
      </c>
      <c r="K109">
        <v>1.8</v>
      </c>
      <c r="L109">
        <v>1.57</v>
      </c>
      <c r="M109">
        <v>1.1464968152866239</v>
      </c>
      <c r="N109">
        <v>1.1464968152866239</v>
      </c>
      <c r="Q109" t="s">
        <v>243</v>
      </c>
      <c r="R109">
        <v>1</v>
      </c>
      <c r="S109">
        <v>1</v>
      </c>
      <c r="T109" t="s">
        <v>31</v>
      </c>
    </row>
    <row r="110" spans="1:20" hidden="1" x14ac:dyDescent="0.3">
      <c r="A110">
        <v>332</v>
      </c>
      <c r="B110" t="s">
        <v>239</v>
      </c>
      <c r="C110" t="s">
        <v>130</v>
      </c>
      <c r="D110" t="s">
        <v>31</v>
      </c>
      <c r="E110" t="s">
        <v>171</v>
      </c>
      <c r="F110" s="2">
        <v>45291</v>
      </c>
      <c r="G110">
        <v>2023</v>
      </c>
      <c r="H110" t="s">
        <v>44</v>
      </c>
      <c r="I110" t="s">
        <v>49</v>
      </c>
      <c r="J110">
        <v>2</v>
      </c>
      <c r="K110">
        <v>1.8</v>
      </c>
      <c r="L110">
        <v>1.3</v>
      </c>
      <c r="M110">
        <v>1.3</v>
      </c>
      <c r="N110">
        <v>1.384615384615385</v>
      </c>
      <c r="Q110" t="s">
        <v>244</v>
      </c>
      <c r="R110">
        <v>1</v>
      </c>
      <c r="S110">
        <v>1</v>
      </c>
      <c r="T110" t="s">
        <v>31</v>
      </c>
    </row>
    <row r="111" spans="1:20" hidden="1" x14ac:dyDescent="0.3">
      <c r="A111">
        <v>332</v>
      </c>
      <c r="B111" t="s">
        <v>239</v>
      </c>
      <c r="C111" t="s">
        <v>130</v>
      </c>
      <c r="D111" t="s">
        <v>31</v>
      </c>
      <c r="E111" t="s">
        <v>171</v>
      </c>
      <c r="F111" s="2">
        <v>45473</v>
      </c>
      <c r="G111">
        <v>2024</v>
      </c>
      <c r="H111" t="s">
        <v>33</v>
      </c>
      <c r="I111" t="s">
        <v>51</v>
      </c>
      <c r="J111">
        <v>1</v>
      </c>
      <c r="K111">
        <v>1.5</v>
      </c>
      <c r="L111">
        <v>1.48</v>
      </c>
      <c r="M111">
        <v>1.013513513513514</v>
      </c>
      <c r="N111">
        <v>1.013513513513514</v>
      </c>
      <c r="O111" t="s">
        <v>245</v>
      </c>
      <c r="P111" t="s">
        <v>245</v>
      </c>
      <c r="Q111" t="s">
        <v>246</v>
      </c>
      <c r="R111">
        <v>1</v>
      </c>
      <c r="S111">
        <v>1</v>
      </c>
      <c r="T111" t="s">
        <v>31</v>
      </c>
    </row>
    <row r="112" spans="1:20" hidden="1" x14ac:dyDescent="0.3">
      <c r="A112">
        <v>332</v>
      </c>
      <c r="B112" t="s">
        <v>239</v>
      </c>
      <c r="C112" t="s">
        <v>130</v>
      </c>
      <c r="D112" t="s">
        <v>31</v>
      </c>
      <c r="E112" t="s">
        <v>171</v>
      </c>
      <c r="F112" s="2">
        <v>45657</v>
      </c>
      <c r="G112">
        <v>2024</v>
      </c>
      <c r="H112" t="s">
        <v>44</v>
      </c>
      <c r="I112" t="s">
        <v>53</v>
      </c>
      <c r="J112">
        <v>2</v>
      </c>
      <c r="K112">
        <v>1.8</v>
      </c>
      <c r="L112">
        <v>0.82</v>
      </c>
      <c r="M112">
        <v>0.45555555555555549</v>
      </c>
      <c r="N112">
        <v>0.45555555555555549</v>
      </c>
      <c r="Q112" t="s">
        <v>247</v>
      </c>
      <c r="R112">
        <v>0</v>
      </c>
      <c r="S112">
        <v>0</v>
      </c>
      <c r="T112" t="s">
        <v>31</v>
      </c>
    </row>
    <row r="113" spans="1:20" hidden="1" x14ac:dyDescent="0.3">
      <c r="A113">
        <v>334</v>
      </c>
      <c r="B113" t="s">
        <v>248</v>
      </c>
      <c r="C113" t="s">
        <v>130</v>
      </c>
      <c r="D113" t="s">
        <v>66</v>
      </c>
      <c r="E113" t="s">
        <v>32</v>
      </c>
      <c r="F113" s="2">
        <v>45291</v>
      </c>
      <c r="G113">
        <v>2023</v>
      </c>
      <c r="H113" t="s">
        <v>44</v>
      </c>
      <c r="I113" t="s">
        <v>49</v>
      </c>
      <c r="J113">
        <v>2</v>
      </c>
      <c r="K113">
        <v>88</v>
      </c>
      <c r="L113">
        <v>88.39</v>
      </c>
      <c r="M113">
        <v>1.0044318181818179</v>
      </c>
      <c r="N113">
        <v>1.0044318181818179</v>
      </c>
      <c r="Q113" t="s">
        <v>249</v>
      </c>
      <c r="R113">
        <v>0</v>
      </c>
      <c r="S113">
        <v>0</v>
      </c>
      <c r="T113" t="s">
        <v>31</v>
      </c>
    </row>
    <row r="114" spans="1:20" hidden="1" x14ac:dyDescent="0.3">
      <c r="A114">
        <v>334</v>
      </c>
      <c r="B114" t="s">
        <v>248</v>
      </c>
      <c r="C114" t="s">
        <v>130</v>
      </c>
      <c r="D114" t="s">
        <v>66</v>
      </c>
      <c r="E114" t="s">
        <v>32</v>
      </c>
      <c r="F114" s="2">
        <v>45657</v>
      </c>
      <c r="G114">
        <v>2024</v>
      </c>
      <c r="H114" t="s">
        <v>44</v>
      </c>
      <c r="I114" t="s">
        <v>53</v>
      </c>
      <c r="J114">
        <v>2</v>
      </c>
      <c r="K114">
        <v>88</v>
      </c>
      <c r="L114">
        <v>88.84</v>
      </c>
      <c r="M114">
        <v>1.009545454545455</v>
      </c>
      <c r="N114">
        <v>1.009545454545455</v>
      </c>
      <c r="Q114" t="s">
        <v>251</v>
      </c>
      <c r="R114">
        <v>0</v>
      </c>
      <c r="S114">
        <v>0</v>
      </c>
      <c r="T114" t="s">
        <v>31</v>
      </c>
    </row>
    <row r="115" spans="1:20" hidden="1" x14ac:dyDescent="0.3">
      <c r="A115">
        <v>335</v>
      </c>
      <c r="B115" t="s">
        <v>252</v>
      </c>
      <c r="C115" t="s">
        <v>130</v>
      </c>
      <c r="D115" t="s">
        <v>66</v>
      </c>
      <c r="E115" t="s">
        <v>32</v>
      </c>
      <c r="F115" s="2">
        <v>45291</v>
      </c>
      <c r="G115">
        <v>2023</v>
      </c>
      <c r="H115" t="s">
        <v>44</v>
      </c>
      <c r="I115" t="s">
        <v>49</v>
      </c>
      <c r="J115">
        <v>2</v>
      </c>
      <c r="K115">
        <v>80</v>
      </c>
      <c r="L115">
        <v>93.85</v>
      </c>
      <c r="M115">
        <v>1.173125</v>
      </c>
      <c r="N115">
        <v>1.173125</v>
      </c>
      <c r="O115" t="s">
        <v>58</v>
      </c>
      <c r="P115" t="s">
        <v>58</v>
      </c>
      <c r="Q115" t="s">
        <v>253</v>
      </c>
      <c r="R115">
        <v>0</v>
      </c>
      <c r="S115">
        <v>0</v>
      </c>
      <c r="T115" t="s">
        <v>31</v>
      </c>
    </row>
    <row r="116" spans="1:20" hidden="1" x14ac:dyDescent="0.3">
      <c r="A116">
        <v>335</v>
      </c>
      <c r="B116" t="s">
        <v>252</v>
      </c>
      <c r="C116" t="s">
        <v>130</v>
      </c>
      <c r="D116" t="s">
        <v>66</v>
      </c>
      <c r="E116" t="s">
        <v>32</v>
      </c>
      <c r="F116" s="2">
        <v>45657</v>
      </c>
      <c r="G116">
        <v>2024</v>
      </c>
      <c r="H116" t="s">
        <v>44</v>
      </c>
      <c r="I116" t="s">
        <v>53</v>
      </c>
      <c r="J116">
        <v>2</v>
      </c>
      <c r="K116">
        <v>82</v>
      </c>
      <c r="L116">
        <v>80.95</v>
      </c>
      <c r="M116">
        <v>0.9871951219512195</v>
      </c>
      <c r="N116">
        <v>0.9871951219512195</v>
      </c>
      <c r="Q116" t="s">
        <v>254</v>
      </c>
      <c r="R116">
        <v>0</v>
      </c>
      <c r="S116">
        <v>0</v>
      </c>
      <c r="T116" t="s">
        <v>31</v>
      </c>
    </row>
    <row r="117" spans="1:20" hidden="1" x14ac:dyDescent="0.3">
      <c r="A117">
        <v>339</v>
      </c>
      <c r="B117" t="s">
        <v>255</v>
      </c>
      <c r="C117" t="s">
        <v>256</v>
      </c>
      <c r="D117" t="s">
        <v>66</v>
      </c>
      <c r="E117" t="s">
        <v>32</v>
      </c>
      <c r="F117" s="2">
        <v>45291</v>
      </c>
      <c r="G117">
        <v>2023</v>
      </c>
      <c r="H117" t="s">
        <v>44</v>
      </c>
      <c r="I117" t="s">
        <v>49</v>
      </c>
      <c r="J117">
        <v>2</v>
      </c>
      <c r="K117">
        <v>30</v>
      </c>
      <c r="L117">
        <v>28.57</v>
      </c>
      <c r="M117">
        <v>0.95233333333333337</v>
      </c>
      <c r="N117">
        <v>0.95233333333333337</v>
      </c>
      <c r="O117" t="s">
        <v>58</v>
      </c>
      <c r="P117" t="s">
        <v>58</v>
      </c>
      <c r="Q117" t="s">
        <v>257</v>
      </c>
      <c r="R117">
        <v>0</v>
      </c>
      <c r="S117">
        <v>1</v>
      </c>
      <c r="T117" t="s">
        <v>31</v>
      </c>
    </row>
    <row r="118" spans="1:20" hidden="1" x14ac:dyDescent="0.3">
      <c r="A118">
        <v>339</v>
      </c>
      <c r="B118" t="s">
        <v>255</v>
      </c>
      <c r="C118" t="s">
        <v>256</v>
      </c>
      <c r="D118" t="s">
        <v>66</v>
      </c>
      <c r="E118" t="s">
        <v>32</v>
      </c>
      <c r="F118" s="2">
        <v>45657</v>
      </c>
      <c r="G118">
        <v>2024</v>
      </c>
      <c r="H118" t="s">
        <v>44</v>
      </c>
      <c r="I118" t="s">
        <v>53</v>
      </c>
      <c r="J118">
        <v>2</v>
      </c>
      <c r="K118">
        <v>30</v>
      </c>
      <c r="L118">
        <v>30.3</v>
      </c>
      <c r="M118">
        <v>1.01</v>
      </c>
      <c r="N118">
        <v>1.01</v>
      </c>
      <c r="O118" t="s">
        <v>58</v>
      </c>
      <c r="P118" t="s">
        <v>58</v>
      </c>
      <c r="Q118" t="s">
        <v>258</v>
      </c>
      <c r="R118">
        <v>0</v>
      </c>
      <c r="S118">
        <v>1</v>
      </c>
      <c r="T118" t="s">
        <v>31</v>
      </c>
    </row>
    <row r="119" spans="1:20" hidden="1" x14ac:dyDescent="0.3">
      <c r="A119">
        <v>353</v>
      </c>
      <c r="B119" t="s">
        <v>259</v>
      </c>
      <c r="C119" t="s">
        <v>260</v>
      </c>
      <c r="D119" t="s">
        <v>31</v>
      </c>
      <c r="E119" t="s">
        <v>32</v>
      </c>
      <c r="F119" s="2">
        <v>45107</v>
      </c>
      <c r="G119">
        <v>2023</v>
      </c>
      <c r="H119" t="s">
        <v>33</v>
      </c>
      <c r="I119" t="s">
        <v>47</v>
      </c>
      <c r="J119">
        <v>1</v>
      </c>
      <c r="K119">
        <v>25</v>
      </c>
      <c r="L119">
        <v>40.384615384615401</v>
      </c>
      <c r="M119">
        <v>1.3</v>
      </c>
      <c r="N119">
        <v>1.6153846153846161</v>
      </c>
      <c r="Q119" t="s">
        <v>261</v>
      </c>
      <c r="R119">
        <v>1</v>
      </c>
      <c r="S119">
        <v>1</v>
      </c>
      <c r="T119" t="s">
        <v>31</v>
      </c>
    </row>
    <row r="120" spans="1:20" hidden="1" x14ac:dyDescent="0.3">
      <c r="A120">
        <v>353</v>
      </c>
      <c r="B120" t="s">
        <v>259</v>
      </c>
      <c r="C120" t="s">
        <v>260</v>
      </c>
      <c r="D120" t="s">
        <v>31</v>
      </c>
      <c r="E120" t="s">
        <v>32</v>
      </c>
      <c r="F120" s="2">
        <v>45291</v>
      </c>
      <c r="G120">
        <v>2023</v>
      </c>
      <c r="H120" t="s">
        <v>44</v>
      </c>
      <c r="I120" t="s">
        <v>49</v>
      </c>
      <c r="J120">
        <v>2</v>
      </c>
      <c r="K120">
        <v>35</v>
      </c>
      <c r="L120">
        <v>40.384615384615401</v>
      </c>
      <c r="M120">
        <v>1.153846153846154</v>
      </c>
      <c r="N120">
        <v>1.153846153846154</v>
      </c>
      <c r="Q120" t="s">
        <v>265</v>
      </c>
      <c r="R120">
        <v>1</v>
      </c>
      <c r="S120">
        <v>1</v>
      </c>
      <c r="T120" t="s">
        <v>31</v>
      </c>
    </row>
    <row r="121" spans="1:20" hidden="1" x14ac:dyDescent="0.3">
      <c r="A121">
        <v>361</v>
      </c>
      <c r="B121" t="s">
        <v>470</v>
      </c>
      <c r="C121" t="s">
        <v>267</v>
      </c>
      <c r="D121" t="s">
        <v>66</v>
      </c>
      <c r="E121" t="s">
        <v>32</v>
      </c>
      <c r="F121" s="2">
        <v>45291</v>
      </c>
      <c r="G121">
        <v>2023</v>
      </c>
      <c r="H121" t="s">
        <v>44</v>
      </c>
      <c r="I121" t="s">
        <v>49</v>
      </c>
      <c r="J121">
        <v>2</v>
      </c>
      <c r="K121">
        <v>4.5</v>
      </c>
      <c r="L121">
        <v>4.5599999999999996</v>
      </c>
      <c r="M121">
        <v>1.013333333333333</v>
      </c>
      <c r="N121">
        <v>1.013333333333333</v>
      </c>
      <c r="Q121" t="s">
        <v>268</v>
      </c>
      <c r="R121">
        <v>2</v>
      </c>
      <c r="S121">
        <v>2</v>
      </c>
      <c r="T121" t="s">
        <v>31</v>
      </c>
    </row>
    <row r="122" spans="1:20" hidden="1" x14ac:dyDescent="0.3">
      <c r="A122">
        <v>361</v>
      </c>
      <c r="B122" t="s">
        <v>470</v>
      </c>
      <c r="C122" t="s">
        <v>267</v>
      </c>
      <c r="D122" t="s">
        <v>66</v>
      </c>
      <c r="E122" t="s">
        <v>32</v>
      </c>
      <c r="F122" s="2">
        <v>45657</v>
      </c>
      <c r="G122">
        <v>2024</v>
      </c>
      <c r="H122" t="s">
        <v>44</v>
      </c>
      <c r="I122" t="s">
        <v>53</v>
      </c>
      <c r="J122">
        <v>2</v>
      </c>
      <c r="K122">
        <v>0</v>
      </c>
      <c r="O122" t="s">
        <v>35</v>
      </c>
      <c r="Q122" t="s">
        <v>270</v>
      </c>
      <c r="R122">
        <v>0</v>
      </c>
      <c r="S122">
        <v>0</v>
      </c>
      <c r="T122" t="s">
        <v>31</v>
      </c>
    </row>
    <row r="123" spans="1:20" hidden="1" x14ac:dyDescent="0.3">
      <c r="A123">
        <v>364</v>
      </c>
      <c r="B123" t="s">
        <v>271</v>
      </c>
      <c r="C123" t="s">
        <v>267</v>
      </c>
      <c r="D123" t="s">
        <v>31</v>
      </c>
      <c r="E123" t="s">
        <v>171</v>
      </c>
      <c r="F123" s="2">
        <v>45107</v>
      </c>
      <c r="G123">
        <v>2023</v>
      </c>
      <c r="H123" t="s">
        <v>33</v>
      </c>
      <c r="I123" t="s">
        <v>47</v>
      </c>
      <c r="J123">
        <v>1</v>
      </c>
      <c r="K123">
        <v>0</v>
      </c>
      <c r="L123">
        <v>30173</v>
      </c>
      <c r="M123">
        <v>0</v>
      </c>
      <c r="N123">
        <v>0</v>
      </c>
      <c r="O123" t="s">
        <v>131</v>
      </c>
      <c r="P123" t="s">
        <v>35</v>
      </c>
      <c r="Q123" t="s">
        <v>272</v>
      </c>
      <c r="R123">
        <v>0</v>
      </c>
      <c r="S123">
        <v>0</v>
      </c>
      <c r="T123" t="s">
        <v>31</v>
      </c>
    </row>
    <row r="124" spans="1:20" hidden="1" x14ac:dyDescent="0.3">
      <c r="A124">
        <v>364</v>
      </c>
      <c r="B124" t="s">
        <v>271</v>
      </c>
      <c r="C124" t="s">
        <v>267</v>
      </c>
      <c r="D124" t="s">
        <v>31</v>
      </c>
      <c r="E124" t="s">
        <v>171</v>
      </c>
      <c r="F124" s="2">
        <v>45291</v>
      </c>
      <c r="G124">
        <v>2023</v>
      </c>
      <c r="H124" t="s">
        <v>44</v>
      </c>
      <c r="I124" t="s">
        <v>49</v>
      </c>
      <c r="J124">
        <v>2</v>
      </c>
      <c r="K124">
        <v>0</v>
      </c>
      <c r="L124">
        <v>48277</v>
      </c>
      <c r="M124">
        <v>0</v>
      </c>
      <c r="N124">
        <v>0</v>
      </c>
      <c r="O124" t="s">
        <v>131</v>
      </c>
      <c r="P124" t="s">
        <v>35</v>
      </c>
      <c r="Q124" t="s">
        <v>276</v>
      </c>
      <c r="R124">
        <v>0</v>
      </c>
      <c r="S124">
        <v>0</v>
      </c>
      <c r="T124" t="s">
        <v>31</v>
      </c>
    </row>
    <row r="125" spans="1:20" hidden="1" x14ac:dyDescent="0.3">
      <c r="A125">
        <v>364</v>
      </c>
      <c r="B125" t="s">
        <v>271</v>
      </c>
      <c r="C125" t="s">
        <v>267</v>
      </c>
      <c r="D125" t="s">
        <v>31</v>
      </c>
      <c r="E125" t="s">
        <v>32</v>
      </c>
      <c r="F125" s="2">
        <v>45473</v>
      </c>
      <c r="G125">
        <v>2024</v>
      </c>
      <c r="H125" t="s">
        <v>33</v>
      </c>
      <c r="I125" t="s">
        <v>51</v>
      </c>
      <c r="J125">
        <v>1</v>
      </c>
      <c r="K125">
        <v>31694</v>
      </c>
      <c r="L125">
        <v>42069</v>
      </c>
      <c r="M125">
        <v>1.013513513513514</v>
      </c>
      <c r="N125">
        <v>1.013513513513514</v>
      </c>
      <c r="O125" t="s">
        <v>35</v>
      </c>
      <c r="P125" t="s">
        <v>35</v>
      </c>
      <c r="Q125" t="s">
        <v>277</v>
      </c>
      <c r="R125">
        <v>0</v>
      </c>
      <c r="S125">
        <v>0</v>
      </c>
      <c r="T125" t="s">
        <v>31</v>
      </c>
    </row>
    <row r="126" spans="1:20" hidden="1" x14ac:dyDescent="0.3">
      <c r="A126">
        <v>364</v>
      </c>
      <c r="B126" t="s">
        <v>271</v>
      </c>
      <c r="C126" t="s">
        <v>267</v>
      </c>
      <c r="D126" t="s">
        <v>31</v>
      </c>
      <c r="E126" t="s">
        <v>32</v>
      </c>
      <c r="F126" s="2">
        <v>45657</v>
      </c>
      <c r="G126">
        <v>2024</v>
      </c>
      <c r="H126" t="s">
        <v>44</v>
      </c>
      <c r="I126" t="s">
        <v>53</v>
      </c>
      <c r="J126">
        <v>2</v>
      </c>
      <c r="K126">
        <v>47541</v>
      </c>
      <c r="L126">
        <v>46635</v>
      </c>
      <c r="M126">
        <v>0.98094276519214996</v>
      </c>
      <c r="N126">
        <v>0.98094276519214996</v>
      </c>
      <c r="O126" t="s">
        <v>35</v>
      </c>
      <c r="P126" t="s">
        <v>35</v>
      </c>
      <c r="Q126" t="s">
        <v>278</v>
      </c>
      <c r="R126">
        <v>0</v>
      </c>
      <c r="S126">
        <v>0</v>
      </c>
      <c r="T126" t="s">
        <v>31</v>
      </c>
    </row>
    <row r="127" spans="1:20" hidden="1" x14ac:dyDescent="0.3">
      <c r="A127">
        <v>367</v>
      </c>
      <c r="B127" t="s">
        <v>279</v>
      </c>
      <c r="C127" t="s">
        <v>267</v>
      </c>
      <c r="D127" t="s">
        <v>66</v>
      </c>
      <c r="E127" t="s">
        <v>32</v>
      </c>
      <c r="F127" s="2">
        <v>45291</v>
      </c>
      <c r="G127">
        <v>2023</v>
      </c>
      <c r="H127" t="s">
        <v>44</v>
      </c>
      <c r="I127" t="s">
        <v>49</v>
      </c>
      <c r="J127">
        <v>2</v>
      </c>
      <c r="K127">
        <v>5</v>
      </c>
      <c r="L127">
        <v>6.25</v>
      </c>
      <c r="M127">
        <v>1.25</v>
      </c>
      <c r="N127">
        <v>1.25</v>
      </c>
      <c r="O127" t="s">
        <v>58</v>
      </c>
      <c r="P127" t="s">
        <v>58</v>
      </c>
      <c r="Q127" t="s">
        <v>280</v>
      </c>
      <c r="R127">
        <v>2</v>
      </c>
      <c r="S127">
        <v>2</v>
      </c>
      <c r="T127" t="s">
        <v>31</v>
      </c>
    </row>
    <row r="128" spans="1:20" hidden="1" x14ac:dyDescent="0.3">
      <c r="A128">
        <v>367</v>
      </c>
      <c r="B128" t="s">
        <v>279</v>
      </c>
      <c r="C128" t="s">
        <v>267</v>
      </c>
      <c r="D128" t="s">
        <v>66</v>
      </c>
      <c r="E128" t="s">
        <v>32</v>
      </c>
      <c r="F128" s="2">
        <v>45657</v>
      </c>
      <c r="G128">
        <v>2024</v>
      </c>
      <c r="H128" t="s">
        <v>44</v>
      </c>
      <c r="I128" t="s">
        <v>53</v>
      </c>
      <c r="J128">
        <v>2</v>
      </c>
      <c r="K128">
        <v>5</v>
      </c>
      <c r="L128">
        <v>4.96</v>
      </c>
      <c r="M128">
        <v>0.99199999999999999</v>
      </c>
      <c r="N128">
        <v>0.99199999999999999</v>
      </c>
      <c r="O128" t="s">
        <v>58</v>
      </c>
      <c r="P128" t="s">
        <v>58</v>
      </c>
      <c r="Q128" t="s">
        <v>282</v>
      </c>
      <c r="R128">
        <v>2</v>
      </c>
      <c r="S128">
        <v>2</v>
      </c>
      <c r="T128" t="s">
        <v>31</v>
      </c>
    </row>
    <row r="129" spans="1:20" hidden="1" x14ac:dyDescent="0.3">
      <c r="A129">
        <v>369</v>
      </c>
      <c r="B129" t="s">
        <v>283</v>
      </c>
      <c r="C129" t="s">
        <v>267</v>
      </c>
      <c r="D129" t="s">
        <v>31</v>
      </c>
      <c r="E129" t="s">
        <v>32</v>
      </c>
      <c r="F129" s="2">
        <v>45107</v>
      </c>
      <c r="G129">
        <v>2023</v>
      </c>
      <c r="H129" t="s">
        <v>33</v>
      </c>
      <c r="I129" t="s">
        <v>47</v>
      </c>
      <c r="J129">
        <v>1</v>
      </c>
      <c r="K129">
        <v>0</v>
      </c>
      <c r="L129">
        <v>78</v>
      </c>
      <c r="O129" t="s">
        <v>284</v>
      </c>
      <c r="P129" t="s">
        <v>35</v>
      </c>
      <c r="Q129" t="s">
        <v>285</v>
      </c>
      <c r="R129">
        <v>0</v>
      </c>
      <c r="S129">
        <v>0</v>
      </c>
      <c r="T129" t="s">
        <v>31</v>
      </c>
    </row>
    <row r="130" spans="1:20" hidden="1" x14ac:dyDescent="0.3">
      <c r="A130">
        <v>369</v>
      </c>
      <c r="B130" t="s">
        <v>283</v>
      </c>
      <c r="C130" t="s">
        <v>267</v>
      </c>
      <c r="D130" t="s">
        <v>31</v>
      </c>
      <c r="E130" t="s">
        <v>32</v>
      </c>
      <c r="F130" s="2">
        <v>45291</v>
      </c>
      <c r="G130">
        <v>2023</v>
      </c>
      <c r="H130" t="s">
        <v>44</v>
      </c>
      <c r="I130" t="s">
        <v>49</v>
      </c>
      <c r="J130">
        <v>2</v>
      </c>
      <c r="K130">
        <v>0</v>
      </c>
      <c r="L130">
        <v>96</v>
      </c>
      <c r="O130" t="s">
        <v>284</v>
      </c>
      <c r="P130" t="s">
        <v>35</v>
      </c>
      <c r="Q130" t="s">
        <v>286</v>
      </c>
      <c r="R130">
        <v>0</v>
      </c>
      <c r="S130">
        <v>0</v>
      </c>
      <c r="T130" t="s">
        <v>31</v>
      </c>
    </row>
    <row r="131" spans="1:20" hidden="1" x14ac:dyDescent="0.3">
      <c r="A131">
        <v>369</v>
      </c>
      <c r="B131" t="s">
        <v>283</v>
      </c>
      <c r="C131" t="s">
        <v>267</v>
      </c>
      <c r="D131" t="s">
        <v>31</v>
      </c>
      <c r="E131" t="s">
        <v>32</v>
      </c>
      <c r="F131" s="2">
        <v>45473</v>
      </c>
      <c r="G131">
        <v>2024</v>
      </c>
      <c r="H131" t="s">
        <v>33</v>
      </c>
      <c r="I131" t="s">
        <v>51</v>
      </c>
      <c r="J131">
        <v>1</v>
      </c>
      <c r="K131">
        <v>80</v>
      </c>
      <c r="L131">
        <v>61</v>
      </c>
      <c r="M131">
        <v>0.76249999999999996</v>
      </c>
      <c r="N131">
        <v>0.76249999999999996</v>
      </c>
      <c r="O131" t="s">
        <v>35</v>
      </c>
      <c r="P131" t="s">
        <v>35</v>
      </c>
      <c r="Q131" t="s">
        <v>287</v>
      </c>
      <c r="R131">
        <v>0</v>
      </c>
      <c r="S131">
        <v>0</v>
      </c>
      <c r="T131" t="s">
        <v>31</v>
      </c>
    </row>
    <row r="132" spans="1:20" hidden="1" x14ac:dyDescent="0.3">
      <c r="A132">
        <v>369</v>
      </c>
      <c r="B132" t="s">
        <v>283</v>
      </c>
      <c r="C132" t="s">
        <v>267</v>
      </c>
      <c r="D132" t="s">
        <v>31</v>
      </c>
      <c r="E132" t="s">
        <v>32</v>
      </c>
      <c r="F132" s="2">
        <v>45657</v>
      </c>
      <c r="G132">
        <v>2024</v>
      </c>
      <c r="H132" t="s">
        <v>44</v>
      </c>
      <c r="I132" t="s">
        <v>53</v>
      </c>
      <c r="J132">
        <v>2</v>
      </c>
      <c r="K132">
        <v>108</v>
      </c>
      <c r="L132">
        <v>77</v>
      </c>
      <c r="M132">
        <v>0.71296296296296291</v>
      </c>
      <c r="N132">
        <v>0.71296296296296291</v>
      </c>
      <c r="O132" t="s">
        <v>35</v>
      </c>
      <c r="P132" t="s">
        <v>35</v>
      </c>
      <c r="Q132" t="s">
        <v>288</v>
      </c>
      <c r="R132">
        <v>0</v>
      </c>
      <c r="S132">
        <v>0</v>
      </c>
      <c r="T132" t="s">
        <v>31</v>
      </c>
    </row>
    <row r="133" spans="1:20" hidden="1" x14ac:dyDescent="0.3">
      <c r="A133">
        <v>376</v>
      </c>
      <c r="B133" t="s">
        <v>289</v>
      </c>
      <c r="C133" t="s">
        <v>142</v>
      </c>
      <c r="D133" t="s">
        <v>31</v>
      </c>
      <c r="E133" t="s">
        <v>32</v>
      </c>
      <c r="F133" s="2">
        <v>44742</v>
      </c>
      <c r="G133">
        <v>2022</v>
      </c>
      <c r="H133" t="s">
        <v>33</v>
      </c>
      <c r="I133" t="s">
        <v>34</v>
      </c>
      <c r="J133">
        <v>1</v>
      </c>
      <c r="K133">
        <v>10494</v>
      </c>
      <c r="L133">
        <v>14221</v>
      </c>
      <c r="M133">
        <v>1.3</v>
      </c>
      <c r="N133">
        <v>1.35515532685344</v>
      </c>
      <c r="O133" t="s">
        <v>143</v>
      </c>
      <c r="P133" t="s">
        <v>143</v>
      </c>
      <c r="Q133" t="s">
        <v>290</v>
      </c>
      <c r="R133">
        <v>0</v>
      </c>
      <c r="S133">
        <v>0</v>
      </c>
      <c r="T133" t="s">
        <v>31</v>
      </c>
    </row>
    <row r="134" spans="1:20" hidden="1" x14ac:dyDescent="0.3">
      <c r="A134">
        <v>376</v>
      </c>
      <c r="B134" t="s">
        <v>289</v>
      </c>
      <c r="C134" t="s">
        <v>142</v>
      </c>
      <c r="D134" t="s">
        <v>31</v>
      </c>
      <c r="E134" t="s">
        <v>32</v>
      </c>
      <c r="F134" s="2">
        <v>44925</v>
      </c>
      <c r="G134">
        <v>2022</v>
      </c>
      <c r="H134" t="s">
        <v>44</v>
      </c>
      <c r="I134" t="s">
        <v>45</v>
      </c>
      <c r="J134">
        <v>2</v>
      </c>
      <c r="K134">
        <v>5570</v>
      </c>
      <c r="L134">
        <v>9919</v>
      </c>
      <c r="M134">
        <v>1.3</v>
      </c>
      <c r="N134">
        <v>1.7807899461400361</v>
      </c>
      <c r="O134" t="s">
        <v>143</v>
      </c>
      <c r="P134" t="s">
        <v>143</v>
      </c>
      <c r="Q134" t="s">
        <v>291</v>
      </c>
      <c r="R134">
        <v>0</v>
      </c>
      <c r="S134">
        <v>0</v>
      </c>
      <c r="T134" t="s">
        <v>31</v>
      </c>
    </row>
    <row r="135" spans="1:20" hidden="1" x14ac:dyDescent="0.3">
      <c r="A135">
        <v>376</v>
      </c>
      <c r="B135" t="s">
        <v>289</v>
      </c>
      <c r="C135" t="s">
        <v>142</v>
      </c>
      <c r="D135" t="s">
        <v>31</v>
      </c>
      <c r="E135" t="s">
        <v>32</v>
      </c>
      <c r="F135" s="2">
        <v>45107</v>
      </c>
      <c r="G135">
        <v>2023</v>
      </c>
      <c r="H135" t="s">
        <v>33</v>
      </c>
      <c r="I135" t="s">
        <v>47</v>
      </c>
      <c r="J135">
        <v>1</v>
      </c>
      <c r="K135">
        <v>8796.2412700000004</v>
      </c>
      <c r="L135">
        <v>13169.941457999999</v>
      </c>
      <c r="M135">
        <v>1.3</v>
      </c>
      <c r="N135">
        <v>1.4972237633950209</v>
      </c>
      <c r="O135" t="s">
        <v>143</v>
      </c>
      <c r="P135" t="s">
        <v>143</v>
      </c>
      <c r="Q135" t="s">
        <v>292</v>
      </c>
      <c r="R135">
        <v>0</v>
      </c>
      <c r="S135">
        <v>0</v>
      </c>
      <c r="T135" t="s">
        <v>31</v>
      </c>
    </row>
    <row r="136" spans="1:20" hidden="1" x14ac:dyDescent="0.3">
      <c r="A136">
        <v>376</v>
      </c>
      <c r="B136" t="s">
        <v>289</v>
      </c>
      <c r="C136" t="s">
        <v>142</v>
      </c>
      <c r="D136" t="s">
        <v>31</v>
      </c>
      <c r="E136" t="s">
        <v>32</v>
      </c>
      <c r="F136" s="2">
        <v>45291</v>
      </c>
      <c r="G136">
        <v>2023</v>
      </c>
      <c r="H136" t="s">
        <v>44</v>
      </c>
      <c r="I136" t="s">
        <v>49</v>
      </c>
      <c r="J136">
        <v>2</v>
      </c>
      <c r="K136">
        <v>26073.47270271854</v>
      </c>
      <c r="L136">
        <v>26403.087925999949</v>
      </c>
      <c r="M136">
        <v>1.012641784507939</v>
      </c>
      <c r="N136">
        <v>1.012641784507939</v>
      </c>
      <c r="O136" t="s">
        <v>143</v>
      </c>
      <c r="P136" t="s">
        <v>143</v>
      </c>
      <c r="Q136" t="s">
        <v>293</v>
      </c>
      <c r="R136">
        <v>0</v>
      </c>
      <c r="S136">
        <v>0</v>
      </c>
      <c r="T136" t="s">
        <v>31</v>
      </c>
    </row>
    <row r="137" spans="1:20" hidden="1" x14ac:dyDescent="0.3">
      <c r="A137">
        <v>376</v>
      </c>
      <c r="B137" t="s">
        <v>289</v>
      </c>
      <c r="C137" t="s">
        <v>142</v>
      </c>
      <c r="D137" t="s">
        <v>31</v>
      </c>
      <c r="E137" t="s">
        <v>32</v>
      </c>
      <c r="F137" s="2">
        <v>45473</v>
      </c>
      <c r="G137">
        <v>2024</v>
      </c>
      <c r="H137" t="s">
        <v>33</v>
      </c>
      <c r="I137" t="s">
        <v>51</v>
      </c>
      <c r="J137">
        <v>1</v>
      </c>
      <c r="K137">
        <v>14136.961539</v>
      </c>
      <c r="L137">
        <v>14702.219810000001</v>
      </c>
      <c r="M137">
        <v>1.039984424477679</v>
      </c>
      <c r="N137">
        <v>1.039984424477679</v>
      </c>
      <c r="O137" t="s">
        <v>143</v>
      </c>
      <c r="P137" t="s">
        <v>143</v>
      </c>
      <c r="Q137" t="s">
        <v>294</v>
      </c>
      <c r="R137">
        <v>0</v>
      </c>
      <c r="S137">
        <v>0</v>
      </c>
      <c r="T137" t="s">
        <v>31</v>
      </c>
    </row>
    <row r="138" spans="1:20" hidden="1" x14ac:dyDescent="0.3">
      <c r="A138">
        <v>376</v>
      </c>
      <c r="B138" t="s">
        <v>289</v>
      </c>
      <c r="C138" t="s">
        <v>142</v>
      </c>
      <c r="D138" t="s">
        <v>31</v>
      </c>
      <c r="E138" t="s">
        <v>32</v>
      </c>
      <c r="F138" s="2">
        <v>45657</v>
      </c>
      <c r="G138">
        <v>2024</v>
      </c>
      <c r="H138" t="s">
        <v>44</v>
      </c>
      <c r="I138" t="s">
        <v>53</v>
      </c>
      <c r="J138">
        <v>2</v>
      </c>
      <c r="K138">
        <v>12873.146741834509</v>
      </c>
      <c r="L138">
        <v>14765.702302</v>
      </c>
      <c r="M138">
        <v>1.1470157684146609</v>
      </c>
      <c r="N138">
        <v>1.1470157684146609</v>
      </c>
      <c r="O138" t="s">
        <v>143</v>
      </c>
      <c r="P138" t="s">
        <v>143</v>
      </c>
      <c r="Q138" t="s">
        <v>295</v>
      </c>
      <c r="R138">
        <v>0</v>
      </c>
      <c r="S138">
        <v>0</v>
      </c>
      <c r="T138" t="s">
        <v>31</v>
      </c>
    </row>
    <row r="139" spans="1:20" hidden="1" x14ac:dyDescent="0.3">
      <c r="A139">
        <v>377</v>
      </c>
      <c r="B139" t="s">
        <v>296</v>
      </c>
      <c r="C139" t="s">
        <v>142</v>
      </c>
      <c r="D139" t="s">
        <v>31</v>
      </c>
      <c r="E139" t="s">
        <v>171</v>
      </c>
      <c r="F139" s="2">
        <v>45107</v>
      </c>
      <c r="G139">
        <v>2023</v>
      </c>
      <c r="H139" t="s">
        <v>33</v>
      </c>
      <c r="I139" t="s">
        <v>47</v>
      </c>
      <c r="J139">
        <v>1</v>
      </c>
      <c r="K139">
        <v>7200.908222</v>
      </c>
      <c r="L139">
        <v>1606.8681489999999</v>
      </c>
      <c r="M139">
        <v>1.3</v>
      </c>
      <c r="N139">
        <v>4.4813311076464686</v>
      </c>
      <c r="O139" t="s">
        <v>143</v>
      </c>
      <c r="P139" t="s">
        <v>143</v>
      </c>
      <c r="Q139" t="s">
        <v>297</v>
      </c>
      <c r="R139">
        <v>0</v>
      </c>
      <c r="S139">
        <v>0</v>
      </c>
      <c r="T139" t="s">
        <v>31</v>
      </c>
    </row>
    <row r="140" spans="1:20" hidden="1" x14ac:dyDescent="0.3">
      <c r="A140">
        <v>377</v>
      </c>
      <c r="B140" t="s">
        <v>296</v>
      </c>
      <c r="C140" t="s">
        <v>142</v>
      </c>
      <c r="D140" t="s">
        <v>31</v>
      </c>
      <c r="E140" t="s">
        <v>171</v>
      </c>
      <c r="F140" s="2">
        <v>45291</v>
      </c>
      <c r="G140">
        <v>2023</v>
      </c>
      <c r="H140" t="s">
        <v>44</v>
      </c>
      <c r="I140" t="s">
        <v>49</v>
      </c>
      <c r="J140">
        <v>2</v>
      </c>
      <c r="K140">
        <v>12518.005306706251</v>
      </c>
      <c r="L140">
        <v>7607.1384189999999</v>
      </c>
      <c r="M140">
        <v>1.3</v>
      </c>
      <c r="N140">
        <v>1.6455603430904591</v>
      </c>
      <c r="O140" t="s">
        <v>143</v>
      </c>
      <c r="P140" t="s">
        <v>143</v>
      </c>
      <c r="Q140" t="s">
        <v>298</v>
      </c>
      <c r="R140">
        <v>0</v>
      </c>
      <c r="S140">
        <v>0</v>
      </c>
      <c r="T140" t="s">
        <v>31</v>
      </c>
    </row>
    <row r="141" spans="1:20" hidden="1" x14ac:dyDescent="0.3">
      <c r="A141">
        <v>377</v>
      </c>
      <c r="B141" t="s">
        <v>296</v>
      </c>
      <c r="C141" t="s">
        <v>142</v>
      </c>
      <c r="D141" t="s">
        <v>31</v>
      </c>
      <c r="E141" t="s">
        <v>171</v>
      </c>
      <c r="F141" s="2">
        <v>45473</v>
      </c>
      <c r="G141">
        <v>2024</v>
      </c>
      <c r="H141" t="s">
        <v>33</v>
      </c>
      <c r="I141" t="s">
        <v>51</v>
      </c>
      <c r="J141">
        <v>1</v>
      </c>
      <c r="K141">
        <v>4468.4024010000003</v>
      </c>
      <c r="L141">
        <v>2155.4775049999998</v>
      </c>
      <c r="M141">
        <v>1.3</v>
      </c>
      <c r="N141">
        <v>2.0730452489690911</v>
      </c>
      <c r="O141" t="s">
        <v>143</v>
      </c>
      <c r="P141" t="s">
        <v>143</v>
      </c>
      <c r="Q141" t="s">
        <v>299</v>
      </c>
      <c r="R141">
        <v>0</v>
      </c>
      <c r="S141">
        <v>0</v>
      </c>
      <c r="T141" t="s">
        <v>31</v>
      </c>
    </row>
    <row r="142" spans="1:20" hidden="1" x14ac:dyDescent="0.3">
      <c r="A142">
        <v>377</v>
      </c>
      <c r="B142" t="s">
        <v>296</v>
      </c>
      <c r="C142" t="s">
        <v>142</v>
      </c>
      <c r="D142" t="s">
        <v>31</v>
      </c>
      <c r="E142" t="s">
        <v>171</v>
      </c>
      <c r="F142" s="2">
        <v>45657</v>
      </c>
      <c r="G142">
        <v>2024</v>
      </c>
      <c r="H142" t="s">
        <v>44</v>
      </c>
      <c r="I142" t="s">
        <v>53</v>
      </c>
      <c r="J142">
        <v>2</v>
      </c>
      <c r="K142">
        <v>9557.1950106811255</v>
      </c>
      <c r="L142">
        <v>11947.626618</v>
      </c>
      <c r="M142">
        <v>1.2501185342192269</v>
      </c>
      <c r="N142">
        <v>1.2501185342192269</v>
      </c>
      <c r="O142" t="s">
        <v>143</v>
      </c>
      <c r="P142" t="s">
        <v>143</v>
      </c>
      <c r="Q142" t="s">
        <v>300</v>
      </c>
      <c r="R142">
        <v>0</v>
      </c>
      <c r="S142">
        <v>0</v>
      </c>
      <c r="T142" t="s">
        <v>31</v>
      </c>
    </row>
    <row r="143" spans="1:20" hidden="1" x14ac:dyDescent="0.3">
      <c r="A143">
        <v>379</v>
      </c>
      <c r="B143" t="s">
        <v>301</v>
      </c>
      <c r="C143" t="s">
        <v>302</v>
      </c>
      <c r="D143" t="s">
        <v>31</v>
      </c>
      <c r="E143" t="s">
        <v>32</v>
      </c>
      <c r="F143" s="2">
        <v>44742</v>
      </c>
      <c r="G143">
        <v>2022</v>
      </c>
      <c r="H143" t="s">
        <v>33</v>
      </c>
      <c r="I143" t="s">
        <v>34</v>
      </c>
      <c r="J143">
        <v>1</v>
      </c>
      <c r="K143">
        <v>10808</v>
      </c>
      <c r="L143">
        <v>11013</v>
      </c>
      <c r="M143">
        <v>1.0189674315321979</v>
      </c>
      <c r="N143">
        <v>1.0189674315321979</v>
      </c>
      <c r="O143" t="s">
        <v>35</v>
      </c>
      <c r="P143" t="s">
        <v>35</v>
      </c>
      <c r="Q143" t="s">
        <v>303</v>
      </c>
      <c r="R143">
        <v>0</v>
      </c>
      <c r="S143">
        <v>0</v>
      </c>
      <c r="T143" t="s">
        <v>31</v>
      </c>
    </row>
    <row r="144" spans="1:20" hidden="1" x14ac:dyDescent="0.3">
      <c r="A144">
        <v>379</v>
      </c>
      <c r="B144" t="s">
        <v>301</v>
      </c>
      <c r="C144" t="s">
        <v>302</v>
      </c>
      <c r="D144" t="s">
        <v>31</v>
      </c>
      <c r="E144" t="s">
        <v>32</v>
      </c>
      <c r="F144" s="2">
        <v>44926</v>
      </c>
      <c r="G144">
        <v>2022</v>
      </c>
      <c r="H144" t="s">
        <v>44</v>
      </c>
      <c r="I144" t="s">
        <v>45</v>
      </c>
      <c r="J144">
        <v>2</v>
      </c>
      <c r="K144">
        <v>9192</v>
      </c>
      <c r="L144">
        <v>9678</v>
      </c>
      <c r="M144">
        <v>1.0528720626631849</v>
      </c>
      <c r="N144">
        <v>1.0528720626631849</v>
      </c>
      <c r="O144" t="s">
        <v>35</v>
      </c>
      <c r="P144" t="s">
        <v>35</v>
      </c>
      <c r="Q144" t="s">
        <v>304</v>
      </c>
      <c r="R144">
        <v>0</v>
      </c>
      <c r="S144">
        <v>0</v>
      </c>
      <c r="T144" t="s">
        <v>31</v>
      </c>
    </row>
    <row r="145" spans="1:20" hidden="1" x14ac:dyDescent="0.3">
      <c r="A145">
        <v>379</v>
      </c>
      <c r="B145" t="s">
        <v>301</v>
      </c>
      <c r="C145" t="s">
        <v>302</v>
      </c>
      <c r="D145" t="s">
        <v>31</v>
      </c>
      <c r="E145" t="s">
        <v>32</v>
      </c>
      <c r="F145" s="2">
        <v>45107</v>
      </c>
      <c r="G145">
        <v>2023</v>
      </c>
      <c r="H145" t="s">
        <v>33</v>
      </c>
      <c r="I145" t="s">
        <v>47</v>
      </c>
      <c r="J145">
        <v>1</v>
      </c>
      <c r="K145">
        <v>12130</v>
      </c>
      <c r="L145">
        <v>12382</v>
      </c>
      <c r="M145">
        <v>1.020774938169827</v>
      </c>
      <c r="N145">
        <v>1.020774938169827</v>
      </c>
      <c r="O145" t="s">
        <v>35</v>
      </c>
      <c r="P145" t="s">
        <v>35</v>
      </c>
      <c r="Q145" t="s">
        <v>305</v>
      </c>
      <c r="R145">
        <v>0</v>
      </c>
      <c r="S145">
        <v>0</v>
      </c>
      <c r="T145" t="s">
        <v>31</v>
      </c>
    </row>
    <row r="146" spans="1:20" hidden="1" x14ac:dyDescent="0.3">
      <c r="A146">
        <v>379</v>
      </c>
      <c r="B146" t="s">
        <v>301</v>
      </c>
      <c r="C146" t="s">
        <v>302</v>
      </c>
      <c r="D146" t="s">
        <v>31</v>
      </c>
      <c r="E146" t="s">
        <v>32</v>
      </c>
      <c r="F146" s="2">
        <v>45291</v>
      </c>
      <c r="G146">
        <v>2023</v>
      </c>
      <c r="H146" t="s">
        <v>44</v>
      </c>
      <c r="I146" t="s">
        <v>49</v>
      </c>
      <c r="J146">
        <v>2</v>
      </c>
      <c r="K146">
        <v>9876</v>
      </c>
      <c r="L146">
        <v>10604</v>
      </c>
      <c r="M146">
        <v>1.0737140542729851</v>
      </c>
      <c r="N146">
        <v>1.0737140542729851</v>
      </c>
      <c r="O146" t="s">
        <v>35</v>
      </c>
      <c r="P146" t="s">
        <v>35</v>
      </c>
      <c r="Q146" t="s">
        <v>306</v>
      </c>
      <c r="R146">
        <v>0</v>
      </c>
      <c r="S146">
        <v>0</v>
      </c>
      <c r="T146" t="s">
        <v>31</v>
      </c>
    </row>
    <row r="147" spans="1:20" hidden="1" x14ac:dyDescent="0.3">
      <c r="A147">
        <v>379</v>
      </c>
      <c r="B147" t="s">
        <v>301</v>
      </c>
      <c r="C147" t="s">
        <v>302</v>
      </c>
      <c r="D147" t="s">
        <v>31</v>
      </c>
      <c r="E147" t="s">
        <v>32</v>
      </c>
      <c r="F147" s="2">
        <v>45473</v>
      </c>
      <c r="G147">
        <v>2024</v>
      </c>
      <c r="H147" t="s">
        <v>33</v>
      </c>
      <c r="I147" t="s">
        <v>51</v>
      </c>
      <c r="J147">
        <v>1</v>
      </c>
      <c r="K147">
        <v>13590</v>
      </c>
      <c r="L147">
        <v>12987</v>
      </c>
      <c r="M147">
        <v>0.95562913907284763</v>
      </c>
      <c r="N147">
        <v>0.95562913907284763</v>
      </c>
      <c r="O147" t="s">
        <v>35</v>
      </c>
      <c r="P147" t="s">
        <v>35</v>
      </c>
      <c r="Q147" t="s">
        <v>307</v>
      </c>
      <c r="R147">
        <v>0</v>
      </c>
      <c r="S147">
        <v>0</v>
      </c>
      <c r="T147" t="s">
        <v>31</v>
      </c>
    </row>
    <row r="148" spans="1:20" hidden="1" x14ac:dyDescent="0.3">
      <c r="A148">
        <v>379</v>
      </c>
      <c r="B148" t="s">
        <v>301</v>
      </c>
      <c r="C148" t="s">
        <v>302</v>
      </c>
      <c r="D148" t="s">
        <v>31</v>
      </c>
      <c r="E148" t="s">
        <v>32</v>
      </c>
      <c r="F148" s="2">
        <v>45657</v>
      </c>
      <c r="G148">
        <v>2024</v>
      </c>
      <c r="H148" t="s">
        <v>44</v>
      </c>
      <c r="I148" t="s">
        <v>53</v>
      </c>
      <c r="J148">
        <v>2</v>
      </c>
      <c r="K148">
        <v>10675</v>
      </c>
      <c r="L148">
        <v>10569</v>
      </c>
      <c r="M148">
        <v>0.99007025761124123</v>
      </c>
      <c r="N148">
        <v>0.99007025761124123</v>
      </c>
      <c r="O148" t="s">
        <v>35</v>
      </c>
      <c r="P148" t="s">
        <v>35</v>
      </c>
      <c r="Q148" t="s">
        <v>308</v>
      </c>
      <c r="R148">
        <v>0</v>
      </c>
      <c r="S148">
        <v>0</v>
      </c>
      <c r="T148" t="s">
        <v>31</v>
      </c>
    </row>
    <row r="149" spans="1:20" hidden="1" x14ac:dyDescent="0.3">
      <c r="A149">
        <v>385</v>
      </c>
      <c r="B149" t="s">
        <v>309</v>
      </c>
      <c r="C149" t="s">
        <v>310</v>
      </c>
      <c r="D149" t="s">
        <v>31</v>
      </c>
      <c r="E149" t="s">
        <v>32</v>
      </c>
      <c r="F149" s="2">
        <v>44742</v>
      </c>
      <c r="G149">
        <v>2022</v>
      </c>
      <c r="H149" t="s">
        <v>33</v>
      </c>
      <c r="I149" t="s">
        <v>34</v>
      </c>
      <c r="J149">
        <v>1</v>
      </c>
      <c r="K149">
        <v>4345.5951990000003</v>
      </c>
      <c r="L149">
        <v>4697.0352290000001</v>
      </c>
      <c r="M149">
        <v>1.0808727030260139</v>
      </c>
      <c r="N149">
        <v>1.0808727030260139</v>
      </c>
      <c r="O149" t="s">
        <v>143</v>
      </c>
      <c r="P149" t="s">
        <v>143</v>
      </c>
      <c r="Q149" t="s">
        <v>311</v>
      </c>
      <c r="R149">
        <v>0</v>
      </c>
      <c r="S149">
        <v>0</v>
      </c>
      <c r="T149" t="s">
        <v>31</v>
      </c>
    </row>
    <row r="150" spans="1:20" hidden="1" x14ac:dyDescent="0.3">
      <c r="A150">
        <v>385</v>
      </c>
      <c r="B150" t="s">
        <v>309</v>
      </c>
      <c r="C150" t="s">
        <v>310</v>
      </c>
      <c r="D150" t="s">
        <v>31</v>
      </c>
      <c r="E150" t="s">
        <v>32</v>
      </c>
      <c r="F150" s="2">
        <v>44926</v>
      </c>
      <c r="G150">
        <v>2022</v>
      </c>
      <c r="H150" t="s">
        <v>44</v>
      </c>
      <c r="I150" t="s">
        <v>45</v>
      </c>
      <c r="J150">
        <v>2</v>
      </c>
      <c r="K150">
        <v>9015.4048010000006</v>
      </c>
      <c r="L150">
        <v>5002.9647709999999</v>
      </c>
      <c r="M150">
        <v>0.55493512287380198</v>
      </c>
      <c r="N150">
        <v>0.55493512287380198</v>
      </c>
      <c r="O150" t="s">
        <v>143</v>
      </c>
      <c r="P150" t="s">
        <v>143</v>
      </c>
      <c r="Q150" t="s">
        <v>315</v>
      </c>
      <c r="R150">
        <v>0</v>
      </c>
      <c r="S150">
        <v>0</v>
      </c>
      <c r="T150" t="s">
        <v>31</v>
      </c>
    </row>
    <row r="151" spans="1:20" hidden="1" x14ac:dyDescent="0.3">
      <c r="A151">
        <v>385</v>
      </c>
      <c r="B151" t="s">
        <v>309</v>
      </c>
      <c r="C151" t="s">
        <v>310</v>
      </c>
      <c r="D151" t="s">
        <v>31</v>
      </c>
      <c r="E151" t="s">
        <v>32</v>
      </c>
      <c r="F151" s="2">
        <v>45107</v>
      </c>
      <c r="G151">
        <v>2023</v>
      </c>
      <c r="H151" t="s">
        <v>33</v>
      </c>
      <c r="I151" t="s">
        <v>47</v>
      </c>
      <c r="J151">
        <v>1</v>
      </c>
      <c r="K151">
        <v>5315.2060000000001</v>
      </c>
      <c r="L151">
        <v>5473.8577590000004</v>
      </c>
      <c r="M151">
        <v>1.0298486566654239</v>
      </c>
      <c r="N151">
        <v>1.0298486566654239</v>
      </c>
      <c r="O151" t="s">
        <v>143</v>
      </c>
      <c r="P151" t="s">
        <v>143</v>
      </c>
      <c r="Q151" t="s">
        <v>316</v>
      </c>
      <c r="R151">
        <v>0</v>
      </c>
      <c r="S151">
        <v>0</v>
      </c>
      <c r="T151" t="s">
        <v>31</v>
      </c>
    </row>
    <row r="152" spans="1:20" hidden="1" x14ac:dyDescent="0.3">
      <c r="A152">
        <v>385</v>
      </c>
      <c r="B152" t="s">
        <v>309</v>
      </c>
      <c r="C152" t="s">
        <v>310</v>
      </c>
      <c r="D152" t="s">
        <v>31</v>
      </c>
      <c r="E152" t="s">
        <v>32</v>
      </c>
      <c r="F152" s="2">
        <v>45291</v>
      </c>
      <c r="G152">
        <v>2023</v>
      </c>
      <c r="H152" t="s">
        <v>44</v>
      </c>
      <c r="I152" t="s">
        <v>49</v>
      </c>
      <c r="J152">
        <v>2</v>
      </c>
      <c r="K152">
        <v>8782.5149999999994</v>
      </c>
      <c r="L152">
        <v>12224.295849</v>
      </c>
      <c r="M152">
        <v>1.3</v>
      </c>
      <c r="N152">
        <v>1.3918901190604289</v>
      </c>
      <c r="O152" t="s">
        <v>143</v>
      </c>
      <c r="P152" t="s">
        <v>143</v>
      </c>
      <c r="Q152" t="s">
        <v>317</v>
      </c>
      <c r="R152">
        <v>0</v>
      </c>
      <c r="S152">
        <v>0</v>
      </c>
      <c r="T152" t="s">
        <v>31</v>
      </c>
    </row>
    <row r="153" spans="1:20" hidden="1" x14ac:dyDescent="0.3">
      <c r="A153">
        <v>385</v>
      </c>
      <c r="B153" t="s">
        <v>309</v>
      </c>
      <c r="C153" t="s">
        <v>310</v>
      </c>
      <c r="D153" t="s">
        <v>31</v>
      </c>
      <c r="E153" t="s">
        <v>32</v>
      </c>
      <c r="F153" s="2">
        <v>45473</v>
      </c>
      <c r="G153">
        <v>2024</v>
      </c>
      <c r="H153" t="s">
        <v>33</v>
      </c>
      <c r="I153" t="s">
        <v>51</v>
      </c>
      <c r="J153">
        <v>1</v>
      </c>
      <c r="K153">
        <v>5441.4588450000001</v>
      </c>
      <c r="L153">
        <v>6182.8620629999996</v>
      </c>
      <c r="M153">
        <v>1.1362508178631641</v>
      </c>
      <c r="N153">
        <v>1.1362508178631641</v>
      </c>
      <c r="O153" t="s">
        <v>143</v>
      </c>
      <c r="P153" t="s">
        <v>143</v>
      </c>
      <c r="Q153" t="s">
        <v>318</v>
      </c>
      <c r="R153">
        <v>0</v>
      </c>
      <c r="S153">
        <v>0</v>
      </c>
      <c r="T153" t="s">
        <v>31</v>
      </c>
    </row>
    <row r="154" spans="1:20" hidden="1" x14ac:dyDescent="0.3">
      <c r="A154">
        <v>385</v>
      </c>
      <c r="B154" t="s">
        <v>309</v>
      </c>
      <c r="C154" t="s">
        <v>310</v>
      </c>
      <c r="D154" t="s">
        <v>31</v>
      </c>
      <c r="E154" t="s">
        <v>32</v>
      </c>
      <c r="F154" s="2">
        <v>45657</v>
      </c>
      <c r="G154">
        <v>2024</v>
      </c>
      <c r="H154" t="s">
        <v>44</v>
      </c>
      <c r="I154" t="s">
        <v>53</v>
      </c>
      <c r="J154">
        <v>2</v>
      </c>
      <c r="K154">
        <v>10066.034255</v>
      </c>
      <c r="L154">
        <v>7062.9723630000017</v>
      </c>
      <c r="M154">
        <v>0.70166385133168818</v>
      </c>
      <c r="N154">
        <v>0.70166385133168818</v>
      </c>
      <c r="O154" t="s">
        <v>143</v>
      </c>
      <c r="P154" t="s">
        <v>143</v>
      </c>
      <c r="Q154" t="s">
        <v>319</v>
      </c>
      <c r="R154">
        <v>0</v>
      </c>
      <c r="S154">
        <v>0</v>
      </c>
      <c r="T154" t="s">
        <v>31</v>
      </c>
    </row>
    <row r="155" spans="1:20" hidden="1" x14ac:dyDescent="0.3">
      <c r="A155">
        <v>423</v>
      </c>
      <c r="B155" t="s">
        <v>320</v>
      </c>
      <c r="C155" t="s">
        <v>83</v>
      </c>
      <c r="D155" t="s">
        <v>66</v>
      </c>
      <c r="E155" t="s">
        <v>32</v>
      </c>
      <c r="F155" s="2">
        <v>44926</v>
      </c>
      <c r="G155">
        <v>2022</v>
      </c>
      <c r="H155" t="s">
        <v>44</v>
      </c>
      <c r="I155" t="s">
        <v>45</v>
      </c>
      <c r="J155">
        <v>2</v>
      </c>
      <c r="K155">
        <v>8.8000000000000007</v>
      </c>
      <c r="L155">
        <v>7.8</v>
      </c>
      <c r="M155">
        <v>0.88636363636363624</v>
      </c>
      <c r="N155">
        <v>0.88636363636363624</v>
      </c>
      <c r="Q155" t="s">
        <v>321</v>
      </c>
      <c r="R155">
        <v>1</v>
      </c>
      <c r="S155">
        <v>1</v>
      </c>
      <c r="T155" t="s">
        <v>31</v>
      </c>
    </row>
    <row r="156" spans="1:20" hidden="1" x14ac:dyDescent="0.3">
      <c r="A156">
        <v>423</v>
      </c>
      <c r="B156" t="s">
        <v>320</v>
      </c>
      <c r="C156" t="s">
        <v>83</v>
      </c>
      <c r="D156" t="s">
        <v>66</v>
      </c>
      <c r="E156" t="s">
        <v>32</v>
      </c>
      <c r="F156" s="2">
        <v>45291</v>
      </c>
      <c r="G156">
        <v>2023</v>
      </c>
      <c r="H156" t="s">
        <v>44</v>
      </c>
      <c r="I156" t="s">
        <v>49</v>
      </c>
      <c r="J156">
        <v>2</v>
      </c>
      <c r="K156">
        <v>8.4</v>
      </c>
      <c r="L156">
        <v>7.9</v>
      </c>
      <c r="M156">
        <v>0.94047619047619047</v>
      </c>
      <c r="N156">
        <v>0.94047619047619047</v>
      </c>
      <c r="Q156" t="s">
        <v>323</v>
      </c>
      <c r="R156">
        <v>1</v>
      </c>
      <c r="S156">
        <v>1</v>
      </c>
      <c r="T156" t="s">
        <v>31</v>
      </c>
    </row>
    <row r="157" spans="1:20" hidden="1" x14ac:dyDescent="0.3">
      <c r="A157">
        <v>423</v>
      </c>
      <c r="B157" t="s">
        <v>320</v>
      </c>
      <c r="C157" t="s">
        <v>83</v>
      </c>
      <c r="D157" t="s">
        <v>66</v>
      </c>
      <c r="E157" t="s">
        <v>32</v>
      </c>
      <c r="F157" s="2">
        <v>45657</v>
      </c>
      <c r="G157">
        <v>2024</v>
      </c>
      <c r="H157" t="s">
        <v>44</v>
      </c>
      <c r="I157" t="s">
        <v>53</v>
      </c>
      <c r="J157">
        <v>2</v>
      </c>
      <c r="K157">
        <v>8.3000000000000007</v>
      </c>
      <c r="L157">
        <v>12.3</v>
      </c>
      <c r="M157">
        <v>1.3</v>
      </c>
      <c r="N157">
        <v>1.481927710843373</v>
      </c>
      <c r="Q157" t="s">
        <v>324</v>
      </c>
      <c r="R157">
        <v>0</v>
      </c>
      <c r="S157">
        <v>0</v>
      </c>
      <c r="T157" t="s">
        <v>31</v>
      </c>
    </row>
    <row r="158" spans="1:20" hidden="1" x14ac:dyDescent="0.3">
      <c r="A158">
        <v>424</v>
      </c>
      <c r="B158" t="s">
        <v>325</v>
      </c>
      <c r="C158" t="s">
        <v>83</v>
      </c>
      <c r="D158" t="s">
        <v>66</v>
      </c>
      <c r="E158" t="s">
        <v>32</v>
      </c>
      <c r="F158" s="2">
        <v>44926</v>
      </c>
      <c r="G158">
        <v>2022</v>
      </c>
      <c r="H158" t="s">
        <v>44</v>
      </c>
      <c r="I158" t="s">
        <v>45</v>
      </c>
      <c r="J158">
        <v>2</v>
      </c>
      <c r="K158">
        <v>6.5</v>
      </c>
      <c r="L158">
        <v>5</v>
      </c>
      <c r="M158">
        <v>0.76923076923076927</v>
      </c>
      <c r="N158">
        <v>0.76923076923076927</v>
      </c>
      <c r="Q158" t="s">
        <v>326</v>
      </c>
      <c r="R158">
        <v>0</v>
      </c>
      <c r="S158">
        <v>0</v>
      </c>
      <c r="T158" t="s">
        <v>31</v>
      </c>
    </row>
    <row r="159" spans="1:20" hidden="1" x14ac:dyDescent="0.3">
      <c r="A159">
        <v>424</v>
      </c>
      <c r="B159" t="s">
        <v>325</v>
      </c>
      <c r="C159" t="s">
        <v>83</v>
      </c>
      <c r="D159" t="s">
        <v>66</v>
      </c>
      <c r="E159" t="s">
        <v>32</v>
      </c>
      <c r="F159" s="2">
        <v>45291</v>
      </c>
      <c r="G159">
        <v>2023</v>
      </c>
      <c r="H159" t="s">
        <v>44</v>
      </c>
      <c r="I159" t="s">
        <v>49</v>
      </c>
      <c r="J159">
        <v>2</v>
      </c>
      <c r="K159">
        <v>6</v>
      </c>
      <c r="L159">
        <v>6</v>
      </c>
      <c r="M159">
        <v>1</v>
      </c>
      <c r="N159">
        <v>1</v>
      </c>
      <c r="Q159" t="s">
        <v>327</v>
      </c>
      <c r="R159">
        <v>0</v>
      </c>
      <c r="S159">
        <v>0</v>
      </c>
      <c r="T159" t="s">
        <v>31</v>
      </c>
    </row>
    <row r="160" spans="1:20" hidden="1" x14ac:dyDescent="0.3">
      <c r="A160">
        <v>424</v>
      </c>
      <c r="B160" t="s">
        <v>325</v>
      </c>
      <c r="C160" t="s">
        <v>83</v>
      </c>
      <c r="D160" t="s">
        <v>66</v>
      </c>
      <c r="E160" t="s">
        <v>32</v>
      </c>
      <c r="F160" s="2">
        <v>45657</v>
      </c>
      <c r="G160">
        <v>2024</v>
      </c>
      <c r="H160" t="s">
        <v>44</v>
      </c>
      <c r="I160" t="s">
        <v>53</v>
      </c>
      <c r="J160">
        <v>2</v>
      </c>
      <c r="K160">
        <v>7</v>
      </c>
      <c r="L160">
        <v>9</v>
      </c>
      <c r="M160">
        <v>1.285714285714286</v>
      </c>
      <c r="N160">
        <v>1.285714285714286</v>
      </c>
      <c r="Q160" t="s">
        <v>328</v>
      </c>
      <c r="R160">
        <v>0</v>
      </c>
      <c r="S160">
        <v>0</v>
      </c>
      <c r="T160" t="s">
        <v>31</v>
      </c>
    </row>
    <row r="161" spans="1:20" hidden="1" x14ac:dyDescent="0.3">
      <c r="A161">
        <v>460</v>
      </c>
      <c r="B161" t="s">
        <v>329</v>
      </c>
      <c r="C161" t="s">
        <v>130</v>
      </c>
      <c r="D161" t="s">
        <v>66</v>
      </c>
      <c r="E161" t="s">
        <v>32</v>
      </c>
      <c r="F161" s="2">
        <v>45657</v>
      </c>
      <c r="G161">
        <v>2024</v>
      </c>
      <c r="H161" t="s">
        <v>44</v>
      </c>
      <c r="I161" t="s">
        <v>53</v>
      </c>
      <c r="J161">
        <v>2</v>
      </c>
      <c r="K161">
        <v>80</v>
      </c>
      <c r="L161">
        <v>91.44</v>
      </c>
      <c r="M161">
        <v>1.143</v>
      </c>
      <c r="N161">
        <v>1.143</v>
      </c>
      <c r="Q161" t="s">
        <v>330</v>
      </c>
      <c r="R161">
        <v>0</v>
      </c>
      <c r="S161">
        <v>0</v>
      </c>
      <c r="T161" t="s">
        <v>31</v>
      </c>
    </row>
    <row r="162" spans="1:20" hidden="1" x14ac:dyDescent="0.3">
      <c r="A162">
        <v>463</v>
      </c>
      <c r="B162" t="s">
        <v>332</v>
      </c>
      <c r="C162" t="s">
        <v>130</v>
      </c>
      <c r="D162" t="s">
        <v>31</v>
      </c>
      <c r="E162" t="s">
        <v>32</v>
      </c>
      <c r="F162" s="2">
        <v>45473</v>
      </c>
      <c r="G162">
        <v>2024</v>
      </c>
      <c r="H162" t="s">
        <v>33</v>
      </c>
      <c r="I162" t="s">
        <v>51</v>
      </c>
      <c r="J162">
        <v>1</v>
      </c>
      <c r="K162">
        <v>100</v>
      </c>
      <c r="L162">
        <v>95</v>
      </c>
      <c r="M162">
        <v>0.95</v>
      </c>
      <c r="N162">
        <v>0.95</v>
      </c>
      <c r="Q162" t="s">
        <v>333</v>
      </c>
      <c r="R162">
        <v>0</v>
      </c>
      <c r="S162">
        <v>0</v>
      </c>
      <c r="T162" t="s">
        <v>31</v>
      </c>
    </row>
    <row r="163" spans="1:20" hidden="1" x14ac:dyDescent="0.3">
      <c r="A163">
        <v>463</v>
      </c>
      <c r="B163" t="s">
        <v>332</v>
      </c>
      <c r="C163" t="s">
        <v>130</v>
      </c>
      <c r="D163" t="s">
        <v>31</v>
      </c>
      <c r="E163" t="s">
        <v>32</v>
      </c>
      <c r="F163" s="2">
        <v>45657</v>
      </c>
      <c r="G163">
        <v>2024</v>
      </c>
      <c r="H163" t="s">
        <v>44</v>
      </c>
      <c r="I163" t="s">
        <v>53</v>
      </c>
      <c r="J163">
        <v>2</v>
      </c>
      <c r="K163">
        <v>100</v>
      </c>
      <c r="L163">
        <v>100</v>
      </c>
      <c r="M163">
        <v>1</v>
      </c>
      <c r="N163">
        <v>1</v>
      </c>
      <c r="Q163" t="s">
        <v>335</v>
      </c>
      <c r="R163">
        <v>0</v>
      </c>
      <c r="S163">
        <v>0</v>
      </c>
      <c r="T163" t="s">
        <v>31</v>
      </c>
    </row>
    <row r="164" spans="1:20" hidden="1" x14ac:dyDescent="0.3">
      <c r="A164">
        <v>465</v>
      </c>
      <c r="B164" t="s">
        <v>336</v>
      </c>
      <c r="C164" t="s">
        <v>260</v>
      </c>
      <c r="D164" t="s">
        <v>31</v>
      </c>
      <c r="E164" t="s">
        <v>32</v>
      </c>
      <c r="F164" s="2">
        <v>45473</v>
      </c>
      <c r="G164">
        <v>2024</v>
      </c>
      <c r="H164" t="s">
        <v>33</v>
      </c>
      <c r="I164" t="s">
        <v>51</v>
      </c>
      <c r="J164">
        <v>1</v>
      </c>
      <c r="K164">
        <v>70</v>
      </c>
      <c r="L164">
        <v>57.86</v>
      </c>
      <c r="M164">
        <v>0.82657142857142851</v>
      </c>
      <c r="N164">
        <v>0.82657142857142851</v>
      </c>
      <c r="Q164" t="s">
        <v>337</v>
      </c>
      <c r="R164">
        <v>0</v>
      </c>
      <c r="S164">
        <v>0</v>
      </c>
      <c r="T164" t="s">
        <v>31</v>
      </c>
    </row>
    <row r="165" spans="1:20" hidden="1" x14ac:dyDescent="0.3">
      <c r="A165">
        <v>465</v>
      </c>
      <c r="B165" t="s">
        <v>336</v>
      </c>
      <c r="C165" t="s">
        <v>260</v>
      </c>
      <c r="D165" t="s">
        <v>31</v>
      </c>
      <c r="E165" t="s">
        <v>32</v>
      </c>
      <c r="F165" s="2">
        <v>45657</v>
      </c>
      <c r="G165">
        <v>2024</v>
      </c>
      <c r="H165" t="s">
        <v>44</v>
      </c>
      <c r="I165" t="s">
        <v>53</v>
      </c>
      <c r="J165">
        <v>2</v>
      </c>
      <c r="K165">
        <v>100</v>
      </c>
      <c r="L165">
        <v>56.83</v>
      </c>
      <c r="M165">
        <v>0.56830000000000003</v>
      </c>
      <c r="N165">
        <v>0.56830000000000003</v>
      </c>
      <c r="Q165" t="s">
        <v>340</v>
      </c>
      <c r="R165">
        <v>0</v>
      </c>
      <c r="S165">
        <v>0</v>
      </c>
      <c r="T165" t="s">
        <v>31</v>
      </c>
    </row>
    <row r="166" spans="1:20" hidden="1" x14ac:dyDescent="0.3">
      <c r="A166">
        <v>466</v>
      </c>
      <c r="B166" t="s">
        <v>341</v>
      </c>
      <c r="C166" t="s">
        <v>342</v>
      </c>
      <c r="D166" t="s">
        <v>31</v>
      </c>
      <c r="E166" t="s">
        <v>32</v>
      </c>
      <c r="F166" s="2">
        <v>45473</v>
      </c>
      <c r="G166">
        <v>2024</v>
      </c>
      <c r="H166" t="s">
        <v>33</v>
      </c>
      <c r="I166" t="s">
        <v>51</v>
      </c>
      <c r="J166">
        <v>1</v>
      </c>
      <c r="K166">
        <v>50</v>
      </c>
      <c r="L166">
        <v>59.6</v>
      </c>
      <c r="M166">
        <v>1.1919999999999999</v>
      </c>
      <c r="N166">
        <v>1.1919999999999999</v>
      </c>
      <c r="Q166" t="s">
        <v>343</v>
      </c>
      <c r="R166">
        <v>0</v>
      </c>
      <c r="S166">
        <v>0</v>
      </c>
      <c r="T166" t="s">
        <v>31</v>
      </c>
    </row>
    <row r="167" spans="1:20" hidden="1" x14ac:dyDescent="0.3">
      <c r="A167">
        <v>466</v>
      </c>
      <c r="B167" t="s">
        <v>341</v>
      </c>
      <c r="C167" t="s">
        <v>342</v>
      </c>
      <c r="D167" t="s">
        <v>31</v>
      </c>
      <c r="E167" t="s">
        <v>32</v>
      </c>
      <c r="F167" s="2">
        <v>45657</v>
      </c>
      <c r="G167">
        <v>2024</v>
      </c>
      <c r="H167" t="s">
        <v>44</v>
      </c>
      <c r="I167" t="s">
        <v>53</v>
      </c>
      <c r="J167">
        <v>2</v>
      </c>
      <c r="K167">
        <v>50</v>
      </c>
      <c r="L167">
        <v>53.8</v>
      </c>
      <c r="M167">
        <v>1.0760000000000001</v>
      </c>
      <c r="N167">
        <v>1.0760000000000001</v>
      </c>
      <c r="Q167" t="s">
        <v>344</v>
      </c>
      <c r="R167">
        <v>0</v>
      </c>
      <c r="S167">
        <v>0</v>
      </c>
      <c r="T167" t="s">
        <v>31</v>
      </c>
    </row>
    <row r="168" spans="1:20" hidden="1" x14ac:dyDescent="0.3">
      <c r="A168">
        <v>472</v>
      </c>
      <c r="B168" t="s">
        <v>345</v>
      </c>
      <c r="C168" t="s">
        <v>260</v>
      </c>
      <c r="D168" t="s">
        <v>31</v>
      </c>
      <c r="E168" t="s">
        <v>32</v>
      </c>
      <c r="F168" s="2">
        <v>45473</v>
      </c>
      <c r="G168">
        <v>2024</v>
      </c>
      <c r="H168" t="s">
        <v>33</v>
      </c>
      <c r="I168" t="s">
        <v>51</v>
      </c>
      <c r="J168">
        <v>1</v>
      </c>
      <c r="K168">
        <v>100</v>
      </c>
      <c r="L168">
        <v>82.1</v>
      </c>
      <c r="M168">
        <v>0.82099999999999995</v>
      </c>
      <c r="N168">
        <v>0.82099999999999995</v>
      </c>
      <c r="Q168" t="s">
        <v>346</v>
      </c>
      <c r="R168">
        <v>0</v>
      </c>
      <c r="S168">
        <v>0</v>
      </c>
      <c r="T168" t="s">
        <v>31</v>
      </c>
    </row>
    <row r="169" spans="1:20" hidden="1" x14ac:dyDescent="0.3">
      <c r="A169">
        <v>472</v>
      </c>
      <c r="B169" t="s">
        <v>345</v>
      </c>
      <c r="C169" t="s">
        <v>260</v>
      </c>
      <c r="D169" t="s">
        <v>31</v>
      </c>
      <c r="E169" t="s">
        <v>32</v>
      </c>
      <c r="F169" s="2">
        <v>45657</v>
      </c>
      <c r="G169">
        <v>2024</v>
      </c>
      <c r="H169" t="s">
        <v>44</v>
      </c>
      <c r="I169" t="s">
        <v>53</v>
      </c>
      <c r="J169">
        <v>2</v>
      </c>
      <c r="K169">
        <v>100</v>
      </c>
      <c r="L169">
        <v>100</v>
      </c>
      <c r="M169">
        <v>1</v>
      </c>
      <c r="N169">
        <v>1</v>
      </c>
      <c r="Q169" t="s">
        <v>347</v>
      </c>
      <c r="R169">
        <v>0</v>
      </c>
      <c r="S169">
        <v>0</v>
      </c>
      <c r="T169" t="s">
        <v>31</v>
      </c>
    </row>
    <row r="170" spans="1:20" hidden="1" x14ac:dyDescent="0.3">
      <c r="A170">
        <v>476</v>
      </c>
      <c r="B170" t="s">
        <v>348</v>
      </c>
      <c r="C170" t="s">
        <v>349</v>
      </c>
      <c r="D170" t="s">
        <v>31</v>
      </c>
      <c r="E170" t="s">
        <v>32</v>
      </c>
      <c r="F170" s="2">
        <v>45473</v>
      </c>
      <c r="G170">
        <v>2024</v>
      </c>
      <c r="H170" t="s">
        <v>33</v>
      </c>
      <c r="I170" t="s">
        <v>51</v>
      </c>
      <c r="J170">
        <v>1</v>
      </c>
      <c r="K170">
        <v>15</v>
      </c>
      <c r="L170">
        <v>15</v>
      </c>
      <c r="M170">
        <v>1</v>
      </c>
      <c r="N170">
        <v>1</v>
      </c>
      <c r="Q170" t="s">
        <v>350</v>
      </c>
      <c r="R170">
        <v>0</v>
      </c>
      <c r="S170">
        <v>0</v>
      </c>
      <c r="T170" t="s">
        <v>31</v>
      </c>
    </row>
    <row r="171" spans="1:20" hidden="1" x14ac:dyDescent="0.3">
      <c r="A171">
        <v>476</v>
      </c>
      <c r="B171" t="s">
        <v>348</v>
      </c>
      <c r="C171" t="s">
        <v>349</v>
      </c>
      <c r="D171" t="s">
        <v>31</v>
      </c>
      <c r="E171" t="s">
        <v>32</v>
      </c>
      <c r="F171" s="2">
        <v>45657</v>
      </c>
      <c r="G171">
        <v>2024</v>
      </c>
      <c r="H171" t="s">
        <v>44</v>
      </c>
      <c r="I171" t="s">
        <v>53</v>
      </c>
      <c r="J171">
        <v>2</v>
      </c>
      <c r="K171">
        <v>15</v>
      </c>
      <c r="L171">
        <v>15</v>
      </c>
      <c r="M171">
        <v>1</v>
      </c>
      <c r="N171">
        <v>1</v>
      </c>
      <c r="Q171" t="s">
        <v>352</v>
      </c>
      <c r="R171">
        <v>0</v>
      </c>
      <c r="S171">
        <v>0</v>
      </c>
      <c r="T171" t="s">
        <v>31</v>
      </c>
    </row>
    <row r="172" spans="1:20" hidden="1" x14ac:dyDescent="0.3">
      <c r="A172">
        <v>14.1</v>
      </c>
      <c r="B172" t="s">
        <v>353</v>
      </c>
      <c r="C172" t="s">
        <v>30</v>
      </c>
      <c r="D172" t="s">
        <v>31</v>
      </c>
      <c r="E172" t="s">
        <v>32</v>
      </c>
      <c r="F172" s="2">
        <v>44742</v>
      </c>
      <c r="G172">
        <v>2022</v>
      </c>
      <c r="H172" t="s">
        <v>33</v>
      </c>
      <c r="I172" t="s">
        <v>34</v>
      </c>
      <c r="J172">
        <v>1</v>
      </c>
      <c r="K172">
        <v>7541</v>
      </c>
      <c r="L172">
        <v>7651</v>
      </c>
      <c r="M172">
        <v>1.0145869248110331</v>
      </c>
      <c r="N172">
        <v>1.0145869248110331</v>
      </c>
      <c r="O172" t="s">
        <v>35</v>
      </c>
      <c r="P172" t="s">
        <v>35</v>
      </c>
      <c r="Q172" t="s">
        <v>354</v>
      </c>
      <c r="R172">
        <v>0</v>
      </c>
      <c r="S172">
        <v>0</v>
      </c>
      <c r="T172" t="s">
        <v>31</v>
      </c>
    </row>
    <row r="173" spans="1:20" hidden="1" x14ac:dyDescent="0.3">
      <c r="A173">
        <v>14.1</v>
      </c>
      <c r="B173" t="s">
        <v>353</v>
      </c>
      <c r="C173" t="s">
        <v>30</v>
      </c>
      <c r="D173" t="s">
        <v>31</v>
      </c>
      <c r="E173" t="s">
        <v>32</v>
      </c>
      <c r="F173" s="2">
        <v>44926</v>
      </c>
      <c r="G173">
        <v>2022</v>
      </c>
      <c r="H173" t="s">
        <v>44</v>
      </c>
      <c r="I173" t="s">
        <v>45</v>
      </c>
      <c r="J173">
        <v>2</v>
      </c>
      <c r="K173">
        <v>6730</v>
      </c>
      <c r="L173">
        <v>7539</v>
      </c>
      <c r="M173">
        <v>1.1202080237741461</v>
      </c>
      <c r="N173">
        <v>1.1202080237741461</v>
      </c>
      <c r="O173" t="s">
        <v>35</v>
      </c>
      <c r="P173" t="s">
        <v>35</v>
      </c>
      <c r="Q173" t="s">
        <v>355</v>
      </c>
      <c r="R173">
        <v>0</v>
      </c>
      <c r="S173">
        <v>0</v>
      </c>
      <c r="T173" t="s">
        <v>31</v>
      </c>
    </row>
    <row r="174" spans="1:20" hidden="1" x14ac:dyDescent="0.3">
      <c r="A174">
        <v>14.1</v>
      </c>
      <c r="B174" t="s">
        <v>353</v>
      </c>
      <c r="C174" t="s">
        <v>30</v>
      </c>
      <c r="D174" t="s">
        <v>31</v>
      </c>
      <c r="E174" t="s">
        <v>32</v>
      </c>
      <c r="F174" s="2">
        <v>45107</v>
      </c>
      <c r="G174">
        <v>2023</v>
      </c>
      <c r="H174" t="s">
        <v>33</v>
      </c>
      <c r="I174" t="s">
        <v>47</v>
      </c>
      <c r="J174">
        <v>1</v>
      </c>
      <c r="K174">
        <v>7822</v>
      </c>
      <c r="L174">
        <v>7912</v>
      </c>
      <c r="M174">
        <v>1.0115060086934291</v>
      </c>
      <c r="N174">
        <v>1.0115060086934291</v>
      </c>
      <c r="O174" t="s">
        <v>35</v>
      </c>
      <c r="P174" t="s">
        <v>35</v>
      </c>
      <c r="Q174" t="s">
        <v>356</v>
      </c>
      <c r="R174">
        <v>0</v>
      </c>
      <c r="S174">
        <v>0</v>
      </c>
      <c r="T174" t="s">
        <v>31</v>
      </c>
    </row>
    <row r="175" spans="1:20" hidden="1" x14ac:dyDescent="0.3">
      <c r="A175">
        <v>14.1</v>
      </c>
      <c r="B175" t="s">
        <v>353</v>
      </c>
      <c r="C175" t="s">
        <v>186</v>
      </c>
      <c r="D175" t="s">
        <v>31</v>
      </c>
      <c r="E175" t="s">
        <v>32</v>
      </c>
      <c r="F175" s="2">
        <v>45291</v>
      </c>
      <c r="G175">
        <v>2023</v>
      </c>
      <c r="H175" t="s">
        <v>44</v>
      </c>
      <c r="I175" t="s">
        <v>49</v>
      </c>
      <c r="J175">
        <v>2</v>
      </c>
      <c r="K175">
        <v>7620</v>
      </c>
      <c r="L175">
        <v>8066</v>
      </c>
      <c r="M175">
        <v>1.058530183727034</v>
      </c>
      <c r="N175">
        <v>1.058530183727034</v>
      </c>
      <c r="O175" t="s">
        <v>35</v>
      </c>
      <c r="P175" t="s">
        <v>35</v>
      </c>
      <c r="Q175" t="s">
        <v>357</v>
      </c>
      <c r="R175">
        <v>0</v>
      </c>
      <c r="S175">
        <v>0</v>
      </c>
      <c r="T175" t="s">
        <v>31</v>
      </c>
    </row>
    <row r="176" spans="1:20" hidden="1" x14ac:dyDescent="0.3">
      <c r="A176">
        <v>14.1</v>
      </c>
      <c r="B176" t="s">
        <v>353</v>
      </c>
      <c r="C176" t="s">
        <v>186</v>
      </c>
      <c r="D176" t="s">
        <v>31</v>
      </c>
      <c r="E176" t="s">
        <v>32</v>
      </c>
      <c r="F176" s="2">
        <v>45473</v>
      </c>
      <c r="G176">
        <v>2024</v>
      </c>
      <c r="H176" t="s">
        <v>33</v>
      </c>
      <c r="I176" t="s">
        <v>51</v>
      </c>
      <c r="J176">
        <v>1</v>
      </c>
      <c r="K176">
        <v>8168</v>
      </c>
      <c r="L176">
        <v>8424</v>
      </c>
      <c r="M176">
        <v>1.031341821743389</v>
      </c>
      <c r="N176">
        <v>1.031341821743389</v>
      </c>
      <c r="O176" t="s">
        <v>35</v>
      </c>
      <c r="P176" t="s">
        <v>35</v>
      </c>
      <c r="Q176" t="s">
        <v>358</v>
      </c>
      <c r="R176">
        <v>0</v>
      </c>
      <c r="S176">
        <v>0</v>
      </c>
      <c r="T176" t="s">
        <v>31</v>
      </c>
    </row>
    <row r="177" spans="1:20" hidden="1" x14ac:dyDescent="0.3">
      <c r="A177">
        <v>14.2</v>
      </c>
      <c r="B177" t="s">
        <v>359</v>
      </c>
      <c r="C177" t="s">
        <v>30</v>
      </c>
      <c r="D177" t="s">
        <v>31</v>
      </c>
      <c r="E177" t="s">
        <v>32</v>
      </c>
      <c r="F177" s="2">
        <v>44742</v>
      </c>
      <c r="G177">
        <v>2022</v>
      </c>
      <c r="H177" t="s">
        <v>33</v>
      </c>
      <c r="I177" t="s">
        <v>34</v>
      </c>
      <c r="J177">
        <v>1</v>
      </c>
      <c r="K177">
        <v>42889</v>
      </c>
      <c r="L177">
        <v>43359</v>
      </c>
      <c r="M177">
        <v>1.010958520832848</v>
      </c>
      <c r="N177">
        <v>1.010958520832848</v>
      </c>
      <c r="O177" t="s">
        <v>35</v>
      </c>
      <c r="P177" t="s">
        <v>35</v>
      </c>
      <c r="Q177" t="s">
        <v>360</v>
      </c>
      <c r="R177">
        <v>0</v>
      </c>
      <c r="S177">
        <v>0</v>
      </c>
      <c r="T177" t="s">
        <v>31</v>
      </c>
    </row>
    <row r="178" spans="1:20" hidden="1" x14ac:dyDescent="0.3">
      <c r="A178">
        <v>14.2</v>
      </c>
      <c r="B178" t="s">
        <v>359</v>
      </c>
      <c r="C178" t="s">
        <v>30</v>
      </c>
      <c r="D178" t="s">
        <v>31</v>
      </c>
      <c r="E178" t="s">
        <v>32</v>
      </c>
      <c r="F178" s="2">
        <v>44926</v>
      </c>
      <c r="G178">
        <v>2022</v>
      </c>
      <c r="H178" t="s">
        <v>44</v>
      </c>
      <c r="I178" t="s">
        <v>45</v>
      </c>
      <c r="J178">
        <v>2</v>
      </c>
      <c r="K178">
        <v>42274</v>
      </c>
      <c r="L178">
        <v>42699</v>
      </c>
      <c r="M178">
        <v>1.0100534607560201</v>
      </c>
      <c r="N178">
        <v>1.0100534607560201</v>
      </c>
      <c r="O178" t="s">
        <v>35</v>
      </c>
      <c r="P178" t="s">
        <v>35</v>
      </c>
      <c r="Q178" t="s">
        <v>361</v>
      </c>
      <c r="R178">
        <v>0</v>
      </c>
      <c r="S178">
        <v>0</v>
      </c>
      <c r="T178" t="s">
        <v>31</v>
      </c>
    </row>
    <row r="179" spans="1:20" hidden="1" x14ac:dyDescent="0.3">
      <c r="A179">
        <v>14.2</v>
      </c>
      <c r="B179" t="s">
        <v>359</v>
      </c>
      <c r="C179" t="s">
        <v>30</v>
      </c>
      <c r="D179" t="s">
        <v>31</v>
      </c>
      <c r="E179" t="s">
        <v>32</v>
      </c>
      <c r="F179" s="2">
        <v>45107</v>
      </c>
      <c r="G179">
        <v>2023</v>
      </c>
      <c r="H179" t="s">
        <v>33</v>
      </c>
      <c r="I179" t="s">
        <v>47</v>
      </c>
      <c r="J179">
        <v>1</v>
      </c>
      <c r="K179">
        <v>44355</v>
      </c>
      <c r="L179">
        <v>43561</v>
      </c>
      <c r="M179">
        <v>0.98209897418554837</v>
      </c>
      <c r="N179">
        <v>0.98209897418554837</v>
      </c>
      <c r="O179" t="s">
        <v>35</v>
      </c>
      <c r="P179" t="s">
        <v>35</v>
      </c>
      <c r="Q179" t="s">
        <v>362</v>
      </c>
      <c r="R179">
        <v>0</v>
      </c>
      <c r="S179">
        <v>0</v>
      </c>
      <c r="T179" t="s">
        <v>31</v>
      </c>
    </row>
    <row r="180" spans="1:20" hidden="1" x14ac:dyDescent="0.3">
      <c r="A180">
        <v>14.2</v>
      </c>
      <c r="B180" t="s">
        <v>359</v>
      </c>
      <c r="C180" t="s">
        <v>186</v>
      </c>
      <c r="D180" t="s">
        <v>31</v>
      </c>
      <c r="E180" t="s">
        <v>32</v>
      </c>
      <c r="F180" s="2">
        <v>45291</v>
      </c>
      <c r="G180">
        <v>2023</v>
      </c>
      <c r="H180" t="s">
        <v>44</v>
      </c>
      <c r="I180" t="s">
        <v>49</v>
      </c>
      <c r="J180">
        <v>2</v>
      </c>
      <c r="K180">
        <v>44067</v>
      </c>
      <c r="L180">
        <v>43308</v>
      </c>
      <c r="M180">
        <v>0.98277622710872081</v>
      </c>
      <c r="N180">
        <v>0.98277622710872081</v>
      </c>
      <c r="O180" t="s">
        <v>35</v>
      </c>
      <c r="P180" t="s">
        <v>35</v>
      </c>
      <c r="Q180" t="s">
        <v>363</v>
      </c>
      <c r="R180">
        <v>0</v>
      </c>
      <c r="S180">
        <v>0</v>
      </c>
      <c r="T180" t="s">
        <v>31</v>
      </c>
    </row>
    <row r="181" spans="1:20" hidden="1" x14ac:dyDescent="0.3">
      <c r="A181">
        <v>14.2</v>
      </c>
      <c r="B181" t="s">
        <v>359</v>
      </c>
      <c r="C181" t="s">
        <v>186</v>
      </c>
      <c r="D181" t="s">
        <v>31</v>
      </c>
      <c r="E181" t="s">
        <v>32</v>
      </c>
      <c r="F181" s="2">
        <v>45473</v>
      </c>
      <c r="G181">
        <v>2024</v>
      </c>
      <c r="H181" t="s">
        <v>33</v>
      </c>
      <c r="I181" t="s">
        <v>51</v>
      </c>
      <c r="J181">
        <v>1</v>
      </c>
      <c r="K181">
        <v>44235</v>
      </c>
      <c r="L181">
        <v>44161</v>
      </c>
      <c r="M181">
        <v>0.99832711653667905</v>
      </c>
      <c r="N181">
        <v>1.0007686047563069</v>
      </c>
      <c r="O181" t="s">
        <v>35</v>
      </c>
      <c r="P181" t="s">
        <v>35</v>
      </c>
      <c r="Q181" t="s">
        <v>364</v>
      </c>
      <c r="R181">
        <v>0</v>
      </c>
      <c r="S181">
        <v>0</v>
      </c>
      <c r="T181" t="s">
        <v>31</v>
      </c>
    </row>
    <row r="182" spans="1:20" hidden="1" x14ac:dyDescent="0.3">
      <c r="A182">
        <v>14.3</v>
      </c>
      <c r="B182" t="s">
        <v>365</v>
      </c>
      <c r="C182" t="s">
        <v>186</v>
      </c>
      <c r="D182" t="s">
        <v>31</v>
      </c>
      <c r="E182" t="s">
        <v>32</v>
      </c>
      <c r="F182" s="2">
        <v>44742</v>
      </c>
      <c r="G182">
        <v>2022</v>
      </c>
      <c r="H182" t="s">
        <v>33</v>
      </c>
      <c r="I182" t="s">
        <v>34</v>
      </c>
      <c r="J182">
        <v>1</v>
      </c>
      <c r="K182">
        <v>48022</v>
      </c>
      <c r="L182">
        <v>48614</v>
      </c>
      <c r="M182">
        <v>1.012327683145225</v>
      </c>
      <c r="N182">
        <v>1.012327683145225</v>
      </c>
      <c r="O182" t="s">
        <v>35</v>
      </c>
      <c r="P182" t="s">
        <v>35</v>
      </c>
      <c r="Q182" t="s">
        <v>366</v>
      </c>
      <c r="R182">
        <v>0</v>
      </c>
      <c r="S182">
        <v>0</v>
      </c>
      <c r="T182" t="s">
        <v>31</v>
      </c>
    </row>
    <row r="183" spans="1:20" hidden="1" x14ac:dyDescent="0.3">
      <c r="A183">
        <v>14.3</v>
      </c>
      <c r="B183" t="s">
        <v>365</v>
      </c>
      <c r="C183" t="s">
        <v>186</v>
      </c>
      <c r="D183" t="s">
        <v>31</v>
      </c>
      <c r="E183" t="s">
        <v>32</v>
      </c>
      <c r="F183" s="2">
        <v>44926</v>
      </c>
      <c r="G183">
        <v>2022</v>
      </c>
      <c r="H183" t="s">
        <v>44</v>
      </c>
      <c r="I183" t="s">
        <v>45</v>
      </c>
      <c r="J183">
        <v>2</v>
      </c>
      <c r="K183">
        <v>46674</v>
      </c>
      <c r="L183">
        <v>47631</v>
      </c>
      <c r="M183">
        <v>1.020503920812444</v>
      </c>
      <c r="N183">
        <v>1.020503920812444</v>
      </c>
      <c r="O183" t="s">
        <v>35</v>
      </c>
      <c r="P183" t="s">
        <v>35</v>
      </c>
      <c r="Q183" t="s">
        <v>367</v>
      </c>
      <c r="R183">
        <v>0</v>
      </c>
      <c r="S183">
        <v>0</v>
      </c>
      <c r="T183" t="s">
        <v>31</v>
      </c>
    </row>
    <row r="184" spans="1:20" hidden="1" x14ac:dyDescent="0.3">
      <c r="A184">
        <v>14.3</v>
      </c>
      <c r="B184" t="s">
        <v>365</v>
      </c>
      <c r="C184" t="s">
        <v>186</v>
      </c>
      <c r="D184" t="s">
        <v>31</v>
      </c>
      <c r="E184" t="s">
        <v>32</v>
      </c>
      <c r="F184" s="2">
        <v>45107</v>
      </c>
      <c r="G184">
        <v>2023</v>
      </c>
      <c r="H184" t="s">
        <v>33</v>
      </c>
      <c r="I184" t="s">
        <v>47</v>
      </c>
      <c r="J184">
        <v>1</v>
      </c>
      <c r="K184">
        <v>49451</v>
      </c>
      <c r="L184">
        <v>48483</v>
      </c>
      <c r="M184">
        <v>0.98042506723827627</v>
      </c>
      <c r="N184">
        <v>0.98042506723827627</v>
      </c>
      <c r="O184" t="s">
        <v>35</v>
      </c>
      <c r="P184" t="s">
        <v>35</v>
      </c>
      <c r="Q184" t="s">
        <v>368</v>
      </c>
      <c r="R184">
        <v>0</v>
      </c>
      <c r="S184">
        <v>0</v>
      </c>
      <c r="T184" t="s">
        <v>31</v>
      </c>
    </row>
    <row r="185" spans="1:20" hidden="1" x14ac:dyDescent="0.3">
      <c r="A185">
        <v>14.3</v>
      </c>
      <c r="B185" t="s">
        <v>365</v>
      </c>
      <c r="C185" t="s">
        <v>186</v>
      </c>
      <c r="D185" t="s">
        <v>31</v>
      </c>
      <c r="E185" t="s">
        <v>32</v>
      </c>
      <c r="F185" s="2">
        <v>45291</v>
      </c>
      <c r="G185">
        <v>2023</v>
      </c>
      <c r="H185" t="s">
        <v>44</v>
      </c>
      <c r="I185" t="s">
        <v>49</v>
      </c>
      <c r="J185">
        <v>2</v>
      </c>
      <c r="K185">
        <v>48891</v>
      </c>
      <c r="L185">
        <v>48047</v>
      </c>
      <c r="M185">
        <v>0.98273710907938061</v>
      </c>
      <c r="N185">
        <v>0.98273710907938061</v>
      </c>
      <c r="O185" t="s">
        <v>35</v>
      </c>
      <c r="P185" t="s">
        <v>35</v>
      </c>
      <c r="Q185" t="s">
        <v>369</v>
      </c>
      <c r="R185">
        <v>0</v>
      </c>
      <c r="S185">
        <v>0</v>
      </c>
      <c r="T185" t="s">
        <v>31</v>
      </c>
    </row>
    <row r="186" spans="1:20" hidden="1" x14ac:dyDescent="0.3">
      <c r="A186">
        <v>14.3</v>
      </c>
      <c r="B186" t="s">
        <v>365</v>
      </c>
      <c r="C186" t="s">
        <v>186</v>
      </c>
      <c r="D186" t="s">
        <v>31</v>
      </c>
      <c r="E186" t="s">
        <v>32</v>
      </c>
      <c r="F186" s="2">
        <v>45473</v>
      </c>
      <c r="G186">
        <v>2024</v>
      </c>
      <c r="H186" t="s">
        <v>33</v>
      </c>
      <c r="I186" t="s">
        <v>51</v>
      </c>
      <c r="J186">
        <v>1</v>
      </c>
      <c r="K186">
        <v>49310</v>
      </c>
      <c r="L186">
        <v>49100</v>
      </c>
      <c r="M186">
        <v>0.99574122895964312</v>
      </c>
      <c r="N186">
        <v>0.99574122895964312</v>
      </c>
      <c r="O186" t="s">
        <v>35</v>
      </c>
      <c r="P186" t="s">
        <v>35</v>
      </c>
      <c r="Q186" t="s">
        <v>370</v>
      </c>
      <c r="R186">
        <v>0</v>
      </c>
      <c r="S186">
        <v>0</v>
      </c>
      <c r="T186" t="s">
        <v>31</v>
      </c>
    </row>
    <row r="187" spans="1:20" hidden="1" x14ac:dyDescent="0.3">
      <c r="A187">
        <v>14.4</v>
      </c>
      <c r="B187" t="s">
        <v>371</v>
      </c>
      <c r="C187" t="s">
        <v>186</v>
      </c>
      <c r="D187" t="s">
        <v>31</v>
      </c>
      <c r="E187" t="s">
        <v>32</v>
      </c>
      <c r="F187" s="2">
        <v>44742</v>
      </c>
      <c r="G187">
        <v>2022</v>
      </c>
      <c r="H187" t="s">
        <v>33</v>
      </c>
      <c r="I187" t="s">
        <v>34</v>
      </c>
      <c r="J187">
        <v>1</v>
      </c>
      <c r="K187">
        <v>2408</v>
      </c>
      <c r="L187">
        <v>2398</v>
      </c>
      <c r="M187">
        <v>0.99584717607973416</v>
      </c>
      <c r="N187">
        <v>0.99584717607973416</v>
      </c>
      <c r="O187" t="s">
        <v>35</v>
      </c>
      <c r="P187" t="s">
        <v>35</v>
      </c>
      <c r="Q187" t="s">
        <v>372</v>
      </c>
      <c r="R187">
        <v>0</v>
      </c>
      <c r="S187">
        <v>0</v>
      </c>
      <c r="T187" t="s">
        <v>31</v>
      </c>
    </row>
    <row r="188" spans="1:20" hidden="1" x14ac:dyDescent="0.3">
      <c r="A188">
        <v>14.4</v>
      </c>
      <c r="B188" t="s">
        <v>371</v>
      </c>
      <c r="C188" t="s">
        <v>186</v>
      </c>
      <c r="D188" t="s">
        <v>31</v>
      </c>
      <c r="E188" t="s">
        <v>32</v>
      </c>
      <c r="F188" s="2">
        <v>44925</v>
      </c>
      <c r="G188">
        <v>2022</v>
      </c>
      <c r="H188" t="s">
        <v>44</v>
      </c>
      <c r="I188" t="s">
        <v>45</v>
      </c>
      <c r="J188">
        <v>2</v>
      </c>
      <c r="K188">
        <v>2230</v>
      </c>
      <c r="L188">
        <v>2610</v>
      </c>
      <c r="M188">
        <v>1.170403587443946</v>
      </c>
      <c r="N188">
        <v>1.170403587443946</v>
      </c>
      <c r="O188" t="s">
        <v>35</v>
      </c>
      <c r="P188" t="s">
        <v>35</v>
      </c>
      <c r="Q188" t="s">
        <v>373</v>
      </c>
      <c r="R188">
        <v>0</v>
      </c>
      <c r="S188">
        <v>0</v>
      </c>
      <c r="T188" t="s">
        <v>31</v>
      </c>
    </row>
    <row r="189" spans="1:20" hidden="1" x14ac:dyDescent="0.3">
      <c r="A189">
        <v>14.4</v>
      </c>
      <c r="B189" t="s">
        <v>371</v>
      </c>
      <c r="C189" t="s">
        <v>186</v>
      </c>
      <c r="D189" t="s">
        <v>31</v>
      </c>
      <c r="E189" t="s">
        <v>32</v>
      </c>
      <c r="F189" s="2">
        <v>45107</v>
      </c>
      <c r="G189">
        <v>2023</v>
      </c>
      <c r="H189" t="s">
        <v>33</v>
      </c>
      <c r="I189" t="s">
        <v>47</v>
      </c>
      <c r="J189">
        <v>1</v>
      </c>
      <c r="K189">
        <v>2726</v>
      </c>
      <c r="L189">
        <v>2990</v>
      </c>
      <c r="M189">
        <v>1.096845194424064</v>
      </c>
      <c r="N189">
        <v>1.096845194424064</v>
      </c>
      <c r="O189" t="s">
        <v>35</v>
      </c>
      <c r="P189" t="s">
        <v>35</v>
      </c>
      <c r="Q189" t="s">
        <v>374</v>
      </c>
      <c r="R189">
        <v>0</v>
      </c>
      <c r="S189">
        <v>0</v>
      </c>
      <c r="T189" t="s">
        <v>31</v>
      </c>
    </row>
    <row r="190" spans="1:20" hidden="1" x14ac:dyDescent="0.3">
      <c r="A190">
        <v>14.4</v>
      </c>
      <c r="B190" t="s">
        <v>371</v>
      </c>
      <c r="C190" t="s">
        <v>186</v>
      </c>
      <c r="D190" t="s">
        <v>31</v>
      </c>
      <c r="E190" t="s">
        <v>32</v>
      </c>
      <c r="F190" s="2">
        <v>45291</v>
      </c>
      <c r="G190">
        <v>2023</v>
      </c>
      <c r="H190" t="s">
        <v>44</v>
      </c>
      <c r="I190" t="s">
        <v>49</v>
      </c>
      <c r="J190">
        <v>2</v>
      </c>
      <c r="K190">
        <v>2796</v>
      </c>
      <c r="L190">
        <v>3328</v>
      </c>
      <c r="M190">
        <v>1.1902718168812589</v>
      </c>
      <c r="N190">
        <v>1.1902718168812589</v>
      </c>
      <c r="O190" t="s">
        <v>35</v>
      </c>
      <c r="P190" t="s">
        <v>35</v>
      </c>
      <c r="Q190" t="s">
        <v>375</v>
      </c>
      <c r="R190">
        <v>0</v>
      </c>
      <c r="S190">
        <v>0</v>
      </c>
      <c r="T190" t="s">
        <v>31</v>
      </c>
    </row>
    <row r="191" spans="1:20" hidden="1" x14ac:dyDescent="0.3">
      <c r="A191">
        <v>14.4</v>
      </c>
      <c r="B191" t="s">
        <v>371</v>
      </c>
      <c r="C191" t="s">
        <v>186</v>
      </c>
      <c r="D191" t="s">
        <v>31</v>
      </c>
      <c r="E191" t="s">
        <v>32</v>
      </c>
      <c r="F191" s="2">
        <v>45473</v>
      </c>
      <c r="G191">
        <v>2024</v>
      </c>
      <c r="H191" t="s">
        <v>33</v>
      </c>
      <c r="I191" t="s">
        <v>51</v>
      </c>
      <c r="J191">
        <v>1</v>
      </c>
      <c r="K191">
        <v>3093</v>
      </c>
      <c r="L191">
        <v>3485</v>
      </c>
      <c r="M191">
        <v>1.1267377950210149</v>
      </c>
      <c r="N191">
        <v>1.1267377950210149</v>
      </c>
      <c r="O191" t="s">
        <v>35</v>
      </c>
      <c r="P191" t="s">
        <v>35</v>
      </c>
      <c r="Q191" t="s">
        <v>376</v>
      </c>
      <c r="R191">
        <v>0</v>
      </c>
      <c r="S191">
        <v>0</v>
      </c>
      <c r="T191" t="s">
        <v>31</v>
      </c>
    </row>
    <row r="192" spans="1:20" hidden="1" x14ac:dyDescent="0.3">
      <c r="A192">
        <v>386.1</v>
      </c>
      <c r="B192" t="s">
        <v>471</v>
      </c>
      <c r="C192" t="s">
        <v>310</v>
      </c>
      <c r="D192" t="s">
        <v>31</v>
      </c>
      <c r="E192" t="s">
        <v>32</v>
      </c>
      <c r="F192" s="2">
        <v>45107</v>
      </c>
      <c r="G192">
        <v>2023</v>
      </c>
      <c r="H192" t="s">
        <v>33</v>
      </c>
      <c r="I192" t="s">
        <v>47</v>
      </c>
      <c r="J192">
        <v>1</v>
      </c>
      <c r="K192">
        <v>240.869</v>
      </c>
      <c r="L192">
        <v>883.81096500000001</v>
      </c>
      <c r="M192">
        <v>1.3</v>
      </c>
      <c r="N192">
        <v>3.6692599089131441</v>
      </c>
      <c r="Q192" t="s">
        <v>378</v>
      </c>
      <c r="R192">
        <v>0</v>
      </c>
      <c r="S192">
        <v>0</v>
      </c>
      <c r="T192" t="s">
        <v>31</v>
      </c>
    </row>
    <row r="193" spans="1:20" hidden="1" x14ac:dyDescent="0.3">
      <c r="A193">
        <v>386.1</v>
      </c>
      <c r="B193" t="s">
        <v>471</v>
      </c>
      <c r="C193" t="s">
        <v>310</v>
      </c>
      <c r="D193" t="s">
        <v>31</v>
      </c>
      <c r="E193" t="s">
        <v>32</v>
      </c>
      <c r="F193" s="2">
        <v>45291</v>
      </c>
      <c r="G193">
        <v>2023</v>
      </c>
      <c r="H193" t="s">
        <v>44</v>
      </c>
      <c r="I193" t="s">
        <v>49</v>
      </c>
      <c r="J193">
        <v>2</v>
      </c>
      <c r="K193">
        <v>1116.9090000000001</v>
      </c>
      <c r="L193">
        <v>2896.1173829999998</v>
      </c>
      <c r="M193">
        <v>1.3</v>
      </c>
      <c r="N193">
        <v>2.5929752405970401</v>
      </c>
      <c r="Q193" t="s">
        <v>379</v>
      </c>
      <c r="R193">
        <v>0</v>
      </c>
      <c r="S193">
        <v>0</v>
      </c>
      <c r="T193" t="s">
        <v>31</v>
      </c>
    </row>
    <row r="194" spans="1:20" hidden="1" x14ac:dyDescent="0.3">
      <c r="A194">
        <v>386.1</v>
      </c>
      <c r="B194" t="s">
        <v>471</v>
      </c>
      <c r="C194" t="s">
        <v>310</v>
      </c>
      <c r="D194" t="s">
        <v>31</v>
      </c>
      <c r="E194" t="s">
        <v>32</v>
      </c>
      <c r="F194" s="2">
        <v>45473</v>
      </c>
      <c r="G194">
        <v>2024</v>
      </c>
      <c r="H194" t="s">
        <v>33</v>
      </c>
      <c r="I194" t="s">
        <v>51</v>
      </c>
      <c r="J194">
        <v>1</v>
      </c>
      <c r="K194">
        <v>817.70707000000004</v>
      </c>
      <c r="L194">
        <v>1076.3764839999999</v>
      </c>
      <c r="M194">
        <v>1.3</v>
      </c>
      <c r="N194">
        <v>1.3163350587148519</v>
      </c>
      <c r="O194" t="s">
        <v>143</v>
      </c>
      <c r="P194" t="s">
        <v>143</v>
      </c>
      <c r="Q194" t="s">
        <v>380</v>
      </c>
      <c r="R194">
        <v>0</v>
      </c>
      <c r="S194">
        <v>0</v>
      </c>
      <c r="T194" t="s">
        <v>31</v>
      </c>
    </row>
    <row r="195" spans="1:20" hidden="1" x14ac:dyDescent="0.3">
      <c r="A195">
        <v>386.1</v>
      </c>
      <c r="B195" t="s">
        <v>471</v>
      </c>
      <c r="C195" t="s">
        <v>310</v>
      </c>
      <c r="D195" t="s">
        <v>31</v>
      </c>
      <c r="E195" t="s">
        <v>32</v>
      </c>
      <c r="F195" s="2">
        <v>45657</v>
      </c>
      <c r="G195">
        <v>2024</v>
      </c>
      <c r="H195" t="s">
        <v>44</v>
      </c>
      <c r="I195" t="s">
        <v>53</v>
      </c>
      <c r="J195">
        <v>2</v>
      </c>
      <c r="K195">
        <v>2606.5003262</v>
      </c>
      <c r="L195">
        <v>3617.8366059999998</v>
      </c>
      <c r="M195">
        <v>1.3</v>
      </c>
      <c r="N195">
        <v>1.3880054299760709</v>
      </c>
      <c r="O195" t="s">
        <v>143</v>
      </c>
      <c r="P195" t="s">
        <v>143</v>
      </c>
      <c r="Q195" t="s">
        <v>381</v>
      </c>
      <c r="R195">
        <v>0</v>
      </c>
      <c r="S195">
        <v>0</v>
      </c>
      <c r="T195" t="s">
        <v>31</v>
      </c>
    </row>
    <row r="196" spans="1:20" hidden="1" x14ac:dyDescent="0.3">
      <c r="A196">
        <v>386.2</v>
      </c>
      <c r="B196" t="s">
        <v>472</v>
      </c>
      <c r="C196" t="s">
        <v>310</v>
      </c>
      <c r="D196" t="s">
        <v>31</v>
      </c>
      <c r="E196" t="s">
        <v>32</v>
      </c>
      <c r="F196" s="2">
        <v>45107</v>
      </c>
      <c r="G196">
        <v>2023</v>
      </c>
      <c r="H196" t="s">
        <v>33</v>
      </c>
      <c r="I196" t="s">
        <v>47</v>
      </c>
      <c r="J196">
        <v>1</v>
      </c>
      <c r="K196">
        <v>2268.5070000000001</v>
      </c>
      <c r="L196">
        <v>2406.8934370000002</v>
      </c>
      <c r="M196">
        <v>1.0610033105474219</v>
      </c>
      <c r="N196">
        <v>1.0610033105474219</v>
      </c>
      <c r="Q196" t="s">
        <v>383</v>
      </c>
      <c r="R196">
        <v>0</v>
      </c>
      <c r="S196">
        <v>0</v>
      </c>
      <c r="T196" t="s">
        <v>31</v>
      </c>
    </row>
    <row r="197" spans="1:20" hidden="1" x14ac:dyDescent="0.3">
      <c r="A197">
        <v>386.2</v>
      </c>
      <c r="B197" t="s">
        <v>472</v>
      </c>
      <c r="C197" t="s">
        <v>310</v>
      </c>
      <c r="D197" t="s">
        <v>31</v>
      </c>
      <c r="E197" t="s">
        <v>32</v>
      </c>
      <c r="F197" s="2">
        <v>45291</v>
      </c>
      <c r="G197">
        <v>2023</v>
      </c>
      <c r="H197" t="s">
        <v>44</v>
      </c>
      <c r="I197" t="s">
        <v>49</v>
      </c>
      <c r="J197">
        <v>2</v>
      </c>
      <c r="K197">
        <v>4813.4959999999992</v>
      </c>
      <c r="L197">
        <v>7461.524879999999</v>
      </c>
      <c r="M197">
        <v>1.3</v>
      </c>
      <c r="N197">
        <v>1.5501259126422871</v>
      </c>
      <c r="Q197" t="s">
        <v>384</v>
      </c>
      <c r="R197">
        <v>0</v>
      </c>
      <c r="S197">
        <v>0</v>
      </c>
      <c r="T197" t="s">
        <v>31</v>
      </c>
    </row>
    <row r="198" spans="1:20" hidden="1" x14ac:dyDescent="0.3">
      <c r="A198">
        <v>386.2</v>
      </c>
      <c r="B198" t="s">
        <v>472</v>
      </c>
      <c r="C198" t="s">
        <v>310</v>
      </c>
      <c r="D198" t="s">
        <v>31</v>
      </c>
      <c r="E198" t="s">
        <v>32</v>
      </c>
      <c r="F198" s="2">
        <v>45473</v>
      </c>
      <c r="G198">
        <v>2024</v>
      </c>
      <c r="H198" t="s">
        <v>33</v>
      </c>
      <c r="I198" t="s">
        <v>51</v>
      </c>
      <c r="J198">
        <v>1</v>
      </c>
      <c r="K198">
        <v>2674.9657400000001</v>
      </c>
      <c r="L198">
        <v>2915.5557789999998</v>
      </c>
      <c r="M198">
        <v>1.089941353417109</v>
      </c>
      <c r="N198">
        <v>1.089941353417109</v>
      </c>
      <c r="O198" t="s">
        <v>143</v>
      </c>
      <c r="P198" t="s">
        <v>143</v>
      </c>
      <c r="Q198" t="s">
        <v>385</v>
      </c>
      <c r="R198">
        <v>0</v>
      </c>
      <c r="S198">
        <v>0</v>
      </c>
      <c r="T198" t="s">
        <v>31</v>
      </c>
    </row>
    <row r="199" spans="1:20" hidden="1" x14ac:dyDescent="0.3">
      <c r="A199">
        <v>386.2</v>
      </c>
      <c r="B199" t="s">
        <v>472</v>
      </c>
      <c r="C199" t="s">
        <v>310</v>
      </c>
      <c r="D199" t="s">
        <v>31</v>
      </c>
      <c r="E199" t="s">
        <v>32</v>
      </c>
      <c r="F199" s="2">
        <v>45657</v>
      </c>
      <c r="G199">
        <v>2024</v>
      </c>
      <c r="H199" t="s">
        <v>44</v>
      </c>
      <c r="I199" t="s">
        <v>53</v>
      </c>
      <c r="J199">
        <v>2</v>
      </c>
      <c r="K199">
        <v>5036.1600211000004</v>
      </c>
      <c r="L199">
        <v>1255.13023</v>
      </c>
      <c r="M199">
        <v>1.089941353417109</v>
      </c>
      <c r="N199">
        <v>1.089941353417109</v>
      </c>
      <c r="O199" t="s">
        <v>143</v>
      </c>
      <c r="P199" t="s">
        <v>143</v>
      </c>
      <c r="Q199" t="s">
        <v>386</v>
      </c>
      <c r="R199">
        <v>0</v>
      </c>
      <c r="S199">
        <v>0</v>
      </c>
      <c r="T199" t="s">
        <v>31</v>
      </c>
    </row>
    <row r="200" spans="1:20" hidden="1" x14ac:dyDescent="0.3">
      <c r="A200">
        <v>386.3</v>
      </c>
      <c r="B200" t="s">
        <v>387</v>
      </c>
      <c r="C200" t="s">
        <v>310</v>
      </c>
      <c r="D200" t="s">
        <v>31</v>
      </c>
      <c r="E200" t="s">
        <v>32</v>
      </c>
      <c r="F200" s="2">
        <v>45107</v>
      </c>
      <c r="G200">
        <v>2023</v>
      </c>
      <c r="H200" t="s">
        <v>33</v>
      </c>
      <c r="I200" t="s">
        <v>47</v>
      </c>
      <c r="J200">
        <v>1</v>
      </c>
      <c r="K200">
        <v>2805.83</v>
      </c>
      <c r="L200">
        <v>2183.1533570000001</v>
      </c>
      <c r="M200">
        <v>0.77807755886849883</v>
      </c>
      <c r="N200">
        <v>0.77807755886849883</v>
      </c>
      <c r="Q200" t="s">
        <v>388</v>
      </c>
      <c r="R200">
        <v>0</v>
      </c>
      <c r="S200">
        <v>0</v>
      </c>
      <c r="T200" t="s">
        <v>31</v>
      </c>
    </row>
    <row r="201" spans="1:20" hidden="1" x14ac:dyDescent="0.3">
      <c r="A201">
        <v>386.3</v>
      </c>
      <c r="B201" t="s">
        <v>387</v>
      </c>
      <c r="C201" t="s">
        <v>310</v>
      </c>
      <c r="D201" t="s">
        <v>31</v>
      </c>
      <c r="E201" t="s">
        <v>32</v>
      </c>
      <c r="F201" s="2">
        <v>45291</v>
      </c>
      <c r="G201">
        <v>2023</v>
      </c>
      <c r="H201" t="s">
        <v>44</v>
      </c>
      <c r="I201" t="s">
        <v>49</v>
      </c>
      <c r="J201">
        <v>2</v>
      </c>
      <c r="K201">
        <v>2852.11</v>
      </c>
      <c r="L201">
        <v>1865.5805049999999</v>
      </c>
      <c r="M201">
        <v>0.65410538338282886</v>
      </c>
      <c r="N201">
        <v>0.65410538338282886</v>
      </c>
      <c r="Q201" t="s">
        <v>389</v>
      </c>
      <c r="R201">
        <v>0</v>
      </c>
      <c r="S201">
        <v>0</v>
      </c>
      <c r="T201" t="s">
        <v>31</v>
      </c>
    </row>
    <row r="202" spans="1:20" hidden="1" x14ac:dyDescent="0.3">
      <c r="A202">
        <v>386.3</v>
      </c>
      <c r="B202" t="s">
        <v>387</v>
      </c>
      <c r="C202" t="s">
        <v>310</v>
      </c>
      <c r="D202" t="s">
        <v>31</v>
      </c>
      <c r="E202" t="s">
        <v>32</v>
      </c>
      <c r="F202" s="2">
        <v>45473</v>
      </c>
      <c r="G202">
        <v>2024</v>
      </c>
      <c r="H202" t="s">
        <v>33</v>
      </c>
      <c r="I202" t="s">
        <v>51</v>
      </c>
      <c r="J202">
        <v>1</v>
      </c>
      <c r="K202">
        <v>1948.7860350000001</v>
      </c>
      <c r="L202">
        <v>2190.9297999999999</v>
      </c>
      <c r="M202">
        <v>1.1242536433713719</v>
      </c>
      <c r="N202">
        <v>1.1242536433713719</v>
      </c>
      <c r="O202" t="s">
        <v>143</v>
      </c>
      <c r="P202" t="s">
        <v>143</v>
      </c>
      <c r="Q202" t="s">
        <v>390</v>
      </c>
      <c r="R202">
        <v>0</v>
      </c>
      <c r="S202">
        <v>0</v>
      </c>
      <c r="T202" t="s">
        <v>31</v>
      </c>
    </row>
    <row r="203" spans="1:20" hidden="1" x14ac:dyDescent="0.3">
      <c r="A203">
        <v>386.3</v>
      </c>
      <c r="B203" t="s">
        <v>387</v>
      </c>
      <c r="C203" t="s">
        <v>310</v>
      </c>
      <c r="D203" t="s">
        <v>31</v>
      </c>
      <c r="E203" t="s">
        <v>32</v>
      </c>
      <c r="F203" s="2">
        <v>45657</v>
      </c>
      <c r="G203">
        <v>2024</v>
      </c>
      <c r="H203" t="s">
        <v>44</v>
      </c>
      <c r="I203" t="s">
        <v>53</v>
      </c>
      <c r="J203">
        <v>2</v>
      </c>
      <c r="K203">
        <v>2423.3739076999991</v>
      </c>
      <c r="L203">
        <v>2187.3099499999998</v>
      </c>
      <c r="M203">
        <v>1.1242536433713719</v>
      </c>
      <c r="N203">
        <v>1.1242536433713719</v>
      </c>
      <c r="O203" t="s">
        <v>143</v>
      </c>
      <c r="P203" t="s">
        <v>143</v>
      </c>
      <c r="Q203" t="s">
        <v>391</v>
      </c>
      <c r="R203">
        <v>0</v>
      </c>
      <c r="S203">
        <v>0</v>
      </c>
      <c r="T203" t="s">
        <v>31</v>
      </c>
    </row>
    <row r="204" spans="1:20" hidden="1" x14ac:dyDescent="0.3">
      <c r="A204">
        <v>77</v>
      </c>
      <c r="B204" t="s">
        <v>55</v>
      </c>
      <c r="C204" t="s">
        <v>56</v>
      </c>
      <c r="D204" t="s">
        <v>57</v>
      </c>
      <c r="E204" t="s">
        <v>32</v>
      </c>
      <c r="F204" s="2">
        <v>45473</v>
      </c>
      <c r="G204">
        <v>2024</v>
      </c>
      <c r="H204" t="s">
        <v>33</v>
      </c>
      <c r="I204" t="s">
        <v>51</v>
      </c>
      <c r="J204">
        <v>1</v>
      </c>
      <c r="K204">
        <v>97</v>
      </c>
      <c r="L204">
        <v>98.331666666666663</v>
      </c>
      <c r="M204">
        <v>1.01372852233677</v>
      </c>
      <c r="N204">
        <v>1.01372852233677</v>
      </c>
      <c r="O204" t="s">
        <v>58</v>
      </c>
      <c r="P204" t="s">
        <v>58</v>
      </c>
      <c r="Q204" t="s">
        <v>392</v>
      </c>
      <c r="R204">
        <v>0</v>
      </c>
      <c r="S204">
        <v>1</v>
      </c>
      <c r="T204" t="s">
        <v>31</v>
      </c>
    </row>
    <row r="205" spans="1:20" hidden="1" x14ac:dyDescent="0.3">
      <c r="A205">
        <v>77</v>
      </c>
      <c r="B205" t="s">
        <v>55</v>
      </c>
      <c r="C205" t="s">
        <v>56</v>
      </c>
      <c r="D205" t="s">
        <v>57</v>
      </c>
      <c r="E205" t="s">
        <v>32</v>
      </c>
      <c r="F205" s="2">
        <v>45657</v>
      </c>
      <c r="G205">
        <v>2024</v>
      </c>
      <c r="H205" t="s">
        <v>44</v>
      </c>
      <c r="I205" t="s">
        <v>53</v>
      </c>
      <c r="J205">
        <v>2</v>
      </c>
      <c r="K205">
        <v>97</v>
      </c>
      <c r="L205">
        <v>96.533333333333346</v>
      </c>
      <c r="M205">
        <v>0.99518900343642624</v>
      </c>
      <c r="N205">
        <v>0.99518900343642624</v>
      </c>
      <c r="O205" t="s">
        <v>58</v>
      </c>
      <c r="P205" t="s">
        <v>58</v>
      </c>
      <c r="Q205" t="s">
        <v>393</v>
      </c>
      <c r="R205">
        <v>0</v>
      </c>
      <c r="S205">
        <v>1</v>
      </c>
      <c r="T205" t="s">
        <v>31</v>
      </c>
    </row>
    <row r="206" spans="1:20" hidden="1" x14ac:dyDescent="0.3">
      <c r="A206">
        <v>96</v>
      </c>
      <c r="B206" t="s">
        <v>70</v>
      </c>
      <c r="C206" t="s">
        <v>71</v>
      </c>
      <c r="D206" t="s">
        <v>31</v>
      </c>
      <c r="E206" t="s">
        <v>32</v>
      </c>
      <c r="F206" s="2">
        <v>45657</v>
      </c>
      <c r="G206">
        <v>2024</v>
      </c>
      <c r="H206" t="s">
        <v>44</v>
      </c>
      <c r="I206" t="s">
        <v>53</v>
      </c>
      <c r="J206">
        <v>2</v>
      </c>
      <c r="K206">
        <v>336</v>
      </c>
      <c r="L206">
        <v>597</v>
      </c>
      <c r="M206">
        <v>1.3</v>
      </c>
      <c r="N206">
        <v>1.776785714285714</v>
      </c>
      <c r="O206" t="s">
        <v>35</v>
      </c>
      <c r="P206" t="s">
        <v>35</v>
      </c>
      <c r="Q206" t="s">
        <v>394</v>
      </c>
      <c r="R206">
        <v>0</v>
      </c>
      <c r="S206">
        <v>0</v>
      </c>
      <c r="T206" t="s">
        <v>31</v>
      </c>
    </row>
    <row r="207" spans="1:20" hidden="1" x14ac:dyDescent="0.3">
      <c r="A207">
        <v>97</v>
      </c>
      <c r="B207" t="s">
        <v>82</v>
      </c>
      <c r="C207" t="s">
        <v>83</v>
      </c>
      <c r="D207" t="s">
        <v>31</v>
      </c>
      <c r="E207" t="s">
        <v>32</v>
      </c>
      <c r="F207" s="2">
        <v>45473</v>
      </c>
      <c r="G207">
        <v>2024</v>
      </c>
      <c r="H207" t="s">
        <v>33</v>
      </c>
      <c r="I207" t="s">
        <v>51</v>
      </c>
      <c r="J207">
        <v>1</v>
      </c>
      <c r="K207">
        <v>0</v>
      </c>
      <c r="L207">
        <v>0</v>
      </c>
      <c r="Q207" t="s">
        <v>395</v>
      </c>
      <c r="R207">
        <v>0</v>
      </c>
      <c r="S207">
        <v>0</v>
      </c>
      <c r="T207" t="s">
        <v>31</v>
      </c>
    </row>
    <row r="208" spans="1:20" hidden="1" x14ac:dyDescent="0.3">
      <c r="A208">
        <v>97</v>
      </c>
      <c r="B208" t="s">
        <v>82</v>
      </c>
      <c r="C208" t="s">
        <v>83</v>
      </c>
      <c r="D208" t="s">
        <v>31</v>
      </c>
      <c r="E208" t="s">
        <v>32</v>
      </c>
      <c r="F208" s="2">
        <v>45657</v>
      </c>
      <c r="G208">
        <v>2024</v>
      </c>
      <c r="H208" t="s">
        <v>44</v>
      </c>
      <c r="I208" t="s">
        <v>53</v>
      </c>
      <c r="J208">
        <v>2</v>
      </c>
      <c r="K208">
        <v>0</v>
      </c>
      <c r="L208">
        <v>0</v>
      </c>
      <c r="Q208" t="s">
        <v>396</v>
      </c>
      <c r="R208">
        <v>0</v>
      </c>
      <c r="S208">
        <v>0</v>
      </c>
      <c r="T208" t="s">
        <v>31</v>
      </c>
    </row>
    <row r="209" spans="1:20" hidden="1" x14ac:dyDescent="0.3">
      <c r="A209">
        <v>98</v>
      </c>
      <c r="B209" t="s">
        <v>91</v>
      </c>
      <c r="C209" t="s">
        <v>83</v>
      </c>
      <c r="D209" t="s">
        <v>31</v>
      </c>
      <c r="E209" t="s">
        <v>32</v>
      </c>
      <c r="F209" s="2">
        <v>45473</v>
      </c>
      <c r="G209">
        <v>2024</v>
      </c>
      <c r="H209" t="s">
        <v>33</v>
      </c>
      <c r="I209" t="s">
        <v>47</v>
      </c>
      <c r="J209">
        <v>1</v>
      </c>
      <c r="K209">
        <v>0</v>
      </c>
      <c r="L209">
        <v>0</v>
      </c>
      <c r="Q209" t="s">
        <v>397</v>
      </c>
      <c r="R209">
        <v>0</v>
      </c>
      <c r="S209">
        <v>0</v>
      </c>
      <c r="T209" t="s">
        <v>31</v>
      </c>
    </row>
    <row r="210" spans="1:20" hidden="1" x14ac:dyDescent="0.3">
      <c r="A210">
        <v>98</v>
      </c>
      <c r="B210" t="s">
        <v>91</v>
      </c>
      <c r="C210" t="s">
        <v>83</v>
      </c>
      <c r="D210" t="s">
        <v>31</v>
      </c>
      <c r="E210" t="s">
        <v>32</v>
      </c>
      <c r="F210" s="2">
        <v>45657</v>
      </c>
      <c r="G210">
        <v>2024</v>
      </c>
      <c r="H210" t="s">
        <v>44</v>
      </c>
      <c r="I210" t="s">
        <v>53</v>
      </c>
      <c r="J210">
        <v>2</v>
      </c>
      <c r="K210">
        <v>5</v>
      </c>
      <c r="L210">
        <v>5</v>
      </c>
      <c r="M210">
        <v>1</v>
      </c>
      <c r="N210">
        <v>1</v>
      </c>
      <c r="O210" t="s">
        <v>35</v>
      </c>
      <c r="P210" t="s">
        <v>35</v>
      </c>
      <c r="Q210" t="s">
        <v>398</v>
      </c>
      <c r="R210">
        <v>0</v>
      </c>
      <c r="S210">
        <v>0</v>
      </c>
      <c r="T210" t="s">
        <v>31</v>
      </c>
    </row>
    <row r="211" spans="1:20" hidden="1" x14ac:dyDescent="0.3">
      <c r="A211">
        <v>14.1</v>
      </c>
      <c r="B211" t="s">
        <v>353</v>
      </c>
      <c r="C211" t="s">
        <v>186</v>
      </c>
      <c r="D211" t="s">
        <v>31</v>
      </c>
      <c r="E211" t="s">
        <v>32</v>
      </c>
      <c r="F211" s="2">
        <v>45657</v>
      </c>
      <c r="G211">
        <v>2024</v>
      </c>
      <c r="H211" t="s">
        <v>44</v>
      </c>
      <c r="I211" t="s">
        <v>53</v>
      </c>
      <c r="J211">
        <v>2</v>
      </c>
      <c r="K211">
        <v>7912</v>
      </c>
      <c r="L211">
        <v>8165</v>
      </c>
      <c r="M211">
        <v>1.031976744186047</v>
      </c>
      <c r="N211">
        <v>1.031976744186047</v>
      </c>
      <c r="O211" t="s">
        <v>35</v>
      </c>
      <c r="P211" t="s">
        <v>35</v>
      </c>
      <c r="Q211" t="s">
        <v>399</v>
      </c>
      <c r="R211">
        <v>0</v>
      </c>
      <c r="S211">
        <v>0</v>
      </c>
      <c r="T211" t="s">
        <v>31</v>
      </c>
    </row>
    <row r="212" spans="1:20" hidden="1" x14ac:dyDescent="0.3">
      <c r="A212">
        <v>14.2</v>
      </c>
      <c r="B212" t="s">
        <v>359</v>
      </c>
      <c r="C212" t="s">
        <v>186</v>
      </c>
      <c r="D212" t="s">
        <v>31</v>
      </c>
      <c r="E212" t="s">
        <v>32</v>
      </c>
      <c r="F212" s="2">
        <v>45657</v>
      </c>
      <c r="G212">
        <v>2024</v>
      </c>
      <c r="H212" t="s">
        <v>44</v>
      </c>
      <c r="I212" t="s">
        <v>53</v>
      </c>
      <c r="J212">
        <v>2</v>
      </c>
      <c r="K212">
        <v>43204</v>
      </c>
      <c r="L212">
        <v>43840</v>
      </c>
      <c r="M212">
        <v>1.0147208591797059</v>
      </c>
      <c r="N212">
        <v>1.0007686047563069</v>
      </c>
      <c r="O212" t="s">
        <v>35</v>
      </c>
      <c r="P212" t="s">
        <v>35</v>
      </c>
      <c r="Q212" t="s">
        <v>400</v>
      </c>
      <c r="R212">
        <v>0</v>
      </c>
      <c r="S212">
        <v>0</v>
      </c>
      <c r="T212" t="s">
        <v>31</v>
      </c>
    </row>
    <row r="213" spans="1:20" hidden="1" x14ac:dyDescent="0.3">
      <c r="A213">
        <v>14.3</v>
      </c>
      <c r="B213" t="s">
        <v>365</v>
      </c>
      <c r="C213" t="s">
        <v>186</v>
      </c>
      <c r="D213" t="s">
        <v>31</v>
      </c>
      <c r="E213" t="s">
        <v>32</v>
      </c>
      <c r="F213" s="2">
        <v>45657</v>
      </c>
      <c r="G213">
        <v>2024</v>
      </c>
      <c r="H213" t="s">
        <v>44</v>
      </c>
      <c r="I213" t="s">
        <v>53</v>
      </c>
      <c r="J213">
        <v>2</v>
      </c>
      <c r="K213">
        <v>48061</v>
      </c>
      <c r="L213">
        <v>48339</v>
      </c>
      <c r="M213">
        <v>1.005784315765381</v>
      </c>
      <c r="N213">
        <v>1.005784315765381</v>
      </c>
      <c r="O213" t="s">
        <v>35</v>
      </c>
      <c r="P213" t="s">
        <v>35</v>
      </c>
      <c r="Q213" t="s">
        <v>401</v>
      </c>
      <c r="R213">
        <v>0</v>
      </c>
      <c r="S213">
        <v>0</v>
      </c>
      <c r="T213" t="s">
        <v>31</v>
      </c>
    </row>
    <row r="214" spans="1:20" hidden="1" x14ac:dyDescent="0.3">
      <c r="A214">
        <v>14.4</v>
      </c>
      <c r="B214" t="s">
        <v>371</v>
      </c>
      <c r="C214" t="s">
        <v>186</v>
      </c>
      <c r="D214" t="s">
        <v>31</v>
      </c>
      <c r="E214" t="s">
        <v>32</v>
      </c>
      <c r="F214" s="2">
        <v>45657</v>
      </c>
      <c r="G214">
        <v>2024</v>
      </c>
      <c r="H214" t="s">
        <v>44</v>
      </c>
      <c r="I214" t="s">
        <v>53</v>
      </c>
      <c r="J214">
        <v>2</v>
      </c>
      <c r="K214">
        <v>3055</v>
      </c>
      <c r="L214">
        <v>3666</v>
      </c>
      <c r="M214">
        <v>1.2</v>
      </c>
      <c r="N214">
        <v>1.2</v>
      </c>
      <c r="O214" t="s">
        <v>35</v>
      </c>
      <c r="P214" t="s">
        <v>35</v>
      </c>
      <c r="Q214" t="s">
        <v>402</v>
      </c>
      <c r="R214">
        <v>0</v>
      </c>
      <c r="S214">
        <v>0</v>
      </c>
      <c r="T214" t="s">
        <v>31</v>
      </c>
    </row>
    <row r="215" spans="1:20" hidden="1" x14ac:dyDescent="0.3">
      <c r="A215">
        <v>194</v>
      </c>
      <c r="B215" t="s">
        <v>121</v>
      </c>
      <c r="C215" t="s">
        <v>30</v>
      </c>
      <c r="D215" t="s">
        <v>31</v>
      </c>
      <c r="E215" t="s">
        <v>32</v>
      </c>
      <c r="F215" s="2">
        <v>45657</v>
      </c>
      <c r="G215">
        <v>2024</v>
      </c>
      <c r="H215" t="s">
        <v>44</v>
      </c>
      <c r="I215" t="s">
        <v>53</v>
      </c>
      <c r="J215">
        <v>2</v>
      </c>
      <c r="K215">
        <v>81</v>
      </c>
      <c r="L215">
        <v>89</v>
      </c>
      <c r="M215">
        <v>1.098765432098765</v>
      </c>
      <c r="N215">
        <v>1.098765432098765</v>
      </c>
      <c r="O215" t="s">
        <v>58</v>
      </c>
      <c r="P215" t="s">
        <v>58</v>
      </c>
      <c r="Q215" t="s">
        <v>403</v>
      </c>
      <c r="R215">
        <v>0</v>
      </c>
      <c r="S215">
        <v>0</v>
      </c>
      <c r="T215" t="s">
        <v>31</v>
      </c>
    </row>
    <row r="216" spans="1:20" hidden="1" x14ac:dyDescent="0.3">
      <c r="A216">
        <v>476</v>
      </c>
      <c r="B216" t="s">
        <v>348</v>
      </c>
      <c r="C216" t="s">
        <v>349</v>
      </c>
      <c r="D216" t="s">
        <v>31</v>
      </c>
      <c r="E216" t="s">
        <v>32</v>
      </c>
      <c r="F216" s="2">
        <v>45838</v>
      </c>
      <c r="G216">
        <v>2025</v>
      </c>
      <c r="H216" t="s">
        <v>33</v>
      </c>
      <c r="I216" t="s">
        <v>404</v>
      </c>
      <c r="J216">
        <v>1</v>
      </c>
      <c r="K216">
        <v>6</v>
      </c>
      <c r="L216">
        <v>6</v>
      </c>
      <c r="M216">
        <v>1</v>
      </c>
      <c r="N216">
        <v>1</v>
      </c>
      <c r="O216" t="s">
        <v>35</v>
      </c>
      <c r="P216" t="s">
        <v>35</v>
      </c>
      <c r="Q216" t="s">
        <v>405</v>
      </c>
      <c r="R216">
        <v>0</v>
      </c>
      <c r="S216">
        <v>0</v>
      </c>
      <c r="T216" t="s">
        <v>31</v>
      </c>
    </row>
    <row r="217" spans="1:20" hidden="1" x14ac:dyDescent="0.3">
      <c r="A217">
        <v>148</v>
      </c>
      <c r="B217" t="s">
        <v>104</v>
      </c>
      <c r="C217" t="s">
        <v>105</v>
      </c>
      <c r="D217" t="s">
        <v>31</v>
      </c>
      <c r="E217" t="s">
        <v>32</v>
      </c>
      <c r="F217" s="2">
        <v>45838</v>
      </c>
      <c r="G217">
        <v>2025</v>
      </c>
      <c r="H217" t="s">
        <v>33</v>
      </c>
      <c r="I217" t="s">
        <v>404</v>
      </c>
      <c r="J217">
        <v>1</v>
      </c>
      <c r="K217">
        <v>4</v>
      </c>
      <c r="L217">
        <v>4.08</v>
      </c>
      <c r="M217">
        <v>1.02</v>
      </c>
      <c r="N217">
        <v>1.02</v>
      </c>
      <c r="O217" t="s">
        <v>58</v>
      </c>
      <c r="P217" t="s">
        <v>58</v>
      </c>
      <c r="Q217" t="s">
        <v>406</v>
      </c>
      <c r="R217">
        <v>0</v>
      </c>
      <c r="S217">
        <v>1</v>
      </c>
      <c r="T217" t="s">
        <v>31</v>
      </c>
    </row>
    <row r="218" spans="1:20" hidden="1" x14ac:dyDescent="0.3">
      <c r="A218">
        <v>339</v>
      </c>
      <c r="B218" t="s">
        <v>255</v>
      </c>
      <c r="C218" t="s">
        <v>256</v>
      </c>
      <c r="D218" t="s">
        <v>66</v>
      </c>
      <c r="E218" t="s">
        <v>32</v>
      </c>
      <c r="F218" s="2">
        <v>45838</v>
      </c>
      <c r="G218">
        <v>2025</v>
      </c>
      <c r="H218" t="s">
        <v>33</v>
      </c>
      <c r="I218" t="s">
        <v>404</v>
      </c>
      <c r="J218">
        <v>1</v>
      </c>
      <c r="K218">
        <v>30</v>
      </c>
      <c r="L218">
        <v>33.299999999999997</v>
      </c>
      <c r="M218">
        <v>1.1100000000000001</v>
      </c>
      <c r="N218">
        <v>1.1100000000000001</v>
      </c>
      <c r="O218" t="s">
        <v>58</v>
      </c>
      <c r="P218" t="s">
        <v>58</v>
      </c>
      <c r="Q218" t="s">
        <v>407</v>
      </c>
      <c r="R218">
        <v>0</v>
      </c>
      <c r="S218">
        <v>1</v>
      </c>
      <c r="T218" t="s">
        <v>31</v>
      </c>
    </row>
    <row r="219" spans="1:20" x14ac:dyDescent="0.3">
      <c r="A219">
        <v>325</v>
      </c>
      <c r="B219" t="s">
        <v>224</v>
      </c>
      <c r="C219" t="s">
        <v>216</v>
      </c>
      <c r="D219" t="s">
        <v>31</v>
      </c>
      <c r="E219" t="s">
        <v>32</v>
      </c>
      <c r="F219" s="2">
        <v>45838</v>
      </c>
      <c r="G219">
        <v>2025</v>
      </c>
      <c r="H219" t="s">
        <v>33</v>
      </c>
      <c r="I219" t="s">
        <v>404</v>
      </c>
      <c r="J219">
        <v>1</v>
      </c>
      <c r="K219">
        <v>8</v>
      </c>
      <c r="L219">
        <v>8</v>
      </c>
      <c r="M219">
        <v>1</v>
      </c>
      <c r="N219">
        <v>1</v>
      </c>
      <c r="O219" t="s">
        <v>35</v>
      </c>
      <c r="P219" t="s">
        <v>35</v>
      </c>
      <c r="Q219" t="s">
        <v>408</v>
      </c>
      <c r="R219">
        <v>0</v>
      </c>
      <c r="S219">
        <v>0</v>
      </c>
      <c r="T219" t="s">
        <v>31</v>
      </c>
    </row>
    <row r="220" spans="1:20" hidden="1" x14ac:dyDescent="0.3">
      <c r="A220">
        <v>323</v>
      </c>
      <c r="B220" t="s">
        <v>215</v>
      </c>
      <c r="C220" t="s">
        <v>216</v>
      </c>
      <c r="D220" t="s">
        <v>31</v>
      </c>
      <c r="E220" t="s">
        <v>32</v>
      </c>
      <c r="F220" s="2">
        <v>45838</v>
      </c>
      <c r="G220">
        <v>2025</v>
      </c>
      <c r="H220" t="s">
        <v>33</v>
      </c>
      <c r="I220" t="s">
        <v>404</v>
      </c>
      <c r="J220">
        <v>1</v>
      </c>
      <c r="K220">
        <v>1</v>
      </c>
      <c r="L220">
        <v>1</v>
      </c>
      <c r="M220">
        <v>1</v>
      </c>
      <c r="N220">
        <v>1</v>
      </c>
      <c r="O220" t="s">
        <v>35</v>
      </c>
      <c r="P220" t="s">
        <v>35</v>
      </c>
      <c r="Q220" t="s">
        <v>409</v>
      </c>
      <c r="R220">
        <v>0</v>
      </c>
      <c r="S220">
        <v>0</v>
      </c>
      <c r="T220" t="s">
        <v>31</v>
      </c>
    </row>
    <row r="221" spans="1:20" hidden="1" x14ac:dyDescent="0.3">
      <c r="A221">
        <v>276</v>
      </c>
      <c r="B221" t="s">
        <v>201</v>
      </c>
      <c r="C221" t="s">
        <v>202</v>
      </c>
      <c r="D221" t="s">
        <v>31</v>
      </c>
      <c r="E221" t="s">
        <v>171</v>
      </c>
      <c r="F221" s="2">
        <v>45838</v>
      </c>
      <c r="G221">
        <v>2025</v>
      </c>
      <c r="H221" t="s">
        <v>33</v>
      </c>
      <c r="I221" t="s">
        <v>404</v>
      </c>
      <c r="J221">
        <v>1</v>
      </c>
      <c r="K221">
        <v>81</v>
      </c>
      <c r="L221">
        <v>84.18</v>
      </c>
      <c r="M221">
        <v>1.0392592592592591</v>
      </c>
      <c r="N221">
        <v>1.0392592592592591</v>
      </c>
      <c r="O221" t="s">
        <v>35</v>
      </c>
      <c r="P221" t="s">
        <v>245</v>
      </c>
      <c r="Q221" t="s">
        <v>410</v>
      </c>
      <c r="R221">
        <v>0</v>
      </c>
      <c r="S221">
        <v>1</v>
      </c>
      <c r="T221" t="s">
        <v>31</v>
      </c>
    </row>
    <row r="222" spans="1:20" hidden="1" x14ac:dyDescent="0.3">
      <c r="A222">
        <v>14</v>
      </c>
      <c r="B222" t="s">
        <v>29</v>
      </c>
      <c r="C222" t="s">
        <v>186</v>
      </c>
      <c r="D222" t="s">
        <v>31</v>
      </c>
      <c r="E222" t="s">
        <v>32</v>
      </c>
      <c r="F222" s="2">
        <v>45838</v>
      </c>
      <c r="G222">
        <v>2025</v>
      </c>
      <c r="H222" t="s">
        <v>33</v>
      </c>
      <c r="I222" t="s">
        <v>404</v>
      </c>
      <c r="J222">
        <v>1</v>
      </c>
      <c r="K222">
        <v>53635</v>
      </c>
      <c r="L222">
        <v>56505</v>
      </c>
      <c r="M222">
        <v>1.053509834995805</v>
      </c>
      <c r="N222">
        <v>1.053509834995805</v>
      </c>
      <c r="O222" t="s">
        <v>35</v>
      </c>
      <c r="P222" t="s">
        <v>35</v>
      </c>
      <c r="Q222" t="s">
        <v>411</v>
      </c>
      <c r="R222">
        <v>0</v>
      </c>
      <c r="S222">
        <v>0</v>
      </c>
      <c r="T222" t="s">
        <v>31</v>
      </c>
    </row>
    <row r="223" spans="1:20" hidden="1" x14ac:dyDescent="0.3">
      <c r="A223">
        <v>379</v>
      </c>
      <c r="B223" t="s">
        <v>301</v>
      </c>
      <c r="C223" t="s">
        <v>302</v>
      </c>
      <c r="D223" t="s">
        <v>31</v>
      </c>
      <c r="E223" t="s">
        <v>32</v>
      </c>
      <c r="F223" s="2">
        <v>45838</v>
      </c>
      <c r="G223">
        <v>2025</v>
      </c>
      <c r="H223" t="s">
        <v>33</v>
      </c>
      <c r="I223" t="s">
        <v>404</v>
      </c>
      <c r="J223">
        <v>1</v>
      </c>
      <c r="K223">
        <v>13609</v>
      </c>
      <c r="L223">
        <v>14141</v>
      </c>
      <c r="M223">
        <v>1.039091777500184</v>
      </c>
      <c r="N223">
        <v>1.039091777500184</v>
      </c>
      <c r="O223" t="s">
        <v>35</v>
      </c>
      <c r="P223" t="s">
        <v>35</v>
      </c>
      <c r="Q223" t="s">
        <v>412</v>
      </c>
      <c r="R223">
        <v>0</v>
      </c>
      <c r="S223">
        <v>0</v>
      </c>
      <c r="T223" t="s">
        <v>31</v>
      </c>
    </row>
    <row r="224" spans="1:20" hidden="1" x14ac:dyDescent="0.3">
      <c r="A224">
        <v>274</v>
      </c>
      <c r="B224" t="s">
        <v>193</v>
      </c>
      <c r="C224" t="s">
        <v>194</v>
      </c>
      <c r="D224" t="s">
        <v>31</v>
      </c>
      <c r="E224" t="s">
        <v>32</v>
      </c>
      <c r="F224" s="2">
        <v>45838</v>
      </c>
      <c r="G224">
        <v>2025</v>
      </c>
      <c r="H224" t="s">
        <v>33</v>
      </c>
      <c r="I224" t="s">
        <v>404</v>
      </c>
      <c r="J224">
        <v>1</v>
      </c>
      <c r="K224">
        <v>40026</v>
      </c>
      <c r="L224">
        <v>42364</v>
      </c>
      <c r="M224">
        <v>1.058412032179084</v>
      </c>
      <c r="N224">
        <v>1.058412032179084</v>
      </c>
      <c r="O224" t="s">
        <v>35</v>
      </c>
      <c r="P224" t="s">
        <v>35</v>
      </c>
      <c r="Q224" t="s">
        <v>413</v>
      </c>
      <c r="R224">
        <v>0</v>
      </c>
      <c r="S224">
        <v>0</v>
      </c>
      <c r="T224" t="s">
        <v>31</v>
      </c>
    </row>
    <row r="225" spans="1:20" hidden="1" x14ac:dyDescent="0.3">
      <c r="A225">
        <v>14.1</v>
      </c>
      <c r="B225" t="s">
        <v>353</v>
      </c>
      <c r="C225" t="s">
        <v>186</v>
      </c>
      <c r="D225" t="s">
        <v>31</v>
      </c>
      <c r="E225" t="s">
        <v>32</v>
      </c>
      <c r="F225" s="2">
        <v>45838</v>
      </c>
      <c r="G225">
        <v>2025</v>
      </c>
      <c r="H225" t="s">
        <v>33</v>
      </c>
      <c r="I225" t="s">
        <v>404</v>
      </c>
      <c r="J225">
        <v>1</v>
      </c>
      <c r="K225">
        <v>8471</v>
      </c>
      <c r="L225">
        <v>8743</v>
      </c>
      <c r="M225">
        <v>1.0321095502301969</v>
      </c>
      <c r="N225">
        <v>1.0321095502301969</v>
      </c>
      <c r="O225" t="s">
        <v>35</v>
      </c>
      <c r="P225" t="s">
        <v>35</v>
      </c>
      <c r="Q225" t="s">
        <v>414</v>
      </c>
      <c r="R225">
        <v>0</v>
      </c>
      <c r="S225">
        <v>0</v>
      </c>
      <c r="T225" t="s">
        <v>31</v>
      </c>
    </row>
    <row r="226" spans="1:20" hidden="1" x14ac:dyDescent="0.3">
      <c r="A226">
        <v>14.2</v>
      </c>
      <c r="B226" t="s">
        <v>359</v>
      </c>
      <c r="C226" t="s">
        <v>186</v>
      </c>
      <c r="D226" t="s">
        <v>31</v>
      </c>
      <c r="E226" t="s">
        <v>32</v>
      </c>
      <c r="F226" s="2">
        <v>45838</v>
      </c>
      <c r="G226">
        <v>2025</v>
      </c>
      <c r="H226" t="s">
        <v>33</v>
      </c>
      <c r="I226" t="s">
        <v>404</v>
      </c>
      <c r="J226">
        <v>1</v>
      </c>
      <c r="K226">
        <v>45164</v>
      </c>
      <c r="L226">
        <v>47762</v>
      </c>
      <c r="M226">
        <v>1.0575236914356569</v>
      </c>
      <c r="N226">
        <v>1.0575236914356569</v>
      </c>
      <c r="O226" t="s">
        <v>35</v>
      </c>
      <c r="P226" t="s">
        <v>35</v>
      </c>
      <c r="Q226" t="s">
        <v>415</v>
      </c>
      <c r="R226">
        <v>0</v>
      </c>
      <c r="S226">
        <v>0</v>
      </c>
      <c r="T226" t="s">
        <v>31</v>
      </c>
    </row>
    <row r="227" spans="1:20" hidden="1" x14ac:dyDescent="0.3">
      <c r="A227">
        <v>14.3</v>
      </c>
      <c r="B227" t="s">
        <v>365</v>
      </c>
      <c r="C227" t="s">
        <v>186</v>
      </c>
      <c r="D227" t="s">
        <v>31</v>
      </c>
      <c r="E227" t="s">
        <v>32</v>
      </c>
      <c r="F227" s="2">
        <v>45838</v>
      </c>
      <c r="G227">
        <v>2025</v>
      </c>
      <c r="H227" t="s">
        <v>33</v>
      </c>
      <c r="I227" t="s">
        <v>404</v>
      </c>
      <c r="J227">
        <v>1</v>
      </c>
      <c r="K227">
        <v>49641</v>
      </c>
      <c r="L227">
        <v>52096</v>
      </c>
      <c r="M227">
        <v>1.0494550875284541</v>
      </c>
      <c r="N227">
        <v>1.0494550875284541</v>
      </c>
      <c r="O227" t="s">
        <v>35</v>
      </c>
      <c r="P227" t="s">
        <v>35</v>
      </c>
      <c r="Q227" t="s">
        <v>416</v>
      </c>
      <c r="R227">
        <v>0</v>
      </c>
      <c r="S227">
        <v>0</v>
      </c>
      <c r="T227" t="s">
        <v>31</v>
      </c>
    </row>
    <row r="228" spans="1:20" hidden="1" x14ac:dyDescent="0.3">
      <c r="A228">
        <v>14.4</v>
      </c>
      <c r="B228" t="s">
        <v>371</v>
      </c>
      <c r="C228" t="s">
        <v>186</v>
      </c>
      <c r="D228" t="s">
        <v>31</v>
      </c>
      <c r="E228" t="s">
        <v>32</v>
      </c>
      <c r="F228" s="2">
        <v>45838</v>
      </c>
      <c r="G228">
        <v>2025</v>
      </c>
      <c r="H228" t="s">
        <v>33</v>
      </c>
      <c r="I228" t="s">
        <v>404</v>
      </c>
      <c r="J228">
        <v>1</v>
      </c>
      <c r="K228">
        <v>3994</v>
      </c>
      <c r="L228">
        <v>4409</v>
      </c>
      <c r="M228">
        <v>1.103905858788182</v>
      </c>
      <c r="N228">
        <v>1.103905858788182</v>
      </c>
      <c r="O228" t="s">
        <v>35</v>
      </c>
      <c r="P228" t="s">
        <v>35</v>
      </c>
      <c r="Q228" t="s">
        <v>417</v>
      </c>
      <c r="R228">
        <v>0</v>
      </c>
      <c r="S228">
        <v>0</v>
      </c>
      <c r="T228" t="s">
        <v>31</v>
      </c>
    </row>
    <row r="229" spans="1:20" hidden="1" x14ac:dyDescent="0.3">
      <c r="A229">
        <v>98</v>
      </c>
      <c r="B229" t="s">
        <v>91</v>
      </c>
      <c r="C229" t="s">
        <v>83</v>
      </c>
      <c r="D229" t="s">
        <v>31</v>
      </c>
      <c r="E229" t="s">
        <v>32</v>
      </c>
      <c r="F229" s="2">
        <v>45838</v>
      </c>
      <c r="G229">
        <v>2025</v>
      </c>
      <c r="H229" t="s">
        <v>33</v>
      </c>
      <c r="I229" t="s">
        <v>404</v>
      </c>
      <c r="J229">
        <v>1</v>
      </c>
      <c r="K229">
        <v>10</v>
      </c>
      <c r="L229">
        <v>10</v>
      </c>
      <c r="M229">
        <v>1</v>
      </c>
      <c r="N229">
        <v>1</v>
      </c>
      <c r="O229" t="s">
        <v>35</v>
      </c>
      <c r="P229" t="s">
        <v>35</v>
      </c>
      <c r="Q229" t="s">
        <v>418</v>
      </c>
      <c r="R229">
        <v>0</v>
      </c>
      <c r="S229">
        <v>0</v>
      </c>
      <c r="T229" t="s">
        <v>31</v>
      </c>
    </row>
    <row r="230" spans="1:20" hidden="1" x14ac:dyDescent="0.3">
      <c r="A230">
        <v>194</v>
      </c>
      <c r="B230" t="s">
        <v>121</v>
      </c>
      <c r="C230" t="s">
        <v>30</v>
      </c>
      <c r="D230" t="s">
        <v>31</v>
      </c>
      <c r="E230" t="s">
        <v>32</v>
      </c>
      <c r="F230" s="2">
        <v>45838</v>
      </c>
      <c r="G230">
        <v>2025</v>
      </c>
      <c r="H230" t="s">
        <v>33</v>
      </c>
      <c r="I230" t="s">
        <v>404</v>
      </c>
      <c r="J230">
        <v>1</v>
      </c>
      <c r="K230">
        <v>80</v>
      </c>
      <c r="L230">
        <v>90</v>
      </c>
      <c r="M230">
        <v>1.125</v>
      </c>
      <c r="N230">
        <v>1.125</v>
      </c>
      <c r="O230" t="s">
        <v>58</v>
      </c>
      <c r="P230" t="s">
        <v>58</v>
      </c>
      <c r="Q230" t="s">
        <v>419</v>
      </c>
      <c r="R230">
        <v>0</v>
      </c>
      <c r="S230">
        <v>0</v>
      </c>
      <c r="T230" t="s">
        <v>31</v>
      </c>
    </row>
    <row r="231" spans="1:20" hidden="1" x14ac:dyDescent="0.3">
      <c r="A231">
        <v>193</v>
      </c>
      <c r="B231" t="s">
        <v>110</v>
      </c>
      <c r="C231" t="s">
        <v>30</v>
      </c>
      <c r="D231" t="s">
        <v>31</v>
      </c>
      <c r="E231" t="s">
        <v>32</v>
      </c>
      <c r="F231" s="2">
        <v>45838</v>
      </c>
      <c r="G231">
        <v>2025</v>
      </c>
      <c r="H231" t="s">
        <v>33</v>
      </c>
      <c r="I231" t="s">
        <v>404</v>
      </c>
      <c r="J231">
        <v>1</v>
      </c>
      <c r="K231">
        <v>93</v>
      </c>
      <c r="L231">
        <v>96.21</v>
      </c>
      <c r="M231">
        <v>1.034516129032258</v>
      </c>
      <c r="N231">
        <v>1.034516129032258</v>
      </c>
      <c r="O231" t="s">
        <v>58</v>
      </c>
      <c r="P231" t="s">
        <v>58</v>
      </c>
      <c r="Q231" t="s">
        <v>420</v>
      </c>
      <c r="R231">
        <v>1</v>
      </c>
      <c r="S231">
        <v>1</v>
      </c>
      <c r="T231" t="s">
        <v>31</v>
      </c>
    </row>
    <row r="232" spans="1:20" hidden="1" x14ac:dyDescent="0.3">
      <c r="A232">
        <v>245</v>
      </c>
      <c r="B232" t="s">
        <v>185</v>
      </c>
      <c r="C232" t="s">
        <v>186</v>
      </c>
      <c r="D232" t="s">
        <v>31</v>
      </c>
      <c r="E232" t="s">
        <v>32</v>
      </c>
      <c r="F232" s="2">
        <v>45838</v>
      </c>
      <c r="G232">
        <v>2025</v>
      </c>
      <c r="H232" t="s">
        <v>33</v>
      </c>
      <c r="I232" t="s">
        <v>404</v>
      </c>
      <c r="J232">
        <v>1</v>
      </c>
      <c r="K232">
        <v>85.7</v>
      </c>
      <c r="L232">
        <v>86.5</v>
      </c>
      <c r="M232">
        <v>1.009334889148191</v>
      </c>
      <c r="N232">
        <v>1.009334889148191</v>
      </c>
      <c r="O232" t="s">
        <v>58</v>
      </c>
      <c r="P232" t="s">
        <v>58</v>
      </c>
      <c r="Q232" t="s">
        <v>421</v>
      </c>
      <c r="R232">
        <v>1</v>
      </c>
      <c r="S232">
        <v>1</v>
      </c>
      <c r="T232" t="s">
        <v>31</v>
      </c>
    </row>
    <row r="233" spans="1:20" hidden="1" x14ac:dyDescent="0.3">
      <c r="A233">
        <v>205</v>
      </c>
      <c r="B233" t="s">
        <v>161</v>
      </c>
      <c r="C233" t="s">
        <v>142</v>
      </c>
      <c r="D233" t="s">
        <v>31</v>
      </c>
      <c r="E233" t="s">
        <v>32</v>
      </c>
      <c r="F233" s="2">
        <v>45838</v>
      </c>
      <c r="G233">
        <v>2025</v>
      </c>
      <c r="H233" t="s">
        <v>33</v>
      </c>
      <c r="I233" t="s">
        <v>404</v>
      </c>
      <c r="J233">
        <v>1</v>
      </c>
      <c r="K233">
        <v>4817.8363419999996</v>
      </c>
      <c r="L233">
        <v>8976.1202028999996</v>
      </c>
      <c r="M233">
        <v>1.3</v>
      </c>
      <c r="N233">
        <v>1.8631019332578229</v>
      </c>
      <c r="O233" t="s">
        <v>143</v>
      </c>
      <c r="P233" t="s">
        <v>143</v>
      </c>
      <c r="Q233" t="s">
        <v>422</v>
      </c>
      <c r="R233">
        <v>0</v>
      </c>
      <c r="S233">
        <v>0</v>
      </c>
      <c r="T233" t="s">
        <v>31</v>
      </c>
    </row>
    <row r="234" spans="1:20" hidden="1" x14ac:dyDescent="0.3">
      <c r="A234">
        <v>204</v>
      </c>
      <c r="B234" t="s">
        <v>154</v>
      </c>
      <c r="C234" t="s">
        <v>142</v>
      </c>
      <c r="D234" t="s">
        <v>31</v>
      </c>
      <c r="E234" t="s">
        <v>32</v>
      </c>
      <c r="F234" s="2">
        <v>45838</v>
      </c>
      <c r="G234">
        <v>2025</v>
      </c>
      <c r="H234" t="s">
        <v>33</v>
      </c>
      <c r="I234" t="s">
        <v>404</v>
      </c>
      <c r="J234">
        <v>1</v>
      </c>
      <c r="K234">
        <v>23623.074006999999</v>
      </c>
      <c r="L234">
        <v>20526.599049</v>
      </c>
      <c r="M234">
        <v>0.86892159093763788</v>
      </c>
      <c r="N234">
        <v>0.86892159093763788</v>
      </c>
      <c r="O234" t="s">
        <v>143</v>
      </c>
      <c r="P234" t="s">
        <v>143</v>
      </c>
      <c r="Q234" t="s">
        <v>423</v>
      </c>
      <c r="R234">
        <v>0</v>
      </c>
      <c r="S234">
        <v>0</v>
      </c>
      <c r="T234" t="s">
        <v>31</v>
      </c>
    </row>
    <row r="235" spans="1:20" hidden="1" x14ac:dyDescent="0.3">
      <c r="A235">
        <v>364</v>
      </c>
      <c r="B235" t="s">
        <v>271</v>
      </c>
      <c r="C235" t="s">
        <v>267</v>
      </c>
      <c r="D235" t="s">
        <v>31</v>
      </c>
      <c r="E235" t="s">
        <v>32</v>
      </c>
      <c r="F235" s="2">
        <v>45838</v>
      </c>
      <c r="G235">
        <v>2025</v>
      </c>
      <c r="H235" t="s">
        <v>33</v>
      </c>
      <c r="I235" t="s">
        <v>404</v>
      </c>
      <c r="J235">
        <v>1</v>
      </c>
      <c r="K235">
        <v>33279</v>
      </c>
      <c r="L235">
        <v>131244</v>
      </c>
      <c r="M235">
        <v>1.3</v>
      </c>
      <c r="N235">
        <v>3.9437483097448842</v>
      </c>
      <c r="O235" t="s">
        <v>35</v>
      </c>
      <c r="P235" t="s">
        <v>35</v>
      </c>
      <c r="Q235" t="s">
        <v>424</v>
      </c>
      <c r="R235">
        <v>0</v>
      </c>
      <c r="S235">
        <v>0</v>
      </c>
      <c r="T235" t="s">
        <v>31</v>
      </c>
    </row>
    <row r="236" spans="1:20" hidden="1" x14ac:dyDescent="0.3">
      <c r="A236">
        <v>376</v>
      </c>
      <c r="B236" t="s">
        <v>473</v>
      </c>
      <c r="C236" t="s">
        <v>142</v>
      </c>
      <c r="D236" t="s">
        <v>31</v>
      </c>
      <c r="E236" t="s">
        <v>32</v>
      </c>
      <c r="F236" s="2">
        <v>45838</v>
      </c>
      <c r="G236">
        <v>2025</v>
      </c>
      <c r="H236" t="s">
        <v>33</v>
      </c>
      <c r="I236" t="s">
        <v>404</v>
      </c>
      <c r="J236">
        <v>1</v>
      </c>
      <c r="K236">
        <v>18705.796225999999</v>
      </c>
      <c r="L236">
        <v>22048.226769000001</v>
      </c>
      <c r="M236">
        <v>1.178684216518632</v>
      </c>
      <c r="N236">
        <v>1.178684216518632</v>
      </c>
      <c r="O236" t="s">
        <v>143</v>
      </c>
      <c r="P236" t="s">
        <v>143</v>
      </c>
      <c r="Q236" t="s">
        <v>425</v>
      </c>
      <c r="R236">
        <v>0</v>
      </c>
      <c r="S236">
        <v>0</v>
      </c>
      <c r="T236" t="s">
        <v>31</v>
      </c>
    </row>
    <row r="237" spans="1:20" hidden="1" x14ac:dyDescent="0.3">
      <c r="A237">
        <v>203</v>
      </c>
      <c r="B237" t="s">
        <v>141</v>
      </c>
      <c r="C237" t="s">
        <v>142</v>
      </c>
      <c r="D237" t="s">
        <v>31</v>
      </c>
      <c r="E237" t="s">
        <v>32</v>
      </c>
      <c r="F237" s="2">
        <v>45838</v>
      </c>
      <c r="G237">
        <v>2025</v>
      </c>
      <c r="H237" t="s">
        <v>33</v>
      </c>
      <c r="I237" t="s">
        <v>404</v>
      </c>
      <c r="J237">
        <v>1</v>
      </c>
      <c r="K237">
        <v>149950.76733</v>
      </c>
      <c r="L237">
        <v>167595.14529690001</v>
      </c>
      <c r="M237">
        <v>1.1176678071147821</v>
      </c>
      <c r="N237">
        <v>1.1176678071147821</v>
      </c>
      <c r="O237" t="s">
        <v>143</v>
      </c>
      <c r="P237" t="s">
        <v>143</v>
      </c>
      <c r="Q237" t="s">
        <v>426</v>
      </c>
      <c r="R237">
        <v>0</v>
      </c>
      <c r="S237">
        <v>0</v>
      </c>
      <c r="T237" t="s">
        <v>31</v>
      </c>
    </row>
    <row r="238" spans="1:20" hidden="1" x14ac:dyDescent="0.3">
      <c r="A238">
        <v>207</v>
      </c>
      <c r="B238" t="s">
        <v>170</v>
      </c>
      <c r="C238" t="s">
        <v>142</v>
      </c>
      <c r="D238" t="s">
        <v>31</v>
      </c>
      <c r="E238" t="s">
        <v>171</v>
      </c>
      <c r="F238" s="2">
        <v>45838</v>
      </c>
      <c r="G238">
        <v>2025</v>
      </c>
      <c r="H238" t="s">
        <v>33</v>
      </c>
      <c r="I238" t="s">
        <v>404</v>
      </c>
      <c r="J238">
        <v>1</v>
      </c>
      <c r="K238">
        <v>131244.07283600001</v>
      </c>
      <c r="L238">
        <v>145546.91852800001</v>
      </c>
      <c r="M238">
        <v>1.108978983834741</v>
      </c>
      <c r="N238">
        <v>1.108978983834741</v>
      </c>
      <c r="O238" t="s">
        <v>143</v>
      </c>
      <c r="P238" t="s">
        <v>143</v>
      </c>
      <c r="Q238" t="s">
        <v>427</v>
      </c>
      <c r="R238">
        <v>0</v>
      </c>
      <c r="S238">
        <v>0</v>
      </c>
      <c r="T238" t="s">
        <v>31</v>
      </c>
    </row>
    <row r="239" spans="1:20" hidden="1" x14ac:dyDescent="0.3">
      <c r="A239">
        <v>369</v>
      </c>
      <c r="B239" t="s">
        <v>283</v>
      </c>
      <c r="C239" t="s">
        <v>267</v>
      </c>
      <c r="D239" t="s">
        <v>31</v>
      </c>
      <c r="E239" t="s">
        <v>32</v>
      </c>
      <c r="F239" s="2">
        <v>45838</v>
      </c>
      <c r="G239">
        <v>2025</v>
      </c>
      <c r="H239" t="s">
        <v>33</v>
      </c>
      <c r="I239" t="s">
        <v>404</v>
      </c>
      <c r="J239">
        <v>1</v>
      </c>
      <c r="K239">
        <v>81</v>
      </c>
      <c r="L239">
        <v>72</v>
      </c>
      <c r="M239">
        <v>0.88888888888888884</v>
      </c>
      <c r="N239">
        <v>0.88888888888888884</v>
      </c>
      <c r="O239" t="s">
        <v>35</v>
      </c>
      <c r="P239" t="s">
        <v>35</v>
      </c>
      <c r="Q239" t="s">
        <v>428</v>
      </c>
      <c r="R239">
        <v>0</v>
      </c>
      <c r="S239">
        <v>0</v>
      </c>
      <c r="T239" t="s">
        <v>31</v>
      </c>
    </row>
    <row r="240" spans="1:20" hidden="1" x14ac:dyDescent="0.3">
      <c r="A240">
        <v>331</v>
      </c>
      <c r="B240" t="s">
        <v>231</v>
      </c>
      <c r="C240" t="s">
        <v>232</v>
      </c>
      <c r="D240" t="s">
        <v>66</v>
      </c>
      <c r="E240" t="s">
        <v>32</v>
      </c>
      <c r="F240" s="2">
        <v>45838</v>
      </c>
      <c r="G240">
        <v>2025</v>
      </c>
      <c r="H240" t="s">
        <v>33</v>
      </c>
      <c r="I240" t="s">
        <v>404</v>
      </c>
      <c r="J240">
        <v>1</v>
      </c>
      <c r="L240">
        <v>82</v>
      </c>
      <c r="O240" t="s">
        <v>429</v>
      </c>
      <c r="P240" t="s">
        <v>58</v>
      </c>
      <c r="Q240" t="s">
        <v>430</v>
      </c>
      <c r="R240">
        <v>0</v>
      </c>
      <c r="S240">
        <v>0</v>
      </c>
      <c r="T240" t="s">
        <v>31</v>
      </c>
    </row>
    <row r="241" spans="1:20" hidden="1" x14ac:dyDescent="0.3">
      <c r="A241">
        <v>332</v>
      </c>
      <c r="B241" t="s">
        <v>239</v>
      </c>
      <c r="C241" t="s">
        <v>130</v>
      </c>
      <c r="D241" t="s">
        <v>31</v>
      </c>
      <c r="E241" t="s">
        <v>171</v>
      </c>
      <c r="F241" s="2">
        <v>45838</v>
      </c>
      <c r="G241">
        <v>2025</v>
      </c>
      <c r="H241" t="s">
        <v>33</v>
      </c>
      <c r="I241" t="s">
        <v>404</v>
      </c>
      <c r="J241">
        <v>1</v>
      </c>
      <c r="K241">
        <v>1.4</v>
      </c>
      <c r="L241">
        <v>0.85</v>
      </c>
      <c r="M241">
        <v>1.3</v>
      </c>
      <c r="N241">
        <v>1.6470588235294119</v>
      </c>
      <c r="O241" t="s">
        <v>245</v>
      </c>
      <c r="P241" t="s">
        <v>245</v>
      </c>
      <c r="Q241" t="s">
        <v>431</v>
      </c>
      <c r="R241">
        <v>2</v>
      </c>
      <c r="S241">
        <v>2</v>
      </c>
      <c r="T241" t="s">
        <v>31</v>
      </c>
    </row>
    <row r="242" spans="1:20" hidden="1" x14ac:dyDescent="0.3">
      <c r="A242">
        <v>202</v>
      </c>
      <c r="B242" t="s">
        <v>137</v>
      </c>
      <c r="C242" t="s">
        <v>130</v>
      </c>
      <c r="D242" t="s">
        <v>66</v>
      </c>
      <c r="E242" t="s">
        <v>32</v>
      </c>
      <c r="F242" s="2">
        <v>45838</v>
      </c>
      <c r="G242">
        <v>2025</v>
      </c>
      <c r="H242" t="s">
        <v>33</v>
      </c>
      <c r="I242" t="s">
        <v>404</v>
      </c>
      <c r="J242">
        <v>1</v>
      </c>
      <c r="K242">
        <v>68.7</v>
      </c>
      <c r="L242">
        <v>81</v>
      </c>
      <c r="M242">
        <v>1.179039301310044</v>
      </c>
      <c r="N242">
        <v>1.179039301310044</v>
      </c>
      <c r="O242" t="s">
        <v>245</v>
      </c>
      <c r="P242" t="s">
        <v>245</v>
      </c>
      <c r="Q242" t="s">
        <v>432</v>
      </c>
      <c r="R242">
        <v>1</v>
      </c>
      <c r="S242">
        <v>1</v>
      </c>
      <c r="T242" t="s">
        <v>31</v>
      </c>
    </row>
    <row r="243" spans="1:20" hidden="1" x14ac:dyDescent="0.3">
      <c r="A243">
        <v>77</v>
      </c>
      <c r="B243" t="s">
        <v>55</v>
      </c>
      <c r="C243" t="s">
        <v>56</v>
      </c>
      <c r="D243" t="s">
        <v>57</v>
      </c>
      <c r="E243" t="s">
        <v>32</v>
      </c>
      <c r="F243" s="2">
        <v>45838</v>
      </c>
      <c r="G243">
        <v>2025</v>
      </c>
      <c r="H243" t="s">
        <v>33</v>
      </c>
      <c r="I243" t="s">
        <v>404</v>
      </c>
      <c r="J243">
        <v>1</v>
      </c>
      <c r="K243">
        <v>97</v>
      </c>
      <c r="L243">
        <v>94.65</v>
      </c>
      <c r="M243">
        <v>0.97577319587628875</v>
      </c>
      <c r="N243">
        <v>0.97577319587628875</v>
      </c>
      <c r="O243" t="s">
        <v>58</v>
      </c>
      <c r="P243" t="s">
        <v>58</v>
      </c>
      <c r="Q243" t="s">
        <v>433</v>
      </c>
      <c r="R243">
        <v>0</v>
      </c>
      <c r="S243">
        <v>1</v>
      </c>
      <c r="T243" t="s">
        <v>31</v>
      </c>
    </row>
    <row r="244" spans="1:20" hidden="1" x14ac:dyDescent="0.3">
      <c r="A244">
        <v>277</v>
      </c>
      <c r="B244" t="s">
        <v>210</v>
      </c>
      <c r="C244" t="s">
        <v>202</v>
      </c>
      <c r="D244" t="s">
        <v>31</v>
      </c>
      <c r="E244" t="s">
        <v>171</v>
      </c>
      <c r="F244" s="2">
        <v>45838</v>
      </c>
      <c r="G244">
        <v>2025</v>
      </c>
      <c r="H244" t="s">
        <v>33</v>
      </c>
      <c r="I244" t="s">
        <v>404</v>
      </c>
      <c r="J244">
        <v>1</v>
      </c>
      <c r="K244">
        <v>71</v>
      </c>
      <c r="L244">
        <v>69.39</v>
      </c>
      <c r="M244">
        <v>0.97732394366197184</v>
      </c>
      <c r="N244">
        <v>0.97732394366197184</v>
      </c>
      <c r="O244" t="s">
        <v>35</v>
      </c>
      <c r="P244" t="s">
        <v>245</v>
      </c>
      <c r="Q244" t="s">
        <v>434</v>
      </c>
      <c r="R244">
        <v>1</v>
      </c>
      <c r="S244">
        <v>1</v>
      </c>
      <c r="T244" t="s">
        <v>31</v>
      </c>
    </row>
    <row r="245" spans="1:20" hidden="1" x14ac:dyDescent="0.3">
      <c r="A245">
        <v>525</v>
      </c>
      <c r="B245" t="s">
        <v>435</v>
      </c>
      <c r="C245" t="s">
        <v>310</v>
      </c>
      <c r="D245" t="s">
        <v>31</v>
      </c>
      <c r="E245" t="s">
        <v>32</v>
      </c>
      <c r="F245" s="2">
        <v>45838</v>
      </c>
      <c r="G245">
        <v>2025</v>
      </c>
      <c r="H245" t="s">
        <v>33</v>
      </c>
      <c r="I245" t="s">
        <v>404</v>
      </c>
      <c r="J245">
        <v>1</v>
      </c>
      <c r="K245">
        <v>6845.8773119999996</v>
      </c>
      <c r="L245">
        <v>8790.9481190000006</v>
      </c>
      <c r="M245">
        <v>1.284122942663686</v>
      </c>
      <c r="N245">
        <v>1.284122942663686</v>
      </c>
      <c r="O245" t="s">
        <v>143</v>
      </c>
      <c r="P245" t="s">
        <v>143</v>
      </c>
      <c r="Q245" t="s">
        <v>436</v>
      </c>
      <c r="R245">
        <v>0</v>
      </c>
      <c r="S245">
        <v>0</v>
      </c>
      <c r="T245" t="s">
        <v>31</v>
      </c>
    </row>
    <row r="246" spans="1:20" hidden="1" x14ac:dyDescent="0.3">
      <c r="A246">
        <v>525.1</v>
      </c>
      <c r="B246" t="s">
        <v>437</v>
      </c>
      <c r="C246" t="s">
        <v>310</v>
      </c>
      <c r="D246" t="s">
        <v>31</v>
      </c>
      <c r="E246" t="s">
        <v>32</v>
      </c>
      <c r="F246" s="2">
        <v>45838</v>
      </c>
      <c r="G246">
        <v>2025</v>
      </c>
      <c r="H246" t="s">
        <v>33</v>
      </c>
      <c r="I246" t="s">
        <v>404</v>
      </c>
      <c r="J246">
        <v>1</v>
      </c>
      <c r="K246">
        <v>1392.56187</v>
      </c>
      <c r="L246">
        <v>1610.582185</v>
      </c>
      <c r="M246">
        <v>1.1565605950419999</v>
      </c>
      <c r="N246">
        <v>1.1565605950419999</v>
      </c>
      <c r="O246" t="s">
        <v>143</v>
      </c>
      <c r="P246" t="s">
        <v>143</v>
      </c>
      <c r="Q246" t="s">
        <v>438</v>
      </c>
      <c r="R246">
        <v>0</v>
      </c>
      <c r="S246">
        <v>0</v>
      </c>
      <c r="T246" t="s">
        <v>31</v>
      </c>
    </row>
    <row r="247" spans="1:20" hidden="1" x14ac:dyDescent="0.3">
      <c r="A247">
        <v>525.20000000000005</v>
      </c>
      <c r="B247" t="s">
        <v>439</v>
      </c>
      <c r="C247" t="s">
        <v>310</v>
      </c>
      <c r="D247" t="s">
        <v>31</v>
      </c>
      <c r="E247" t="s">
        <v>32</v>
      </c>
      <c r="F247" s="2">
        <v>45838</v>
      </c>
      <c r="G247">
        <v>2025</v>
      </c>
      <c r="H247" t="s">
        <v>33</v>
      </c>
      <c r="I247" t="s">
        <v>404</v>
      </c>
      <c r="J247">
        <v>1</v>
      </c>
      <c r="K247">
        <v>2655.6515559999998</v>
      </c>
      <c r="L247">
        <v>3358.9061839999999</v>
      </c>
      <c r="M247">
        <v>1.264814345244621</v>
      </c>
      <c r="N247">
        <v>1.264814345244621</v>
      </c>
      <c r="O247" t="s">
        <v>143</v>
      </c>
      <c r="P247" t="s">
        <v>143</v>
      </c>
      <c r="Q247" t="s">
        <v>440</v>
      </c>
      <c r="R247">
        <v>0</v>
      </c>
      <c r="S247">
        <v>0</v>
      </c>
      <c r="T247" t="s">
        <v>31</v>
      </c>
    </row>
    <row r="248" spans="1:20" hidden="1" x14ac:dyDescent="0.3">
      <c r="A248">
        <v>525.29999999999995</v>
      </c>
      <c r="B248" t="s">
        <v>441</v>
      </c>
      <c r="C248" t="s">
        <v>310</v>
      </c>
      <c r="D248" t="s">
        <v>31</v>
      </c>
      <c r="E248" t="s">
        <v>32</v>
      </c>
      <c r="F248" s="2">
        <v>45838</v>
      </c>
      <c r="G248">
        <v>2025</v>
      </c>
      <c r="H248" t="s">
        <v>33</v>
      </c>
      <c r="I248" t="s">
        <v>404</v>
      </c>
      <c r="J248">
        <v>1</v>
      </c>
      <c r="K248">
        <v>2797.6638859999998</v>
      </c>
      <c r="L248">
        <v>3821.45975</v>
      </c>
      <c r="M248">
        <v>1.3</v>
      </c>
      <c r="N248">
        <v>1.365946699002426</v>
      </c>
      <c r="O248" t="s">
        <v>143</v>
      </c>
      <c r="P248" t="s">
        <v>143</v>
      </c>
      <c r="Q248" t="s">
        <v>442</v>
      </c>
      <c r="R248">
        <v>0</v>
      </c>
      <c r="S248">
        <v>0</v>
      </c>
      <c r="T248" t="s">
        <v>31</v>
      </c>
    </row>
    <row r="249" spans="1:20" x14ac:dyDescent="0.3">
      <c r="A249">
        <v>325</v>
      </c>
      <c r="B249" t="s">
        <v>224</v>
      </c>
      <c r="C249" t="s">
        <v>216</v>
      </c>
      <c r="D249" t="s">
        <v>31</v>
      </c>
      <c r="E249" t="s">
        <v>32</v>
      </c>
      <c r="F249" s="2">
        <v>46022</v>
      </c>
      <c r="G249">
        <v>2025</v>
      </c>
      <c r="H249" t="s">
        <v>33</v>
      </c>
      <c r="I249" t="s">
        <v>404</v>
      </c>
      <c r="J249">
        <v>1</v>
      </c>
      <c r="K249">
        <v>8</v>
      </c>
      <c r="L249">
        <v>8</v>
      </c>
      <c r="M249">
        <v>1</v>
      </c>
      <c r="N249">
        <v>1</v>
      </c>
      <c r="O249" t="s">
        <v>35</v>
      </c>
      <c r="P249" t="s">
        <v>35</v>
      </c>
      <c r="Q249" t="s">
        <v>408</v>
      </c>
      <c r="R249">
        <v>0</v>
      </c>
      <c r="S249">
        <v>0</v>
      </c>
      <c r="T249" t="s">
        <v>31</v>
      </c>
    </row>
  </sheetData>
  <autoFilter ref="A1:T248" xr:uid="{00000000-0001-0000-0200-000000000000}">
    <filterColumn colId="1">
      <filters>
        <filter val="Número de programas nuevos con registro calificado aprobado"/>
      </filters>
    </filterColumn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8"/>
  <sheetViews>
    <sheetView workbookViewId="0"/>
  </sheetViews>
  <sheetFormatPr baseColWidth="10" defaultColWidth="8.88671875" defaultRowHeight="14.4" x14ac:dyDescent="0.3"/>
  <sheetData>
    <row r="1" spans="1:13" x14ac:dyDescent="0.3">
      <c r="A1" s="1" t="s">
        <v>0</v>
      </c>
      <c r="B1" s="1" t="s">
        <v>1</v>
      </c>
      <c r="C1" s="1" t="s">
        <v>20</v>
      </c>
      <c r="D1" s="1" t="s">
        <v>21</v>
      </c>
      <c r="E1" s="1" t="s">
        <v>3</v>
      </c>
      <c r="F1" s="1" t="s">
        <v>4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</row>
    <row r="2" spans="1:13" x14ac:dyDescent="0.3">
      <c r="A2">
        <v>77</v>
      </c>
      <c r="B2" t="s">
        <v>55</v>
      </c>
      <c r="C2" t="s">
        <v>37</v>
      </c>
      <c r="D2" t="s">
        <v>56</v>
      </c>
      <c r="E2" t="s">
        <v>57</v>
      </c>
      <c r="F2" t="s">
        <v>32</v>
      </c>
      <c r="G2" t="s">
        <v>60</v>
      </c>
      <c r="H2" t="s">
        <v>61</v>
      </c>
      <c r="I2" t="s">
        <v>62</v>
      </c>
      <c r="J2" t="s">
        <v>63</v>
      </c>
      <c r="K2" t="s">
        <v>64</v>
      </c>
      <c r="L2" t="s">
        <v>65</v>
      </c>
      <c r="M2" t="s">
        <v>66</v>
      </c>
    </row>
    <row r="3" spans="1:13" x14ac:dyDescent="0.3">
      <c r="A3">
        <v>148</v>
      </c>
      <c r="B3" t="s">
        <v>104</v>
      </c>
      <c r="C3" t="s">
        <v>37</v>
      </c>
      <c r="D3" t="s">
        <v>105</v>
      </c>
      <c r="E3" t="s">
        <v>31</v>
      </c>
      <c r="F3" t="s">
        <v>32</v>
      </c>
      <c r="G3" t="s">
        <v>73</v>
      </c>
      <c r="H3" t="s">
        <v>74</v>
      </c>
      <c r="I3" t="s">
        <v>75</v>
      </c>
      <c r="J3" t="s">
        <v>76</v>
      </c>
      <c r="K3" t="s">
        <v>77</v>
      </c>
      <c r="L3" t="s">
        <v>43</v>
      </c>
      <c r="M3" t="s">
        <v>31</v>
      </c>
    </row>
    <row r="4" spans="1:13" x14ac:dyDescent="0.3">
      <c r="A4">
        <v>193</v>
      </c>
      <c r="B4" t="s">
        <v>110</v>
      </c>
      <c r="C4" t="s">
        <v>37</v>
      </c>
      <c r="D4" t="s">
        <v>30</v>
      </c>
      <c r="E4" t="s">
        <v>31</v>
      </c>
      <c r="F4" t="s">
        <v>32</v>
      </c>
      <c r="G4" t="s">
        <v>112</v>
      </c>
      <c r="H4" t="s">
        <v>113</v>
      </c>
      <c r="I4" t="s">
        <v>114</v>
      </c>
      <c r="J4" t="s">
        <v>63</v>
      </c>
      <c r="K4" t="s">
        <v>115</v>
      </c>
      <c r="L4" t="s">
        <v>65</v>
      </c>
      <c r="M4" t="s">
        <v>31</v>
      </c>
    </row>
    <row r="5" spans="1:13" x14ac:dyDescent="0.3">
      <c r="A5">
        <v>194</v>
      </c>
      <c r="B5" t="s">
        <v>121</v>
      </c>
      <c r="C5" t="s">
        <v>37</v>
      </c>
      <c r="D5" t="s">
        <v>30</v>
      </c>
      <c r="E5" t="s">
        <v>31</v>
      </c>
      <c r="F5" t="s">
        <v>32</v>
      </c>
      <c r="G5" t="s">
        <v>112</v>
      </c>
      <c r="H5" t="s">
        <v>113</v>
      </c>
      <c r="I5" t="s">
        <v>123</v>
      </c>
      <c r="J5" t="s">
        <v>41</v>
      </c>
      <c r="K5" t="s">
        <v>124</v>
      </c>
      <c r="L5" t="s">
        <v>43</v>
      </c>
      <c r="M5" t="s">
        <v>66</v>
      </c>
    </row>
    <row r="6" spans="1:13" x14ac:dyDescent="0.3">
      <c r="A6" s="4">
        <v>200</v>
      </c>
      <c r="B6" t="s">
        <v>129</v>
      </c>
      <c r="C6" t="s">
        <v>37</v>
      </c>
      <c r="D6" t="s">
        <v>130</v>
      </c>
      <c r="E6" t="s">
        <v>66</v>
      </c>
      <c r="F6" t="s">
        <v>32</v>
      </c>
      <c r="G6" t="s">
        <v>60</v>
      </c>
      <c r="H6" t="s">
        <v>100</v>
      </c>
      <c r="I6" t="s">
        <v>133</v>
      </c>
      <c r="J6" t="s">
        <v>134</v>
      </c>
      <c r="K6" t="s">
        <v>135</v>
      </c>
      <c r="L6" t="s">
        <v>43</v>
      </c>
      <c r="M6" t="s">
        <v>66</v>
      </c>
    </row>
    <row r="7" spans="1:13" x14ac:dyDescent="0.3">
      <c r="A7">
        <v>202</v>
      </c>
      <c r="B7" t="s">
        <v>137</v>
      </c>
      <c r="C7" t="s">
        <v>37</v>
      </c>
      <c r="D7" t="s">
        <v>130</v>
      </c>
      <c r="E7" t="s">
        <v>66</v>
      </c>
      <c r="F7" t="s">
        <v>32</v>
      </c>
      <c r="G7" t="s">
        <v>60</v>
      </c>
      <c r="H7" t="s">
        <v>100</v>
      </c>
      <c r="I7" t="s">
        <v>139</v>
      </c>
      <c r="J7" t="s">
        <v>63</v>
      </c>
      <c r="K7" t="s">
        <v>115</v>
      </c>
      <c r="L7" t="s">
        <v>43</v>
      </c>
      <c r="M7" t="s">
        <v>66</v>
      </c>
    </row>
    <row r="8" spans="1:13" x14ac:dyDescent="0.3">
      <c r="A8" s="4">
        <v>203</v>
      </c>
      <c r="B8" t="s">
        <v>141</v>
      </c>
      <c r="C8" t="s">
        <v>37</v>
      </c>
      <c r="D8" t="s">
        <v>142</v>
      </c>
      <c r="E8" t="s">
        <v>31</v>
      </c>
      <c r="F8" t="s">
        <v>32</v>
      </c>
      <c r="G8" t="s">
        <v>145</v>
      </c>
      <c r="H8" t="s">
        <v>146</v>
      </c>
      <c r="I8" t="s">
        <v>147</v>
      </c>
      <c r="J8" t="s">
        <v>63</v>
      </c>
      <c r="K8" t="s">
        <v>148</v>
      </c>
      <c r="L8" t="s">
        <v>78</v>
      </c>
      <c r="M8" t="s">
        <v>66</v>
      </c>
    </row>
    <row r="9" spans="1:13" x14ac:dyDescent="0.3">
      <c r="A9" s="4">
        <v>204</v>
      </c>
      <c r="B9" t="s">
        <v>154</v>
      </c>
      <c r="C9" t="s">
        <v>37</v>
      </c>
      <c r="D9" t="s">
        <v>142</v>
      </c>
      <c r="E9" t="s">
        <v>31</v>
      </c>
      <c r="F9" t="s">
        <v>32</v>
      </c>
      <c r="G9" t="s">
        <v>145</v>
      </c>
      <c r="H9" t="s">
        <v>146</v>
      </c>
      <c r="I9" t="s">
        <v>147</v>
      </c>
      <c r="J9" t="s">
        <v>63</v>
      </c>
      <c r="K9" t="s">
        <v>148</v>
      </c>
      <c r="L9" t="s">
        <v>43</v>
      </c>
      <c r="M9" t="s">
        <v>66</v>
      </c>
    </row>
    <row r="10" spans="1:13" x14ac:dyDescent="0.3">
      <c r="A10" s="4">
        <v>205</v>
      </c>
      <c r="B10" t="s">
        <v>161</v>
      </c>
      <c r="C10" t="s">
        <v>37</v>
      </c>
      <c r="D10" t="s">
        <v>142</v>
      </c>
      <c r="E10" t="s">
        <v>31</v>
      </c>
      <c r="F10" t="s">
        <v>32</v>
      </c>
      <c r="G10" t="s">
        <v>145</v>
      </c>
      <c r="H10" t="s">
        <v>146</v>
      </c>
      <c r="I10" t="s">
        <v>147</v>
      </c>
      <c r="J10" t="s">
        <v>63</v>
      </c>
      <c r="K10" t="s">
        <v>148</v>
      </c>
      <c r="L10" t="s">
        <v>78</v>
      </c>
      <c r="M10" t="s">
        <v>66</v>
      </c>
    </row>
    <row r="11" spans="1:13" x14ac:dyDescent="0.3">
      <c r="A11" s="4">
        <v>206</v>
      </c>
      <c r="B11" t="s">
        <v>166</v>
      </c>
      <c r="C11" t="s">
        <v>37</v>
      </c>
      <c r="D11" t="s">
        <v>142</v>
      </c>
      <c r="E11" t="s">
        <v>66</v>
      </c>
      <c r="F11" t="s">
        <v>32</v>
      </c>
      <c r="G11" t="s">
        <v>145</v>
      </c>
      <c r="H11" t="s">
        <v>146</v>
      </c>
      <c r="I11" t="s">
        <v>147</v>
      </c>
      <c r="J11" t="s">
        <v>63</v>
      </c>
      <c r="K11" t="s">
        <v>148</v>
      </c>
      <c r="L11" t="s">
        <v>43</v>
      </c>
      <c r="M11" t="s">
        <v>66</v>
      </c>
    </row>
    <row r="12" spans="1:13" x14ac:dyDescent="0.3">
      <c r="A12" s="4">
        <v>207</v>
      </c>
      <c r="B12" t="s">
        <v>170</v>
      </c>
      <c r="C12" t="s">
        <v>37</v>
      </c>
      <c r="D12" t="s">
        <v>142</v>
      </c>
      <c r="E12" t="s">
        <v>31</v>
      </c>
      <c r="F12" t="s">
        <v>171</v>
      </c>
      <c r="G12" t="s">
        <v>145</v>
      </c>
      <c r="H12" t="s">
        <v>146</v>
      </c>
      <c r="I12" t="s">
        <v>147</v>
      </c>
      <c r="J12" t="s">
        <v>63</v>
      </c>
      <c r="K12" t="s">
        <v>148</v>
      </c>
      <c r="L12" t="s">
        <v>43</v>
      </c>
      <c r="M12" t="s">
        <v>66</v>
      </c>
    </row>
    <row r="13" spans="1:13" x14ac:dyDescent="0.3">
      <c r="A13" s="4">
        <v>228</v>
      </c>
      <c r="B13" t="s">
        <v>176</v>
      </c>
      <c r="C13" t="s">
        <v>37</v>
      </c>
      <c r="D13" t="s">
        <v>177</v>
      </c>
      <c r="E13" t="s">
        <v>66</v>
      </c>
      <c r="F13" t="s">
        <v>32</v>
      </c>
      <c r="G13" t="s">
        <v>145</v>
      </c>
      <c r="H13" t="s">
        <v>179</v>
      </c>
      <c r="I13" t="s">
        <v>180</v>
      </c>
      <c r="J13" t="s">
        <v>63</v>
      </c>
      <c r="K13" t="s">
        <v>64</v>
      </c>
      <c r="L13" t="s">
        <v>43</v>
      </c>
      <c r="M13" t="s">
        <v>66</v>
      </c>
    </row>
    <row r="14" spans="1:13" x14ac:dyDescent="0.3">
      <c r="A14">
        <v>244</v>
      </c>
      <c r="B14" t="s">
        <v>182</v>
      </c>
      <c r="C14" t="s">
        <v>37</v>
      </c>
      <c r="D14" t="s">
        <v>177</v>
      </c>
      <c r="E14" t="s">
        <v>66</v>
      </c>
      <c r="F14" t="s">
        <v>171</v>
      </c>
      <c r="G14" t="s">
        <v>145</v>
      </c>
      <c r="H14" t="s">
        <v>179</v>
      </c>
      <c r="I14" t="s">
        <v>180</v>
      </c>
      <c r="J14" t="s">
        <v>63</v>
      </c>
      <c r="K14" t="s">
        <v>64</v>
      </c>
      <c r="L14" t="s">
        <v>43</v>
      </c>
      <c r="M14" t="s">
        <v>66</v>
      </c>
    </row>
    <row r="15" spans="1:13" x14ac:dyDescent="0.3">
      <c r="A15">
        <v>245</v>
      </c>
      <c r="B15" t="s">
        <v>185</v>
      </c>
      <c r="C15" t="s">
        <v>37</v>
      </c>
      <c r="D15" t="s">
        <v>186</v>
      </c>
      <c r="E15" t="s">
        <v>31</v>
      </c>
      <c r="F15" t="s">
        <v>32</v>
      </c>
      <c r="G15" t="s">
        <v>112</v>
      </c>
      <c r="H15" t="s">
        <v>113</v>
      </c>
      <c r="I15" t="s">
        <v>123</v>
      </c>
      <c r="J15" t="s">
        <v>41</v>
      </c>
      <c r="K15" t="s">
        <v>42</v>
      </c>
      <c r="L15" t="s">
        <v>65</v>
      </c>
      <c r="M15" t="s">
        <v>31</v>
      </c>
    </row>
    <row r="16" spans="1:13" x14ac:dyDescent="0.3">
      <c r="A16">
        <v>274</v>
      </c>
      <c r="B16" t="s">
        <v>193</v>
      </c>
      <c r="C16" t="s">
        <v>37</v>
      </c>
      <c r="D16" t="s">
        <v>194</v>
      </c>
      <c r="E16" t="s">
        <v>31</v>
      </c>
      <c r="F16" t="s">
        <v>32</v>
      </c>
      <c r="G16" t="s">
        <v>38</v>
      </c>
      <c r="H16" t="s">
        <v>39</v>
      </c>
      <c r="I16" t="s">
        <v>40</v>
      </c>
      <c r="J16" t="s">
        <v>41</v>
      </c>
      <c r="K16" t="s">
        <v>42</v>
      </c>
      <c r="L16" t="s">
        <v>78</v>
      </c>
      <c r="M16" t="s">
        <v>31</v>
      </c>
    </row>
    <row r="17" spans="1:13" x14ac:dyDescent="0.3">
      <c r="A17">
        <v>276</v>
      </c>
      <c r="B17" t="s">
        <v>201</v>
      </c>
      <c r="C17" t="s">
        <v>37</v>
      </c>
      <c r="D17" t="s">
        <v>202</v>
      </c>
      <c r="E17" t="s">
        <v>31</v>
      </c>
      <c r="F17" t="s">
        <v>171</v>
      </c>
      <c r="G17" t="s">
        <v>73</v>
      </c>
      <c r="H17" t="s">
        <v>74</v>
      </c>
      <c r="I17" t="s">
        <v>75</v>
      </c>
      <c r="J17" t="s">
        <v>86</v>
      </c>
      <c r="K17" t="s">
        <v>204</v>
      </c>
      <c r="L17" t="s">
        <v>65</v>
      </c>
      <c r="M17" t="s">
        <v>31</v>
      </c>
    </row>
    <row r="18" spans="1:13" x14ac:dyDescent="0.3">
      <c r="A18">
        <v>277</v>
      </c>
      <c r="B18" t="s">
        <v>210</v>
      </c>
      <c r="C18" t="s">
        <v>37</v>
      </c>
      <c r="D18" t="s">
        <v>202</v>
      </c>
      <c r="E18" t="s">
        <v>31</v>
      </c>
      <c r="F18" t="s">
        <v>171</v>
      </c>
      <c r="G18" t="s">
        <v>73</v>
      </c>
      <c r="H18" t="s">
        <v>74</v>
      </c>
      <c r="J18" t="s">
        <v>86</v>
      </c>
      <c r="K18" t="s">
        <v>204</v>
      </c>
      <c r="L18" t="s">
        <v>65</v>
      </c>
      <c r="M18" t="s">
        <v>31</v>
      </c>
    </row>
    <row r="19" spans="1:13" x14ac:dyDescent="0.3">
      <c r="A19" s="4">
        <v>323</v>
      </c>
      <c r="B19" t="s">
        <v>215</v>
      </c>
      <c r="C19" t="s">
        <v>37</v>
      </c>
      <c r="D19" t="s">
        <v>216</v>
      </c>
      <c r="E19" t="s">
        <v>31</v>
      </c>
      <c r="F19" t="s">
        <v>32</v>
      </c>
      <c r="G19" t="s">
        <v>73</v>
      </c>
      <c r="H19" t="s">
        <v>218</v>
      </c>
      <c r="I19" t="s">
        <v>219</v>
      </c>
      <c r="J19" t="s">
        <v>86</v>
      </c>
      <c r="K19" t="s">
        <v>87</v>
      </c>
      <c r="L19" t="s">
        <v>78</v>
      </c>
      <c r="M19" t="s">
        <v>66</v>
      </c>
    </row>
    <row r="20" spans="1:13" x14ac:dyDescent="0.3">
      <c r="A20" s="4">
        <v>325</v>
      </c>
      <c r="B20" t="s">
        <v>224</v>
      </c>
      <c r="C20" t="s">
        <v>37</v>
      </c>
      <c r="D20" t="s">
        <v>216</v>
      </c>
      <c r="E20" t="s">
        <v>31</v>
      </c>
      <c r="F20" t="s">
        <v>32</v>
      </c>
      <c r="G20" t="s">
        <v>73</v>
      </c>
      <c r="H20" t="s">
        <v>218</v>
      </c>
      <c r="I20" t="s">
        <v>219</v>
      </c>
      <c r="J20" t="s">
        <v>86</v>
      </c>
      <c r="K20" t="s">
        <v>87</v>
      </c>
      <c r="L20" t="s">
        <v>78</v>
      </c>
      <c r="M20" t="s">
        <v>66</v>
      </c>
    </row>
    <row r="21" spans="1:13" x14ac:dyDescent="0.3">
      <c r="A21" s="4">
        <v>331</v>
      </c>
      <c r="B21" t="s">
        <v>231</v>
      </c>
      <c r="C21" t="s">
        <v>37</v>
      </c>
      <c r="D21" t="s">
        <v>232</v>
      </c>
      <c r="E21" t="s">
        <v>66</v>
      </c>
      <c r="F21" t="s">
        <v>32</v>
      </c>
      <c r="G21" t="s">
        <v>145</v>
      </c>
      <c r="H21" t="s">
        <v>179</v>
      </c>
      <c r="I21" t="s">
        <v>235</v>
      </c>
      <c r="J21" t="s">
        <v>236</v>
      </c>
      <c r="K21" t="s">
        <v>237</v>
      </c>
      <c r="L21" t="s">
        <v>43</v>
      </c>
      <c r="M21" t="s">
        <v>66</v>
      </c>
    </row>
    <row r="22" spans="1:13" x14ac:dyDescent="0.3">
      <c r="A22" s="4">
        <v>332</v>
      </c>
      <c r="B22" t="s">
        <v>239</v>
      </c>
      <c r="C22" t="s">
        <v>37</v>
      </c>
      <c r="D22" t="s">
        <v>130</v>
      </c>
      <c r="E22" t="s">
        <v>31</v>
      </c>
      <c r="F22" t="s">
        <v>171</v>
      </c>
      <c r="G22" t="s">
        <v>60</v>
      </c>
      <c r="H22" t="s">
        <v>100</v>
      </c>
      <c r="I22" t="s">
        <v>241</v>
      </c>
      <c r="J22" t="s">
        <v>134</v>
      </c>
      <c r="K22" t="s">
        <v>135</v>
      </c>
      <c r="L22" t="s">
        <v>65</v>
      </c>
      <c r="M22" t="s">
        <v>66</v>
      </c>
    </row>
    <row r="23" spans="1:13" x14ac:dyDescent="0.3">
      <c r="A23" s="4">
        <v>334</v>
      </c>
      <c r="B23" t="s">
        <v>248</v>
      </c>
      <c r="C23" t="s">
        <v>37</v>
      </c>
      <c r="D23" t="s">
        <v>130</v>
      </c>
      <c r="E23" t="s">
        <v>66</v>
      </c>
      <c r="F23" t="s">
        <v>32</v>
      </c>
      <c r="G23" t="s">
        <v>60</v>
      </c>
      <c r="H23" t="s">
        <v>100</v>
      </c>
      <c r="I23" t="s">
        <v>241</v>
      </c>
      <c r="J23" t="s">
        <v>134</v>
      </c>
      <c r="K23" t="s">
        <v>250</v>
      </c>
      <c r="L23" t="s">
        <v>43</v>
      </c>
      <c r="M23" t="s">
        <v>66</v>
      </c>
    </row>
    <row r="24" spans="1:13" x14ac:dyDescent="0.3">
      <c r="A24">
        <v>335</v>
      </c>
      <c r="B24" t="s">
        <v>252</v>
      </c>
      <c r="C24" t="s">
        <v>37</v>
      </c>
      <c r="D24" t="s">
        <v>130</v>
      </c>
      <c r="E24" t="s">
        <v>66</v>
      </c>
      <c r="F24" t="s">
        <v>32</v>
      </c>
      <c r="G24" t="s">
        <v>60</v>
      </c>
      <c r="H24" t="s">
        <v>100</v>
      </c>
      <c r="J24" t="s">
        <v>134</v>
      </c>
      <c r="K24" t="s">
        <v>135</v>
      </c>
      <c r="L24" t="s">
        <v>43</v>
      </c>
      <c r="M24" t="s">
        <v>66</v>
      </c>
    </row>
    <row r="25" spans="1:13" x14ac:dyDescent="0.3">
      <c r="A25" s="4">
        <v>339</v>
      </c>
      <c r="B25" t="s">
        <v>255</v>
      </c>
      <c r="C25" t="s">
        <v>37</v>
      </c>
      <c r="D25" t="s">
        <v>256</v>
      </c>
      <c r="E25" t="s">
        <v>66</v>
      </c>
      <c r="F25" t="s">
        <v>32</v>
      </c>
      <c r="G25" t="s">
        <v>73</v>
      </c>
      <c r="H25" t="s">
        <v>74</v>
      </c>
      <c r="I25" t="s">
        <v>75</v>
      </c>
      <c r="J25" t="s">
        <v>86</v>
      </c>
      <c r="K25" t="s">
        <v>87</v>
      </c>
      <c r="L25" t="s">
        <v>43</v>
      </c>
      <c r="M25" t="s">
        <v>66</v>
      </c>
    </row>
    <row r="26" spans="1:13" x14ac:dyDescent="0.3">
      <c r="A26">
        <v>353</v>
      </c>
      <c r="B26" t="s">
        <v>259</v>
      </c>
      <c r="C26" t="s">
        <v>37</v>
      </c>
      <c r="D26" t="s">
        <v>260</v>
      </c>
      <c r="E26" t="s">
        <v>31</v>
      </c>
      <c r="F26" t="s">
        <v>32</v>
      </c>
      <c r="G26" t="s">
        <v>60</v>
      </c>
      <c r="H26" t="s">
        <v>262</v>
      </c>
      <c r="I26" t="s">
        <v>263</v>
      </c>
      <c r="J26" t="s">
        <v>101</v>
      </c>
      <c r="K26" t="s">
        <v>264</v>
      </c>
      <c r="L26" t="s">
        <v>43</v>
      </c>
      <c r="M26" t="s">
        <v>66</v>
      </c>
    </row>
    <row r="27" spans="1:13" x14ac:dyDescent="0.3">
      <c r="A27">
        <v>361</v>
      </c>
      <c r="B27" t="s">
        <v>266</v>
      </c>
      <c r="C27" t="s">
        <v>37</v>
      </c>
      <c r="D27" t="s">
        <v>267</v>
      </c>
      <c r="E27" t="s">
        <v>66</v>
      </c>
      <c r="F27" t="s">
        <v>32</v>
      </c>
      <c r="G27" t="s">
        <v>145</v>
      </c>
      <c r="H27" t="s">
        <v>179</v>
      </c>
      <c r="I27" t="s">
        <v>269</v>
      </c>
      <c r="J27" t="s">
        <v>41</v>
      </c>
      <c r="K27" t="s">
        <v>124</v>
      </c>
      <c r="L27" t="s">
        <v>43</v>
      </c>
      <c r="M27" t="s">
        <v>66</v>
      </c>
    </row>
    <row r="28" spans="1:13" x14ac:dyDescent="0.3">
      <c r="A28">
        <v>364</v>
      </c>
      <c r="B28" t="s">
        <v>271</v>
      </c>
      <c r="C28" t="s">
        <v>37</v>
      </c>
      <c r="D28" t="s">
        <v>267</v>
      </c>
      <c r="E28" t="s">
        <v>31</v>
      </c>
      <c r="F28" t="s">
        <v>171</v>
      </c>
      <c r="G28" t="s">
        <v>145</v>
      </c>
      <c r="H28" t="s">
        <v>179</v>
      </c>
      <c r="I28" t="s">
        <v>273</v>
      </c>
      <c r="J28" t="s">
        <v>274</v>
      </c>
      <c r="K28" t="s">
        <v>275</v>
      </c>
      <c r="L28" t="s">
        <v>78</v>
      </c>
      <c r="M28" t="s">
        <v>66</v>
      </c>
    </row>
    <row r="29" spans="1:13" x14ac:dyDescent="0.3">
      <c r="A29">
        <v>367</v>
      </c>
      <c r="B29" t="s">
        <v>279</v>
      </c>
      <c r="C29" t="s">
        <v>37</v>
      </c>
      <c r="D29" t="s">
        <v>267</v>
      </c>
      <c r="E29" t="s">
        <v>66</v>
      </c>
      <c r="F29" t="s">
        <v>32</v>
      </c>
      <c r="G29" t="s">
        <v>145</v>
      </c>
      <c r="H29" t="s">
        <v>179</v>
      </c>
      <c r="I29" t="s">
        <v>281</v>
      </c>
      <c r="J29" t="s">
        <v>41</v>
      </c>
      <c r="K29" t="s">
        <v>42</v>
      </c>
      <c r="L29" t="s">
        <v>43</v>
      </c>
      <c r="M29" t="s">
        <v>66</v>
      </c>
    </row>
    <row r="30" spans="1:13" x14ac:dyDescent="0.3">
      <c r="A30">
        <v>369</v>
      </c>
      <c r="B30" t="s">
        <v>283</v>
      </c>
      <c r="C30" t="s">
        <v>37</v>
      </c>
      <c r="D30" t="s">
        <v>267</v>
      </c>
      <c r="E30" t="s">
        <v>31</v>
      </c>
      <c r="F30" t="s">
        <v>32</v>
      </c>
      <c r="G30" t="s">
        <v>145</v>
      </c>
      <c r="H30" t="s">
        <v>179</v>
      </c>
      <c r="I30" t="s">
        <v>273</v>
      </c>
      <c r="J30" t="s">
        <v>41</v>
      </c>
      <c r="K30" t="s">
        <v>42</v>
      </c>
      <c r="L30" t="s">
        <v>78</v>
      </c>
      <c r="M30" t="s">
        <v>66</v>
      </c>
    </row>
    <row r="31" spans="1:13" x14ac:dyDescent="0.3">
      <c r="A31" s="4">
        <v>376</v>
      </c>
      <c r="B31" t="s">
        <v>289</v>
      </c>
      <c r="C31" t="s">
        <v>37</v>
      </c>
      <c r="D31" t="s">
        <v>142</v>
      </c>
      <c r="E31" t="s">
        <v>31</v>
      </c>
      <c r="F31" t="s">
        <v>32</v>
      </c>
      <c r="G31" t="s">
        <v>145</v>
      </c>
      <c r="H31" t="s">
        <v>146</v>
      </c>
      <c r="I31" t="s">
        <v>147</v>
      </c>
      <c r="J31" t="s">
        <v>63</v>
      </c>
      <c r="K31" t="s">
        <v>148</v>
      </c>
      <c r="L31" t="s">
        <v>78</v>
      </c>
      <c r="M31" t="s">
        <v>66</v>
      </c>
    </row>
    <row r="32" spans="1:13" x14ac:dyDescent="0.3">
      <c r="A32" s="4">
        <v>377</v>
      </c>
      <c r="B32" t="s">
        <v>296</v>
      </c>
      <c r="C32" t="s">
        <v>37</v>
      </c>
      <c r="D32" t="s">
        <v>142</v>
      </c>
      <c r="E32" t="s">
        <v>31</v>
      </c>
      <c r="F32" t="s">
        <v>32</v>
      </c>
      <c r="G32" t="s">
        <v>145</v>
      </c>
      <c r="H32" t="s">
        <v>146</v>
      </c>
      <c r="I32" t="s">
        <v>147</v>
      </c>
      <c r="J32" t="s">
        <v>63</v>
      </c>
      <c r="K32" t="s">
        <v>148</v>
      </c>
      <c r="L32" t="s">
        <v>78</v>
      </c>
      <c r="M32" t="s">
        <v>66</v>
      </c>
    </row>
    <row r="33" spans="1:13" x14ac:dyDescent="0.3">
      <c r="A33">
        <v>379</v>
      </c>
      <c r="B33" t="s">
        <v>301</v>
      </c>
      <c r="C33" t="s">
        <v>37</v>
      </c>
      <c r="D33" t="s">
        <v>302</v>
      </c>
      <c r="E33" t="s">
        <v>31</v>
      </c>
      <c r="F33" t="s">
        <v>32</v>
      </c>
      <c r="G33" t="s">
        <v>38</v>
      </c>
      <c r="H33" t="s">
        <v>39</v>
      </c>
      <c r="I33" t="s">
        <v>40</v>
      </c>
      <c r="J33" t="s">
        <v>41</v>
      </c>
      <c r="K33" t="s">
        <v>42</v>
      </c>
      <c r="L33" t="s">
        <v>78</v>
      </c>
      <c r="M33" t="s">
        <v>31</v>
      </c>
    </row>
    <row r="34" spans="1:13" x14ac:dyDescent="0.3">
      <c r="A34" s="4">
        <v>385</v>
      </c>
      <c r="B34" t="s">
        <v>309</v>
      </c>
      <c r="C34" t="s">
        <v>37</v>
      </c>
      <c r="D34" t="s">
        <v>310</v>
      </c>
      <c r="E34" t="s">
        <v>31</v>
      </c>
      <c r="F34" t="s">
        <v>32</v>
      </c>
      <c r="G34" t="s">
        <v>312</v>
      </c>
      <c r="H34" t="s">
        <v>313</v>
      </c>
      <c r="I34" t="s">
        <v>314</v>
      </c>
      <c r="J34" t="s">
        <v>63</v>
      </c>
      <c r="K34" t="s">
        <v>148</v>
      </c>
      <c r="L34" t="s">
        <v>78</v>
      </c>
      <c r="M34" t="s">
        <v>66</v>
      </c>
    </row>
    <row r="35" spans="1:13" x14ac:dyDescent="0.3">
      <c r="A35">
        <v>423</v>
      </c>
      <c r="B35" t="s">
        <v>320</v>
      </c>
      <c r="C35" t="s">
        <v>37</v>
      </c>
      <c r="D35" t="s">
        <v>83</v>
      </c>
      <c r="E35" t="s">
        <v>66</v>
      </c>
      <c r="F35" t="s">
        <v>32</v>
      </c>
      <c r="G35" t="s">
        <v>38</v>
      </c>
      <c r="H35" t="s">
        <v>39</v>
      </c>
      <c r="I35" t="s">
        <v>322</v>
      </c>
      <c r="J35" t="s">
        <v>274</v>
      </c>
      <c r="K35" t="s">
        <v>275</v>
      </c>
      <c r="L35" t="s">
        <v>43</v>
      </c>
      <c r="M35" t="s">
        <v>66</v>
      </c>
    </row>
    <row r="36" spans="1:13" x14ac:dyDescent="0.3">
      <c r="A36">
        <v>424</v>
      </c>
      <c r="B36" t="s">
        <v>325</v>
      </c>
      <c r="C36" t="s">
        <v>37</v>
      </c>
      <c r="D36" t="s">
        <v>83</v>
      </c>
      <c r="E36" t="s">
        <v>66</v>
      </c>
      <c r="F36" t="s">
        <v>32</v>
      </c>
      <c r="G36" t="s">
        <v>38</v>
      </c>
      <c r="H36" t="s">
        <v>39</v>
      </c>
      <c r="I36" t="s">
        <v>322</v>
      </c>
      <c r="J36" t="s">
        <v>274</v>
      </c>
      <c r="K36" t="s">
        <v>275</v>
      </c>
      <c r="L36" t="s">
        <v>43</v>
      </c>
      <c r="M36" t="s">
        <v>66</v>
      </c>
    </row>
    <row r="37" spans="1:13" x14ac:dyDescent="0.3">
      <c r="A37">
        <v>14</v>
      </c>
      <c r="B37" t="s">
        <v>29</v>
      </c>
      <c r="C37" t="s">
        <v>37</v>
      </c>
      <c r="D37" t="s">
        <v>30</v>
      </c>
      <c r="E37" t="s">
        <v>31</v>
      </c>
      <c r="F37" t="s">
        <v>32</v>
      </c>
      <c r="G37" t="s">
        <v>38</v>
      </c>
      <c r="H37" t="s">
        <v>39</v>
      </c>
      <c r="I37" t="s">
        <v>40</v>
      </c>
      <c r="J37" t="s">
        <v>41</v>
      </c>
      <c r="K37" t="s">
        <v>42</v>
      </c>
      <c r="L37" t="s">
        <v>43</v>
      </c>
      <c r="M37" t="s">
        <v>31</v>
      </c>
    </row>
    <row r="38" spans="1:13" x14ac:dyDescent="0.3">
      <c r="A38">
        <v>96</v>
      </c>
      <c r="B38" t="s">
        <v>70</v>
      </c>
      <c r="C38" t="s">
        <v>37</v>
      </c>
      <c r="D38" t="s">
        <v>71</v>
      </c>
      <c r="E38" t="s">
        <v>66</v>
      </c>
      <c r="F38" t="s">
        <v>32</v>
      </c>
      <c r="G38" t="s">
        <v>73</v>
      </c>
      <c r="H38" t="s">
        <v>74</v>
      </c>
      <c r="I38" t="s">
        <v>75</v>
      </c>
      <c r="J38" t="s">
        <v>76</v>
      </c>
      <c r="K38" t="s">
        <v>77</v>
      </c>
      <c r="L38" t="s">
        <v>78</v>
      </c>
      <c r="M38" t="s">
        <v>66</v>
      </c>
    </row>
    <row r="39" spans="1:13" x14ac:dyDescent="0.3">
      <c r="A39">
        <v>14.1</v>
      </c>
      <c r="B39" t="s">
        <v>353</v>
      </c>
      <c r="C39" t="s">
        <v>37</v>
      </c>
      <c r="D39" t="s">
        <v>30</v>
      </c>
      <c r="E39" t="s">
        <v>31</v>
      </c>
      <c r="F39" t="s">
        <v>32</v>
      </c>
      <c r="G39" t="s">
        <v>38</v>
      </c>
      <c r="H39" t="s">
        <v>39</v>
      </c>
      <c r="I39" t="s">
        <v>40</v>
      </c>
      <c r="J39" t="s">
        <v>86</v>
      </c>
      <c r="K39" t="s">
        <v>339</v>
      </c>
      <c r="L39" t="s">
        <v>78</v>
      </c>
      <c r="M39" t="s">
        <v>31</v>
      </c>
    </row>
    <row r="40" spans="1:13" x14ac:dyDescent="0.3">
      <c r="A40">
        <v>14.2</v>
      </c>
      <c r="B40" t="s">
        <v>359</v>
      </c>
      <c r="C40" t="s">
        <v>37</v>
      </c>
      <c r="D40" t="s">
        <v>30</v>
      </c>
      <c r="E40" t="s">
        <v>31</v>
      </c>
      <c r="F40" t="s">
        <v>32</v>
      </c>
      <c r="G40" t="s">
        <v>38</v>
      </c>
      <c r="H40" t="s">
        <v>39</v>
      </c>
      <c r="I40" t="s">
        <v>40</v>
      </c>
      <c r="J40" t="s">
        <v>86</v>
      </c>
      <c r="K40" t="s">
        <v>339</v>
      </c>
      <c r="L40" t="s">
        <v>78</v>
      </c>
      <c r="M40" t="s">
        <v>31</v>
      </c>
    </row>
    <row r="41" spans="1:13" x14ac:dyDescent="0.3">
      <c r="A41">
        <v>14.3</v>
      </c>
      <c r="B41" t="s">
        <v>365</v>
      </c>
      <c r="C41" t="s">
        <v>37</v>
      </c>
      <c r="D41" t="s">
        <v>30</v>
      </c>
      <c r="E41" t="s">
        <v>31</v>
      </c>
      <c r="F41" t="s">
        <v>32</v>
      </c>
      <c r="G41" t="s">
        <v>38</v>
      </c>
      <c r="H41" t="s">
        <v>39</v>
      </c>
      <c r="I41" t="s">
        <v>40</v>
      </c>
      <c r="J41" t="s">
        <v>86</v>
      </c>
      <c r="K41" t="s">
        <v>339</v>
      </c>
      <c r="L41" t="s">
        <v>78</v>
      </c>
      <c r="M41" t="s">
        <v>31</v>
      </c>
    </row>
    <row r="42" spans="1:13" x14ac:dyDescent="0.3">
      <c r="A42">
        <v>14.4</v>
      </c>
      <c r="B42" t="s">
        <v>371</v>
      </c>
      <c r="C42" t="s">
        <v>37</v>
      </c>
      <c r="D42" t="s">
        <v>30</v>
      </c>
      <c r="E42" t="s">
        <v>31</v>
      </c>
      <c r="F42" t="s">
        <v>32</v>
      </c>
      <c r="G42" t="s">
        <v>38</v>
      </c>
      <c r="H42" t="s">
        <v>39</v>
      </c>
      <c r="I42" t="s">
        <v>40</v>
      </c>
      <c r="J42" t="s">
        <v>86</v>
      </c>
      <c r="K42" t="s">
        <v>339</v>
      </c>
      <c r="L42" t="s">
        <v>78</v>
      </c>
      <c r="M42" t="s">
        <v>31</v>
      </c>
    </row>
    <row r="43" spans="1:13" x14ac:dyDescent="0.3">
      <c r="A43">
        <v>386.1</v>
      </c>
      <c r="B43" t="s">
        <v>377</v>
      </c>
      <c r="C43" t="s">
        <v>37</v>
      </c>
      <c r="D43" t="s">
        <v>310</v>
      </c>
      <c r="E43" t="s">
        <v>31</v>
      </c>
      <c r="F43" t="s">
        <v>32</v>
      </c>
      <c r="G43" t="s">
        <v>312</v>
      </c>
      <c r="H43" t="s">
        <v>313</v>
      </c>
      <c r="I43" t="s">
        <v>314</v>
      </c>
      <c r="J43" t="s">
        <v>63</v>
      </c>
      <c r="K43" t="s">
        <v>148</v>
      </c>
      <c r="L43" t="s">
        <v>78</v>
      </c>
      <c r="M43" t="s">
        <v>66</v>
      </c>
    </row>
    <row r="44" spans="1:13" x14ac:dyDescent="0.3">
      <c r="A44">
        <v>386.2</v>
      </c>
      <c r="B44" t="s">
        <v>382</v>
      </c>
      <c r="C44" t="s">
        <v>37</v>
      </c>
      <c r="D44" t="s">
        <v>310</v>
      </c>
      <c r="E44" t="s">
        <v>31</v>
      </c>
      <c r="F44" t="s">
        <v>32</v>
      </c>
      <c r="G44" t="s">
        <v>312</v>
      </c>
      <c r="H44" t="s">
        <v>313</v>
      </c>
      <c r="I44" t="s">
        <v>314</v>
      </c>
      <c r="J44" t="s">
        <v>63</v>
      </c>
      <c r="K44" t="s">
        <v>148</v>
      </c>
      <c r="L44" t="s">
        <v>78</v>
      </c>
      <c r="M44" t="s">
        <v>66</v>
      </c>
    </row>
    <row r="45" spans="1:13" x14ac:dyDescent="0.3">
      <c r="A45">
        <v>386.3</v>
      </c>
      <c r="B45" t="s">
        <v>387</v>
      </c>
      <c r="C45" t="s">
        <v>37</v>
      </c>
      <c r="D45" t="s">
        <v>310</v>
      </c>
      <c r="E45" t="s">
        <v>31</v>
      </c>
      <c r="F45" t="s">
        <v>32</v>
      </c>
      <c r="G45" t="s">
        <v>312</v>
      </c>
      <c r="H45" t="s">
        <v>313</v>
      </c>
      <c r="I45" t="s">
        <v>314</v>
      </c>
      <c r="J45" t="s">
        <v>63</v>
      </c>
      <c r="K45" t="s">
        <v>148</v>
      </c>
      <c r="L45" t="s">
        <v>78</v>
      </c>
      <c r="M45" t="s">
        <v>66</v>
      </c>
    </row>
    <row r="46" spans="1:13" x14ac:dyDescent="0.3">
      <c r="A46" s="4">
        <v>97</v>
      </c>
      <c r="B46" t="s">
        <v>82</v>
      </c>
      <c r="C46" t="s">
        <v>37</v>
      </c>
      <c r="D46" t="s">
        <v>83</v>
      </c>
      <c r="E46" t="s">
        <v>31</v>
      </c>
      <c r="F46" t="s">
        <v>32</v>
      </c>
      <c r="G46" t="s">
        <v>38</v>
      </c>
      <c r="H46" t="s">
        <v>39</v>
      </c>
      <c r="I46" t="s">
        <v>85</v>
      </c>
      <c r="J46" t="s">
        <v>86</v>
      </c>
      <c r="K46" t="s">
        <v>87</v>
      </c>
      <c r="L46" t="s">
        <v>78</v>
      </c>
      <c r="M46" t="s">
        <v>66</v>
      </c>
    </row>
    <row r="47" spans="1:13" x14ac:dyDescent="0.3">
      <c r="A47" s="4">
        <v>98</v>
      </c>
      <c r="B47" t="s">
        <v>91</v>
      </c>
      <c r="C47" t="s">
        <v>37</v>
      </c>
      <c r="D47" t="s">
        <v>83</v>
      </c>
      <c r="E47" t="s">
        <v>31</v>
      </c>
      <c r="F47" t="s">
        <v>32</v>
      </c>
      <c r="G47" t="s">
        <v>38</v>
      </c>
      <c r="H47" t="s">
        <v>39</v>
      </c>
      <c r="I47" t="s">
        <v>85</v>
      </c>
      <c r="J47" t="s">
        <v>86</v>
      </c>
      <c r="K47" t="s">
        <v>87</v>
      </c>
      <c r="L47" t="s">
        <v>78</v>
      </c>
      <c r="M47" t="s">
        <v>66</v>
      </c>
    </row>
    <row r="48" spans="1:13" x14ac:dyDescent="0.3">
      <c r="A48">
        <v>109</v>
      </c>
      <c r="B48" t="s">
        <v>96</v>
      </c>
      <c r="C48" t="s">
        <v>37</v>
      </c>
      <c r="D48" t="s">
        <v>99</v>
      </c>
      <c r="E48" t="s">
        <v>66</v>
      </c>
      <c r="F48" t="s">
        <v>32</v>
      </c>
      <c r="G48" t="s">
        <v>60</v>
      </c>
      <c r="H48" t="s">
        <v>100</v>
      </c>
      <c r="J48" t="s">
        <v>101</v>
      </c>
      <c r="K48" t="s">
        <v>102</v>
      </c>
      <c r="L48" t="s">
        <v>65</v>
      </c>
      <c r="M48" t="s">
        <v>66</v>
      </c>
    </row>
    <row r="49" spans="1:13" x14ac:dyDescent="0.3">
      <c r="A49" s="4">
        <v>460</v>
      </c>
      <c r="B49" t="s">
        <v>329</v>
      </c>
      <c r="C49" t="s">
        <v>37</v>
      </c>
      <c r="D49" t="s">
        <v>130</v>
      </c>
      <c r="E49" t="s">
        <v>66</v>
      </c>
      <c r="F49" t="s">
        <v>32</v>
      </c>
      <c r="G49" t="s">
        <v>73</v>
      </c>
      <c r="H49" t="s">
        <v>218</v>
      </c>
      <c r="I49" t="s">
        <v>331</v>
      </c>
      <c r="J49" t="s">
        <v>134</v>
      </c>
      <c r="K49" t="s">
        <v>135</v>
      </c>
      <c r="L49" t="s">
        <v>43</v>
      </c>
      <c r="M49" t="s">
        <v>66</v>
      </c>
    </row>
    <row r="50" spans="1:13" x14ac:dyDescent="0.3">
      <c r="A50">
        <v>463</v>
      </c>
      <c r="B50" t="s">
        <v>332</v>
      </c>
      <c r="C50" t="s">
        <v>37</v>
      </c>
      <c r="D50" t="s">
        <v>130</v>
      </c>
      <c r="E50" t="s">
        <v>31</v>
      </c>
      <c r="F50" t="s">
        <v>32</v>
      </c>
      <c r="G50" t="s">
        <v>60</v>
      </c>
      <c r="H50" t="s">
        <v>100</v>
      </c>
      <c r="I50" t="s">
        <v>139</v>
      </c>
      <c r="J50" t="s">
        <v>63</v>
      </c>
      <c r="K50" t="s">
        <v>334</v>
      </c>
      <c r="L50" t="s">
        <v>43</v>
      </c>
      <c r="M50" t="s">
        <v>66</v>
      </c>
    </row>
    <row r="51" spans="1:13" x14ac:dyDescent="0.3">
      <c r="A51">
        <v>465</v>
      </c>
      <c r="B51" t="s">
        <v>336</v>
      </c>
      <c r="C51" t="s">
        <v>37</v>
      </c>
      <c r="D51" t="s">
        <v>260</v>
      </c>
      <c r="E51" t="s">
        <v>31</v>
      </c>
      <c r="F51" t="s">
        <v>32</v>
      </c>
      <c r="G51" t="s">
        <v>60</v>
      </c>
      <c r="H51" t="s">
        <v>262</v>
      </c>
      <c r="I51" t="s">
        <v>338</v>
      </c>
      <c r="J51" t="s">
        <v>86</v>
      </c>
      <c r="K51" t="s">
        <v>339</v>
      </c>
      <c r="L51" t="s">
        <v>43</v>
      </c>
      <c r="M51" t="s">
        <v>66</v>
      </c>
    </row>
    <row r="52" spans="1:13" x14ac:dyDescent="0.3">
      <c r="A52">
        <v>466</v>
      </c>
      <c r="B52" t="s">
        <v>341</v>
      </c>
      <c r="C52" t="s">
        <v>37</v>
      </c>
      <c r="D52" t="s">
        <v>342</v>
      </c>
      <c r="E52" t="s">
        <v>31</v>
      </c>
      <c r="F52" t="s">
        <v>32</v>
      </c>
      <c r="G52" t="s">
        <v>112</v>
      </c>
      <c r="H52" t="s">
        <v>113</v>
      </c>
      <c r="I52" t="s">
        <v>114</v>
      </c>
      <c r="J52" t="s">
        <v>41</v>
      </c>
      <c r="K52" t="s">
        <v>102</v>
      </c>
      <c r="L52" t="s">
        <v>43</v>
      </c>
      <c r="M52" t="s">
        <v>66</v>
      </c>
    </row>
    <row r="53" spans="1:13" x14ac:dyDescent="0.3">
      <c r="A53">
        <v>472</v>
      </c>
      <c r="B53" t="s">
        <v>345</v>
      </c>
      <c r="C53" t="s">
        <v>37</v>
      </c>
      <c r="D53" t="s">
        <v>260</v>
      </c>
      <c r="E53" t="s">
        <v>31</v>
      </c>
      <c r="F53" t="s">
        <v>32</v>
      </c>
      <c r="G53" t="s">
        <v>60</v>
      </c>
      <c r="H53" t="s">
        <v>262</v>
      </c>
      <c r="J53" t="s">
        <v>101</v>
      </c>
      <c r="K53" t="s">
        <v>264</v>
      </c>
      <c r="L53" t="s">
        <v>43</v>
      </c>
      <c r="M53" t="s">
        <v>66</v>
      </c>
    </row>
    <row r="54" spans="1:13" x14ac:dyDescent="0.3">
      <c r="A54">
        <v>476</v>
      </c>
      <c r="B54" t="s">
        <v>348</v>
      </c>
      <c r="C54" t="s">
        <v>37</v>
      </c>
      <c r="D54" t="s">
        <v>349</v>
      </c>
      <c r="E54" t="s">
        <v>31</v>
      </c>
      <c r="F54" t="s">
        <v>32</v>
      </c>
      <c r="G54" t="s">
        <v>73</v>
      </c>
      <c r="H54" t="s">
        <v>218</v>
      </c>
      <c r="I54" t="s">
        <v>351</v>
      </c>
      <c r="J54" t="s">
        <v>86</v>
      </c>
      <c r="K54" t="s">
        <v>87</v>
      </c>
      <c r="L54" t="s">
        <v>78</v>
      </c>
      <c r="M54" t="s">
        <v>66</v>
      </c>
    </row>
    <row r="55" spans="1:13" x14ac:dyDescent="0.3">
      <c r="A55">
        <v>525</v>
      </c>
      <c r="B55" t="s">
        <v>435</v>
      </c>
      <c r="C55" t="s">
        <v>37</v>
      </c>
      <c r="D55" t="s">
        <v>310</v>
      </c>
      <c r="E55" t="s">
        <v>31</v>
      </c>
      <c r="F55" t="s">
        <v>32</v>
      </c>
      <c r="G55" t="s">
        <v>312</v>
      </c>
      <c r="H55" t="s">
        <v>313</v>
      </c>
      <c r="I55" t="s">
        <v>314</v>
      </c>
      <c r="L55" t="s">
        <v>78</v>
      </c>
      <c r="M55" t="s">
        <v>66</v>
      </c>
    </row>
    <row r="56" spans="1:13" x14ac:dyDescent="0.3">
      <c r="A56">
        <v>525.1</v>
      </c>
      <c r="B56" t="s">
        <v>437</v>
      </c>
      <c r="C56" t="s">
        <v>37</v>
      </c>
      <c r="D56" t="s">
        <v>310</v>
      </c>
      <c r="E56" t="s">
        <v>31</v>
      </c>
      <c r="F56" t="s">
        <v>32</v>
      </c>
      <c r="G56" t="s">
        <v>312</v>
      </c>
      <c r="H56" t="s">
        <v>313</v>
      </c>
      <c r="I56" t="s">
        <v>314</v>
      </c>
      <c r="L56" t="s">
        <v>78</v>
      </c>
      <c r="M56" t="s">
        <v>66</v>
      </c>
    </row>
    <row r="57" spans="1:13" x14ac:dyDescent="0.3">
      <c r="A57">
        <v>525.20000000000005</v>
      </c>
      <c r="B57" t="s">
        <v>439</v>
      </c>
      <c r="C57" t="s">
        <v>37</v>
      </c>
      <c r="D57" t="s">
        <v>310</v>
      </c>
      <c r="E57" t="s">
        <v>31</v>
      </c>
      <c r="F57" t="s">
        <v>32</v>
      </c>
      <c r="G57" t="s">
        <v>312</v>
      </c>
      <c r="H57" t="s">
        <v>313</v>
      </c>
      <c r="I57" t="s">
        <v>314</v>
      </c>
      <c r="L57" t="s">
        <v>78</v>
      </c>
      <c r="M57" t="s">
        <v>66</v>
      </c>
    </row>
    <row r="58" spans="1:13" x14ac:dyDescent="0.3">
      <c r="A58">
        <v>525.29999999999995</v>
      </c>
      <c r="B58" t="s">
        <v>441</v>
      </c>
      <c r="C58" t="s">
        <v>37</v>
      </c>
      <c r="D58" t="s">
        <v>310</v>
      </c>
      <c r="E58" t="s">
        <v>31</v>
      </c>
      <c r="F58" t="s">
        <v>32</v>
      </c>
      <c r="G58" t="s">
        <v>312</v>
      </c>
      <c r="H58" t="s">
        <v>313</v>
      </c>
      <c r="I58" t="s">
        <v>314</v>
      </c>
      <c r="L58" t="s">
        <v>78</v>
      </c>
      <c r="M58" t="s">
        <v>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T180"/>
  <sheetViews>
    <sheetView workbookViewId="0">
      <selection activeCell="B1" sqref="B1"/>
    </sheetView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idden="1" x14ac:dyDescent="0.3">
      <c r="A2">
        <v>14</v>
      </c>
      <c r="B2" t="s">
        <v>29</v>
      </c>
      <c r="C2" t="s">
        <v>37</v>
      </c>
      <c r="D2" t="s">
        <v>186</v>
      </c>
      <c r="E2" t="s">
        <v>31</v>
      </c>
      <c r="F2" t="s">
        <v>32</v>
      </c>
      <c r="G2" s="2">
        <v>44926</v>
      </c>
      <c r="H2">
        <v>2022</v>
      </c>
      <c r="I2" t="s">
        <v>44</v>
      </c>
      <c r="J2" t="s">
        <v>45</v>
      </c>
      <c r="K2">
        <v>50430</v>
      </c>
      <c r="L2">
        <v>50241</v>
      </c>
      <c r="M2">
        <v>0.99625223081499104</v>
      </c>
      <c r="N2">
        <v>0.99625223081499104</v>
      </c>
      <c r="O2" t="s">
        <v>35</v>
      </c>
      <c r="P2" t="s">
        <v>35</v>
      </c>
      <c r="Q2" t="s">
        <v>46</v>
      </c>
      <c r="R2">
        <v>0</v>
      </c>
      <c r="S2">
        <v>0</v>
      </c>
      <c r="T2" t="s">
        <v>443</v>
      </c>
    </row>
    <row r="3" spans="1:20" hidden="1" x14ac:dyDescent="0.3">
      <c r="A3">
        <v>14</v>
      </c>
      <c r="B3" t="s">
        <v>29</v>
      </c>
      <c r="C3" t="s">
        <v>37</v>
      </c>
      <c r="D3" t="s">
        <v>186</v>
      </c>
      <c r="E3" t="s">
        <v>31</v>
      </c>
      <c r="F3" t="s">
        <v>32</v>
      </c>
      <c r="G3" s="2">
        <v>45291</v>
      </c>
      <c r="H3">
        <v>2023</v>
      </c>
      <c r="I3" t="s">
        <v>44</v>
      </c>
      <c r="J3" t="s">
        <v>49</v>
      </c>
      <c r="K3">
        <v>51687</v>
      </c>
      <c r="L3">
        <v>51375</v>
      </c>
      <c r="M3">
        <v>0.99396366591212493</v>
      </c>
      <c r="N3">
        <v>0.99396366591212493</v>
      </c>
      <c r="O3" t="s">
        <v>35</v>
      </c>
      <c r="P3" t="s">
        <v>35</v>
      </c>
      <c r="Q3" t="s">
        <v>50</v>
      </c>
      <c r="R3">
        <v>0</v>
      </c>
      <c r="S3">
        <v>0</v>
      </c>
      <c r="T3" t="s">
        <v>443</v>
      </c>
    </row>
    <row r="4" spans="1:20" hidden="1" x14ac:dyDescent="0.3">
      <c r="A4">
        <v>14</v>
      </c>
      <c r="B4" t="s">
        <v>29</v>
      </c>
      <c r="C4" t="s">
        <v>37</v>
      </c>
      <c r="D4" t="s">
        <v>186</v>
      </c>
      <c r="E4" t="s">
        <v>31</v>
      </c>
      <c r="F4" t="s">
        <v>32</v>
      </c>
      <c r="G4" s="2">
        <v>45657</v>
      </c>
      <c r="H4">
        <v>2024</v>
      </c>
      <c r="I4" t="s">
        <v>44</v>
      </c>
      <c r="J4" t="s">
        <v>53</v>
      </c>
      <c r="K4">
        <v>51116.334115206948</v>
      </c>
      <c r="L4">
        <v>52005</v>
      </c>
      <c r="M4">
        <v>1.017385164647961</v>
      </c>
      <c r="N4">
        <v>1.017385164647961</v>
      </c>
      <c r="O4" t="s">
        <v>35</v>
      </c>
      <c r="P4" t="s">
        <v>35</v>
      </c>
      <c r="Q4" t="s">
        <v>54</v>
      </c>
      <c r="R4">
        <v>0</v>
      </c>
      <c r="S4">
        <v>0</v>
      </c>
      <c r="T4" t="s">
        <v>443</v>
      </c>
    </row>
    <row r="5" spans="1:20" hidden="1" x14ac:dyDescent="0.3">
      <c r="A5">
        <v>77</v>
      </c>
      <c r="B5" t="s">
        <v>55</v>
      </c>
      <c r="C5" t="s">
        <v>37</v>
      </c>
      <c r="D5" t="s">
        <v>56</v>
      </c>
      <c r="E5" t="s">
        <v>57</v>
      </c>
      <c r="F5" t="s">
        <v>32</v>
      </c>
      <c r="G5" s="2">
        <v>44926</v>
      </c>
      <c r="H5">
        <v>2022</v>
      </c>
      <c r="I5" t="s">
        <v>44</v>
      </c>
      <c r="J5" t="s">
        <v>45</v>
      </c>
      <c r="K5">
        <v>97</v>
      </c>
      <c r="L5">
        <v>97.899999999999991</v>
      </c>
      <c r="M5">
        <v>1.0092783505154641</v>
      </c>
      <c r="N5">
        <v>1.0092783505154641</v>
      </c>
      <c r="O5" t="s">
        <v>58</v>
      </c>
      <c r="P5" t="s">
        <v>58</v>
      </c>
      <c r="Q5" t="s">
        <v>67</v>
      </c>
      <c r="R5">
        <v>0</v>
      </c>
      <c r="S5">
        <v>1</v>
      </c>
      <c r="T5" t="s">
        <v>443</v>
      </c>
    </row>
    <row r="6" spans="1:20" hidden="1" x14ac:dyDescent="0.3">
      <c r="A6">
        <v>77</v>
      </c>
      <c r="B6" t="s">
        <v>55</v>
      </c>
      <c r="C6" t="s">
        <v>37</v>
      </c>
      <c r="D6" t="s">
        <v>56</v>
      </c>
      <c r="E6" t="s">
        <v>57</v>
      </c>
      <c r="F6" t="s">
        <v>32</v>
      </c>
      <c r="G6" s="2">
        <v>45291</v>
      </c>
      <c r="H6">
        <v>2023</v>
      </c>
      <c r="I6" t="s">
        <v>44</v>
      </c>
      <c r="J6" t="s">
        <v>49</v>
      </c>
      <c r="K6">
        <v>97</v>
      </c>
      <c r="L6">
        <v>97.633333333333326</v>
      </c>
      <c r="M6">
        <v>1.0065292096219931</v>
      </c>
      <c r="N6">
        <v>1.0065292096219931</v>
      </c>
      <c r="O6" t="s">
        <v>58</v>
      </c>
      <c r="P6" t="s">
        <v>58</v>
      </c>
      <c r="Q6" t="s">
        <v>69</v>
      </c>
      <c r="R6">
        <v>0</v>
      </c>
      <c r="S6">
        <v>1</v>
      </c>
      <c r="T6" t="s">
        <v>443</v>
      </c>
    </row>
    <row r="7" spans="1:20" hidden="1" x14ac:dyDescent="0.3">
      <c r="A7">
        <v>77</v>
      </c>
      <c r="B7" t="s">
        <v>55</v>
      </c>
      <c r="C7" t="s">
        <v>37</v>
      </c>
      <c r="D7" t="s">
        <v>56</v>
      </c>
      <c r="E7" t="s">
        <v>57</v>
      </c>
      <c r="F7" t="s">
        <v>32</v>
      </c>
      <c r="G7" s="2">
        <v>45657</v>
      </c>
      <c r="H7">
        <v>2024</v>
      </c>
      <c r="I7" t="s">
        <v>44</v>
      </c>
      <c r="J7" t="s">
        <v>53</v>
      </c>
      <c r="K7">
        <v>97</v>
      </c>
      <c r="L7">
        <v>97.432500000000005</v>
      </c>
      <c r="M7">
        <v>1.004458762886598</v>
      </c>
      <c r="N7">
        <v>1.004458762886598</v>
      </c>
      <c r="O7" t="s">
        <v>58</v>
      </c>
      <c r="P7" t="s">
        <v>58</v>
      </c>
      <c r="Q7" t="s">
        <v>393</v>
      </c>
      <c r="R7">
        <v>0</v>
      </c>
      <c r="S7">
        <v>1</v>
      </c>
      <c r="T7" t="s">
        <v>443</v>
      </c>
    </row>
    <row r="8" spans="1:20" hidden="1" x14ac:dyDescent="0.3">
      <c r="A8">
        <v>96</v>
      </c>
      <c r="B8" t="s">
        <v>70</v>
      </c>
      <c r="C8" t="s">
        <v>37</v>
      </c>
      <c r="D8" t="s">
        <v>71</v>
      </c>
      <c r="E8" t="s">
        <v>31</v>
      </c>
      <c r="F8" t="s">
        <v>32</v>
      </c>
      <c r="G8" s="2">
        <v>44926</v>
      </c>
      <c r="H8">
        <v>2022</v>
      </c>
      <c r="I8" t="s">
        <v>44</v>
      </c>
      <c r="J8" t="s">
        <v>45</v>
      </c>
      <c r="K8">
        <v>509</v>
      </c>
      <c r="L8">
        <v>565</v>
      </c>
      <c r="M8">
        <v>1.1100196463654219</v>
      </c>
      <c r="N8">
        <v>1.1100196463654219</v>
      </c>
      <c r="O8" t="s">
        <v>35</v>
      </c>
      <c r="P8" t="s">
        <v>35</v>
      </c>
      <c r="Q8" t="s">
        <v>72</v>
      </c>
      <c r="R8">
        <v>0</v>
      </c>
      <c r="S8">
        <v>0</v>
      </c>
      <c r="T8" t="s">
        <v>443</v>
      </c>
    </row>
    <row r="9" spans="1:20" hidden="1" x14ac:dyDescent="0.3">
      <c r="A9">
        <v>96</v>
      </c>
      <c r="B9" t="s">
        <v>70</v>
      </c>
      <c r="C9" t="s">
        <v>37</v>
      </c>
      <c r="D9" t="s">
        <v>71</v>
      </c>
      <c r="E9" t="s">
        <v>31</v>
      </c>
      <c r="F9" t="s">
        <v>32</v>
      </c>
      <c r="G9" s="2">
        <v>45291</v>
      </c>
      <c r="H9">
        <v>2023</v>
      </c>
      <c r="I9" t="s">
        <v>44</v>
      </c>
      <c r="J9" t="s">
        <v>49</v>
      </c>
      <c r="K9">
        <v>611</v>
      </c>
      <c r="L9">
        <v>705</v>
      </c>
      <c r="M9">
        <v>1.153846153846154</v>
      </c>
      <c r="N9">
        <v>1.153846153846154</v>
      </c>
      <c r="O9" t="s">
        <v>35</v>
      </c>
      <c r="P9" t="s">
        <v>35</v>
      </c>
      <c r="Q9" t="s">
        <v>80</v>
      </c>
      <c r="R9">
        <v>0</v>
      </c>
      <c r="S9">
        <v>0</v>
      </c>
      <c r="T9" t="s">
        <v>443</v>
      </c>
    </row>
    <row r="10" spans="1:20" hidden="1" x14ac:dyDescent="0.3">
      <c r="A10">
        <v>96</v>
      </c>
      <c r="B10" t="s">
        <v>70</v>
      </c>
      <c r="C10" t="s">
        <v>37</v>
      </c>
      <c r="D10" t="s">
        <v>71</v>
      </c>
      <c r="E10" t="s">
        <v>31</v>
      </c>
      <c r="F10" t="s">
        <v>32</v>
      </c>
      <c r="G10" s="2">
        <v>45657</v>
      </c>
      <c r="H10">
        <v>2024</v>
      </c>
      <c r="I10" t="s">
        <v>44</v>
      </c>
      <c r="J10" t="s">
        <v>53</v>
      </c>
      <c r="K10">
        <v>672</v>
      </c>
      <c r="L10">
        <v>740</v>
      </c>
      <c r="M10">
        <v>1.1011904761904761</v>
      </c>
      <c r="N10">
        <v>1.1011904761904761</v>
      </c>
      <c r="O10" t="s">
        <v>35</v>
      </c>
      <c r="P10" t="s">
        <v>35</v>
      </c>
      <c r="Q10" t="s">
        <v>394</v>
      </c>
      <c r="R10">
        <v>0</v>
      </c>
      <c r="S10">
        <v>0</v>
      </c>
      <c r="T10" t="s">
        <v>443</v>
      </c>
    </row>
    <row r="11" spans="1:20" hidden="1" x14ac:dyDescent="0.3">
      <c r="A11">
        <v>97</v>
      </c>
      <c r="B11" t="s">
        <v>82</v>
      </c>
      <c r="C11" t="s">
        <v>37</v>
      </c>
      <c r="D11" t="s">
        <v>83</v>
      </c>
      <c r="E11" t="s">
        <v>31</v>
      </c>
      <c r="F11" t="s">
        <v>32</v>
      </c>
      <c r="G11" s="2">
        <v>44926</v>
      </c>
      <c r="H11">
        <v>2022</v>
      </c>
      <c r="I11" t="s">
        <v>44</v>
      </c>
      <c r="J11" t="s">
        <v>45</v>
      </c>
      <c r="K11">
        <v>2</v>
      </c>
      <c r="L11">
        <v>2</v>
      </c>
      <c r="M11">
        <v>1</v>
      </c>
      <c r="N11">
        <v>1</v>
      </c>
      <c r="O11" t="s">
        <v>35</v>
      </c>
      <c r="P11" t="s">
        <v>35</v>
      </c>
      <c r="Q11" t="s">
        <v>88</v>
      </c>
      <c r="R11">
        <v>0</v>
      </c>
      <c r="S11">
        <v>0</v>
      </c>
      <c r="T11" t="s">
        <v>443</v>
      </c>
    </row>
    <row r="12" spans="1:20" hidden="1" x14ac:dyDescent="0.3">
      <c r="A12">
        <v>97</v>
      </c>
      <c r="B12" t="s">
        <v>82</v>
      </c>
      <c r="C12" t="s">
        <v>37</v>
      </c>
      <c r="D12" t="s">
        <v>83</v>
      </c>
      <c r="E12" t="s">
        <v>31</v>
      </c>
      <c r="F12" t="s">
        <v>32</v>
      </c>
      <c r="G12" s="2">
        <v>45291</v>
      </c>
      <c r="H12">
        <v>2023</v>
      </c>
      <c r="I12" t="s">
        <v>44</v>
      </c>
      <c r="J12" t="s">
        <v>49</v>
      </c>
      <c r="K12">
        <v>0</v>
      </c>
      <c r="L12">
        <v>0</v>
      </c>
      <c r="O12" t="s">
        <v>35</v>
      </c>
      <c r="P12" t="s">
        <v>35</v>
      </c>
      <c r="Q12" t="s">
        <v>90</v>
      </c>
      <c r="R12">
        <v>0</v>
      </c>
      <c r="S12">
        <v>0</v>
      </c>
      <c r="T12" t="s">
        <v>443</v>
      </c>
    </row>
    <row r="13" spans="1:20" hidden="1" x14ac:dyDescent="0.3">
      <c r="A13">
        <v>97</v>
      </c>
      <c r="B13" t="s">
        <v>82</v>
      </c>
      <c r="C13" t="s">
        <v>37</v>
      </c>
      <c r="D13" t="s">
        <v>83</v>
      </c>
      <c r="E13" t="s">
        <v>31</v>
      </c>
      <c r="F13" t="s">
        <v>32</v>
      </c>
      <c r="G13" s="2">
        <v>45657</v>
      </c>
      <c r="H13">
        <v>2024</v>
      </c>
      <c r="I13" t="s">
        <v>44</v>
      </c>
      <c r="J13" t="s">
        <v>53</v>
      </c>
      <c r="K13">
        <v>0</v>
      </c>
      <c r="L13">
        <v>0</v>
      </c>
      <c r="O13" t="s">
        <v>35</v>
      </c>
      <c r="P13" t="s">
        <v>35</v>
      </c>
      <c r="Q13" t="s">
        <v>396</v>
      </c>
      <c r="R13">
        <v>0</v>
      </c>
      <c r="S13">
        <v>0</v>
      </c>
      <c r="T13" t="s">
        <v>443</v>
      </c>
    </row>
    <row r="14" spans="1:20" hidden="1" x14ac:dyDescent="0.3">
      <c r="A14">
        <v>98</v>
      </c>
      <c r="B14" t="s">
        <v>91</v>
      </c>
      <c r="C14" t="s">
        <v>37</v>
      </c>
      <c r="D14" t="s">
        <v>83</v>
      </c>
      <c r="E14" t="s">
        <v>31</v>
      </c>
      <c r="F14" t="s">
        <v>32</v>
      </c>
      <c r="G14" s="2">
        <v>44926</v>
      </c>
      <c r="H14">
        <v>2022</v>
      </c>
      <c r="I14" t="s">
        <v>44</v>
      </c>
      <c r="J14" t="s">
        <v>45</v>
      </c>
      <c r="K14">
        <v>2</v>
      </c>
      <c r="L14">
        <v>2</v>
      </c>
      <c r="M14">
        <v>1</v>
      </c>
      <c r="N14">
        <v>1</v>
      </c>
      <c r="O14" t="s">
        <v>35</v>
      </c>
      <c r="P14" t="s">
        <v>35</v>
      </c>
      <c r="Q14" t="s">
        <v>93</v>
      </c>
      <c r="R14">
        <v>0</v>
      </c>
      <c r="S14">
        <v>0</v>
      </c>
      <c r="T14" t="s">
        <v>443</v>
      </c>
    </row>
    <row r="15" spans="1:20" hidden="1" x14ac:dyDescent="0.3">
      <c r="A15">
        <v>98</v>
      </c>
      <c r="B15" t="s">
        <v>91</v>
      </c>
      <c r="C15" t="s">
        <v>37</v>
      </c>
      <c r="D15" t="s">
        <v>83</v>
      </c>
      <c r="E15" t="s">
        <v>31</v>
      </c>
      <c r="F15" t="s">
        <v>32</v>
      </c>
      <c r="G15" s="2">
        <v>45291</v>
      </c>
      <c r="H15">
        <v>2023</v>
      </c>
      <c r="I15" t="s">
        <v>44</v>
      </c>
      <c r="J15" t="s">
        <v>49</v>
      </c>
      <c r="K15">
        <v>1</v>
      </c>
      <c r="L15">
        <v>1</v>
      </c>
      <c r="M15">
        <v>1</v>
      </c>
      <c r="N15">
        <v>1</v>
      </c>
      <c r="O15" t="s">
        <v>35</v>
      </c>
      <c r="P15" t="s">
        <v>35</v>
      </c>
      <c r="Q15" t="s">
        <v>95</v>
      </c>
      <c r="R15">
        <v>0</v>
      </c>
      <c r="S15">
        <v>0</v>
      </c>
      <c r="T15" t="s">
        <v>443</v>
      </c>
    </row>
    <row r="16" spans="1:20" hidden="1" x14ac:dyDescent="0.3">
      <c r="A16">
        <v>98</v>
      </c>
      <c r="B16" t="s">
        <v>91</v>
      </c>
      <c r="C16" t="s">
        <v>37</v>
      </c>
      <c r="D16" t="s">
        <v>83</v>
      </c>
      <c r="E16" t="s">
        <v>31</v>
      </c>
      <c r="F16" t="s">
        <v>32</v>
      </c>
      <c r="G16" s="2">
        <v>45657</v>
      </c>
      <c r="H16">
        <v>2024</v>
      </c>
      <c r="I16" t="s">
        <v>44</v>
      </c>
      <c r="J16" t="s">
        <v>53</v>
      </c>
      <c r="K16">
        <v>5</v>
      </c>
      <c r="L16">
        <v>5</v>
      </c>
      <c r="M16">
        <v>1</v>
      </c>
      <c r="N16">
        <v>1</v>
      </c>
      <c r="O16" t="s">
        <v>35</v>
      </c>
      <c r="P16" t="s">
        <v>35</v>
      </c>
      <c r="Q16" t="s">
        <v>398</v>
      </c>
      <c r="R16">
        <v>0</v>
      </c>
      <c r="S16">
        <v>0</v>
      </c>
      <c r="T16" t="s">
        <v>443</v>
      </c>
    </row>
    <row r="17" spans="1:20" hidden="1" x14ac:dyDescent="0.3">
      <c r="A17">
        <v>109</v>
      </c>
      <c r="B17" t="s">
        <v>469</v>
      </c>
      <c r="C17" t="s">
        <v>37</v>
      </c>
      <c r="D17" t="s">
        <v>99</v>
      </c>
      <c r="E17" t="s">
        <v>66</v>
      </c>
      <c r="F17" t="s">
        <v>32</v>
      </c>
      <c r="G17" s="2">
        <v>45657</v>
      </c>
      <c r="H17">
        <v>2024</v>
      </c>
      <c r="I17" t="s">
        <v>44</v>
      </c>
      <c r="J17" t="s">
        <v>53</v>
      </c>
      <c r="K17">
        <v>80</v>
      </c>
      <c r="L17">
        <v>85</v>
      </c>
      <c r="M17">
        <v>1.0625</v>
      </c>
      <c r="N17">
        <v>1.0625</v>
      </c>
      <c r="O17" t="s">
        <v>58</v>
      </c>
      <c r="P17" t="s">
        <v>58</v>
      </c>
      <c r="Q17" t="s">
        <v>103</v>
      </c>
      <c r="R17">
        <v>0</v>
      </c>
      <c r="S17">
        <v>0</v>
      </c>
      <c r="T17" t="s">
        <v>443</v>
      </c>
    </row>
    <row r="18" spans="1:20" hidden="1" x14ac:dyDescent="0.3">
      <c r="A18">
        <v>148</v>
      </c>
      <c r="B18" t="s">
        <v>104</v>
      </c>
      <c r="C18" t="s">
        <v>474</v>
      </c>
      <c r="D18" t="s">
        <v>105</v>
      </c>
      <c r="E18" t="s">
        <v>31</v>
      </c>
      <c r="F18" t="s">
        <v>32</v>
      </c>
      <c r="G18" s="2">
        <v>44926</v>
      </c>
      <c r="H18">
        <v>2022</v>
      </c>
      <c r="I18" t="s">
        <v>44</v>
      </c>
      <c r="J18" t="s">
        <v>45</v>
      </c>
      <c r="K18">
        <v>5</v>
      </c>
      <c r="L18">
        <v>4.66</v>
      </c>
      <c r="M18">
        <v>0.93200000000000005</v>
      </c>
      <c r="N18">
        <v>0.93200000000000005</v>
      </c>
      <c r="O18" t="s">
        <v>58</v>
      </c>
      <c r="P18" t="s">
        <v>58</v>
      </c>
      <c r="Q18" t="s">
        <v>444</v>
      </c>
      <c r="R18">
        <v>0</v>
      </c>
      <c r="S18">
        <v>1</v>
      </c>
      <c r="T18" t="s">
        <v>443</v>
      </c>
    </row>
    <row r="19" spans="1:20" hidden="1" x14ac:dyDescent="0.3">
      <c r="A19">
        <v>148</v>
      </c>
      <c r="B19" t="s">
        <v>104</v>
      </c>
      <c r="C19" t="s">
        <v>474</v>
      </c>
      <c r="D19" t="s">
        <v>105</v>
      </c>
      <c r="E19" t="s">
        <v>31</v>
      </c>
      <c r="F19" t="s">
        <v>32</v>
      </c>
      <c r="G19" s="2">
        <v>45291</v>
      </c>
      <c r="H19">
        <v>2023</v>
      </c>
      <c r="I19" t="s">
        <v>44</v>
      </c>
      <c r="J19" t="s">
        <v>49</v>
      </c>
      <c r="K19">
        <v>5</v>
      </c>
      <c r="L19">
        <v>5.71</v>
      </c>
      <c r="M19">
        <v>1.1419999999999999</v>
      </c>
      <c r="N19">
        <v>1.1419999999999999</v>
      </c>
      <c r="O19" t="s">
        <v>58</v>
      </c>
      <c r="P19" t="s">
        <v>58</v>
      </c>
      <c r="Q19" t="s">
        <v>107</v>
      </c>
      <c r="R19">
        <v>0</v>
      </c>
      <c r="S19">
        <v>1</v>
      </c>
      <c r="T19" t="s">
        <v>443</v>
      </c>
    </row>
    <row r="20" spans="1:20" hidden="1" x14ac:dyDescent="0.3">
      <c r="A20">
        <v>148</v>
      </c>
      <c r="B20" t="s">
        <v>104</v>
      </c>
      <c r="C20" t="s">
        <v>474</v>
      </c>
      <c r="D20" t="s">
        <v>105</v>
      </c>
      <c r="E20" t="s">
        <v>31</v>
      </c>
      <c r="F20" t="s">
        <v>32</v>
      </c>
      <c r="G20" s="2">
        <v>45657</v>
      </c>
      <c r="H20">
        <v>2024</v>
      </c>
      <c r="I20" t="s">
        <v>44</v>
      </c>
      <c r="J20" t="s">
        <v>53</v>
      </c>
      <c r="K20">
        <v>5</v>
      </c>
      <c r="L20">
        <v>6.3</v>
      </c>
      <c r="M20">
        <v>1.26</v>
      </c>
      <c r="N20">
        <v>1.26</v>
      </c>
      <c r="O20" t="s">
        <v>58</v>
      </c>
      <c r="P20" t="s">
        <v>58</v>
      </c>
      <c r="Q20" t="s">
        <v>109</v>
      </c>
      <c r="R20">
        <v>0</v>
      </c>
      <c r="S20">
        <v>1</v>
      </c>
      <c r="T20" t="s">
        <v>443</v>
      </c>
    </row>
    <row r="21" spans="1:20" hidden="1" x14ac:dyDescent="0.3">
      <c r="A21">
        <v>193</v>
      </c>
      <c r="B21" t="s">
        <v>110</v>
      </c>
      <c r="C21" t="s">
        <v>37</v>
      </c>
      <c r="D21" t="s">
        <v>30</v>
      </c>
      <c r="E21" t="s">
        <v>31</v>
      </c>
      <c r="F21" t="s">
        <v>32</v>
      </c>
      <c r="G21" s="2">
        <v>44926</v>
      </c>
      <c r="H21">
        <v>2022</v>
      </c>
      <c r="I21" t="s">
        <v>44</v>
      </c>
      <c r="J21" t="s">
        <v>45</v>
      </c>
      <c r="K21">
        <v>76</v>
      </c>
      <c r="L21">
        <v>92.4</v>
      </c>
      <c r="M21">
        <v>1.215789473684211</v>
      </c>
      <c r="N21">
        <v>1.215789473684211</v>
      </c>
      <c r="O21" t="s">
        <v>58</v>
      </c>
      <c r="P21" t="s">
        <v>58</v>
      </c>
      <c r="Q21" t="s">
        <v>116</v>
      </c>
      <c r="R21">
        <v>1</v>
      </c>
      <c r="S21">
        <v>1</v>
      </c>
      <c r="T21" t="s">
        <v>443</v>
      </c>
    </row>
    <row r="22" spans="1:20" hidden="1" x14ac:dyDescent="0.3">
      <c r="A22">
        <v>193</v>
      </c>
      <c r="B22" t="s">
        <v>110</v>
      </c>
      <c r="C22" t="s">
        <v>37</v>
      </c>
      <c r="D22" t="s">
        <v>30</v>
      </c>
      <c r="E22" t="s">
        <v>31</v>
      </c>
      <c r="F22" t="s">
        <v>32</v>
      </c>
      <c r="G22" s="2">
        <v>45291</v>
      </c>
      <c r="H22">
        <v>2023</v>
      </c>
      <c r="I22" t="s">
        <v>44</v>
      </c>
      <c r="J22" t="s">
        <v>49</v>
      </c>
      <c r="K22">
        <v>92</v>
      </c>
      <c r="L22">
        <v>91.3</v>
      </c>
      <c r="M22">
        <v>0.99239130434782608</v>
      </c>
      <c r="N22">
        <v>0.99239130434782608</v>
      </c>
      <c r="O22" t="s">
        <v>58</v>
      </c>
      <c r="P22" t="s">
        <v>58</v>
      </c>
      <c r="Q22" t="s">
        <v>118</v>
      </c>
      <c r="R22">
        <v>1</v>
      </c>
      <c r="S22">
        <v>1</v>
      </c>
      <c r="T22" t="s">
        <v>443</v>
      </c>
    </row>
    <row r="23" spans="1:20" hidden="1" x14ac:dyDescent="0.3">
      <c r="A23">
        <v>193</v>
      </c>
      <c r="B23" t="s">
        <v>110</v>
      </c>
      <c r="C23" t="s">
        <v>37</v>
      </c>
      <c r="D23" t="s">
        <v>30</v>
      </c>
      <c r="E23" t="s">
        <v>31</v>
      </c>
      <c r="F23" t="s">
        <v>32</v>
      </c>
      <c r="G23" s="2">
        <v>45657</v>
      </c>
      <c r="H23">
        <v>2024</v>
      </c>
      <c r="I23" t="s">
        <v>44</v>
      </c>
      <c r="J23" t="s">
        <v>53</v>
      </c>
      <c r="K23">
        <v>90</v>
      </c>
      <c r="L23">
        <v>93.5</v>
      </c>
      <c r="M23">
        <v>1.038888888888889</v>
      </c>
      <c r="N23">
        <v>1.038888888888889</v>
      </c>
      <c r="O23" t="s">
        <v>58</v>
      </c>
      <c r="P23" t="s">
        <v>58</v>
      </c>
      <c r="Q23" t="s">
        <v>120</v>
      </c>
      <c r="R23">
        <v>1</v>
      </c>
      <c r="S23">
        <v>1</v>
      </c>
      <c r="T23" t="s">
        <v>443</v>
      </c>
    </row>
    <row r="24" spans="1:20" hidden="1" x14ac:dyDescent="0.3">
      <c r="A24">
        <v>194</v>
      </c>
      <c r="B24" t="s">
        <v>121</v>
      </c>
      <c r="C24" t="s">
        <v>37</v>
      </c>
      <c r="D24" t="s">
        <v>30</v>
      </c>
      <c r="E24" t="s">
        <v>31</v>
      </c>
      <c r="F24" t="s">
        <v>32</v>
      </c>
      <c r="G24" s="2">
        <v>44926</v>
      </c>
      <c r="H24">
        <v>2022</v>
      </c>
      <c r="I24" t="s">
        <v>44</v>
      </c>
      <c r="J24" t="s">
        <v>45</v>
      </c>
      <c r="K24">
        <v>73</v>
      </c>
      <c r="L24">
        <v>83.11</v>
      </c>
      <c r="M24">
        <v>1.138493150684931</v>
      </c>
      <c r="N24">
        <v>1.138493150684931</v>
      </c>
      <c r="O24" t="s">
        <v>58</v>
      </c>
      <c r="P24" t="s">
        <v>58</v>
      </c>
      <c r="Q24" t="s">
        <v>125</v>
      </c>
      <c r="R24">
        <v>0</v>
      </c>
      <c r="S24">
        <v>0</v>
      </c>
      <c r="T24" t="s">
        <v>443</v>
      </c>
    </row>
    <row r="25" spans="1:20" hidden="1" x14ac:dyDescent="0.3">
      <c r="A25">
        <v>194</v>
      </c>
      <c r="B25" t="s">
        <v>121</v>
      </c>
      <c r="C25" t="s">
        <v>37</v>
      </c>
      <c r="D25" t="s">
        <v>30</v>
      </c>
      <c r="E25" t="s">
        <v>31</v>
      </c>
      <c r="F25" t="s">
        <v>32</v>
      </c>
      <c r="G25" s="2">
        <v>45291</v>
      </c>
      <c r="H25">
        <v>2023</v>
      </c>
      <c r="I25" t="s">
        <v>44</v>
      </c>
      <c r="J25" t="s">
        <v>49</v>
      </c>
      <c r="K25">
        <v>80</v>
      </c>
      <c r="L25">
        <v>81.91</v>
      </c>
      <c r="M25">
        <v>1.0238750000000001</v>
      </c>
      <c r="N25">
        <v>1.0238750000000001</v>
      </c>
      <c r="O25" t="s">
        <v>58</v>
      </c>
      <c r="P25" t="s">
        <v>58</v>
      </c>
      <c r="Q25" t="s">
        <v>127</v>
      </c>
      <c r="R25">
        <v>0</v>
      </c>
      <c r="S25">
        <v>0</v>
      </c>
      <c r="T25" t="s">
        <v>443</v>
      </c>
    </row>
    <row r="26" spans="1:20" hidden="1" x14ac:dyDescent="0.3">
      <c r="A26">
        <v>194</v>
      </c>
      <c r="B26" t="s">
        <v>121</v>
      </c>
      <c r="C26" t="s">
        <v>37</v>
      </c>
      <c r="D26" t="s">
        <v>30</v>
      </c>
      <c r="E26" t="s">
        <v>31</v>
      </c>
      <c r="F26" t="s">
        <v>32</v>
      </c>
      <c r="G26" s="2">
        <v>45657</v>
      </c>
      <c r="H26">
        <v>2024</v>
      </c>
      <c r="I26" t="s">
        <v>44</v>
      </c>
      <c r="J26" t="s">
        <v>53</v>
      </c>
      <c r="K26">
        <v>81</v>
      </c>
      <c r="L26">
        <v>89</v>
      </c>
      <c r="M26">
        <v>1.098765432098765</v>
      </c>
      <c r="N26">
        <v>1.098765432098765</v>
      </c>
      <c r="O26" t="s">
        <v>58</v>
      </c>
      <c r="P26" t="s">
        <v>58</v>
      </c>
      <c r="Q26" t="s">
        <v>403</v>
      </c>
      <c r="R26">
        <v>0</v>
      </c>
      <c r="S26">
        <v>0</v>
      </c>
      <c r="T26" t="s">
        <v>443</v>
      </c>
    </row>
    <row r="27" spans="1:20" hidden="1" x14ac:dyDescent="0.3">
      <c r="A27">
        <v>200</v>
      </c>
      <c r="B27" t="s">
        <v>129</v>
      </c>
      <c r="C27" t="s">
        <v>37</v>
      </c>
      <c r="D27" t="s">
        <v>130</v>
      </c>
      <c r="E27" t="s">
        <v>66</v>
      </c>
      <c r="F27" t="s">
        <v>32</v>
      </c>
      <c r="G27" s="2">
        <v>45291</v>
      </c>
      <c r="H27">
        <v>2023</v>
      </c>
      <c r="I27" t="s">
        <v>44</v>
      </c>
      <c r="J27" t="s">
        <v>49</v>
      </c>
      <c r="L27">
        <v>90</v>
      </c>
      <c r="O27" t="s">
        <v>284</v>
      </c>
      <c r="P27" t="s">
        <v>58</v>
      </c>
      <c r="Q27" t="s">
        <v>132</v>
      </c>
      <c r="R27">
        <v>0</v>
      </c>
      <c r="S27">
        <v>0</v>
      </c>
      <c r="T27" t="s">
        <v>443</v>
      </c>
    </row>
    <row r="28" spans="1:20" hidden="1" x14ac:dyDescent="0.3">
      <c r="A28">
        <v>200</v>
      </c>
      <c r="B28" t="s">
        <v>129</v>
      </c>
      <c r="C28" t="s">
        <v>37</v>
      </c>
      <c r="D28" t="s">
        <v>130</v>
      </c>
      <c r="E28" t="s">
        <v>66</v>
      </c>
      <c r="F28" t="s">
        <v>32</v>
      </c>
      <c r="G28" s="2">
        <v>45657</v>
      </c>
      <c r="H28">
        <v>2024</v>
      </c>
      <c r="I28" t="s">
        <v>44</v>
      </c>
      <c r="J28" t="s">
        <v>53</v>
      </c>
      <c r="K28">
        <v>80</v>
      </c>
      <c r="L28">
        <v>87.4</v>
      </c>
      <c r="M28">
        <v>1.0925</v>
      </c>
      <c r="N28">
        <v>1.0925</v>
      </c>
      <c r="O28" t="s">
        <v>58</v>
      </c>
      <c r="P28" t="s">
        <v>58</v>
      </c>
      <c r="Q28" t="s">
        <v>136</v>
      </c>
      <c r="R28">
        <v>0</v>
      </c>
      <c r="S28">
        <v>1</v>
      </c>
      <c r="T28" t="s">
        <v>443</v>
      </c>
    </row>
    <row r="29" spans="1:20" hidden="1" x14ac:dyDescent="0.3">
      <c r="A29">
        <v>202</v>
      </c>
      <c r="B29" t="s">
        <v>137</v>
      </c>
      <c r="C29" t="s">
        <v>37</v>
      </c>
      <c r="D29" t="s">
        <v>130</v>
      </c>
      <c r="E29" t="s">
        <v>66</v>
      </c>
      <c r="F29" t="s">
        <v>32</v>
      </c>
      <c r="G29" s="2">
        <v>45291</v>
      </c>
      <c r="H29">
        <v>2023</v>
      </c>
      <c r="I29" t="s">
        <v>44</v>
      </c>
      <c r="J29" t="s">
        <v>49</v>
      </c>
      <c r="K29">
        <v>66</v>
      </c>
      <c r="L29">
        <v>64.7</v>
      </c>
      <c r="M29">
        <v>0.98030303030303034</v>
      </c>
      <c r="N29">
        <v>0.98030303030303034</v>
      </c>
      <c r="O29" t="s">
        <v>35</v>
      </c>
      <c r="P29" t="s">
        <v>245</v>
      </c>
      <c r="Q29" t="s">
        <v>138</v>
      </c>
      <c r="R29">
        <v>1</v>
      </c>
      <c r="S29">
        <v>1</v>
      </c>
      <c r="T29" t="s">
        <v>443</v>
      </c>
    </row>
    <row r="30" spans="1:20" hidden="1" x14ac:dyDescent="0.3">
      <c r="A30">
        <v>202</v>
      </c>
      <c r="B30" t="s">
        <v>137</v>
      </c>
      <c r="C30" t="s">
        <v>37</v>
      </c>
      <c r="D30" t="s">
        <v>130</v>
      </c>
      <c r="E30" t="s">
        <v>66</v>
      </c>
      <c r="F30" t="s">
        <v>32</v>
      </c>
      <c r="G30" s="2">
        <v>45657</v>
      </c>
      <c r="H30">
        <v>2024</v>
      </c>
      <c r="I30" t="s">
        <v>44</v>
      </c>
      <c r="J30" t="s">
        <v>53</v>
      </c>
      <c r="K30">
        <v>0</v>
      </c>
      <c r="L30">
        <v>0</v>
      </c>
      <c r="O30" t="s">
        <v>429</v>
      </c>
      <c r="P30" t="s">
        <v>429</v>
      </c>
      <c r="Q30" t="s">
        <v>140</v>
      </c>
      <c r="R30">
        <v>1</v>
      </c>
      <c r="S30">
        <v>1</v>
      </c>
      <c r="T30" t="s">
        <v>443</v>
      </c>
    </row>
    <row r="31" spans="1:20" hidden="1" x14ac:dyDescent="0.3">
      <c r="A31">
        <v>203</v>
      </c>
      <c r="B31" t="s">
        <v>141</v>
      </c>
      <c r="C31" t="s">
        <v>37</v>
      </c>
      <c r="D31" t="s">
        <v>142</v>
      </c>
      <c r="E31" t="s">
        <v>31</v>
      </c>
      <c r="F31" t="s">
        <v>32</v>
      </c>
      <c r="G31" s="2">
        <v>44926</v>
      </c>
      <c r="H31">
        <v>2022</v>
      </c>
      <c r="I31" t="s">
        <v>44</v>
      </c>
      <c r="J31" t="s">
        <v>45</v>
      </c>
      <c r="K31">
        <v>224440</v>
      </c>
      <c r="L31">
        <v>241706</v>
      </c>
      <c r="M31">
        <v>1.0769292461236859</v>
      </c>
      <c r="N31">
        <v>1.0769292461236859</v>
      </c>
      <c r="O31" t="s">
        <v>143</v>
      </c>
      <c r="P31" t="s">
        <v>143</v>
      </c>
      <c r="Q31" t="s">
        <v>149</v>
      </c>
      <c r="R31">
        <v>0</v>
      </c>
      <c r="S31">
        <v>0</v>
      </c>
      <c r="T31" t="s">
        <v>443</v>
      </c>
    </row>
    <row r="32" spans="1:20" hidden="1" x14ac:dyDescent="0.3">
      <c r="A32">
        <v>203</v>
      </c>
      <c r="B32" t="s">
        <v>141</v>
      </c>
      <c r="C32" t="s">
        <v>37</v>
      </c>
      <c r="D32" t="s">
        <v>142</v>
      </c>
      <c r="E32" t="s">
        <v>31</v>
      </c>
      <c r="F32" t="s">
        <v>32</v>
      </c>
      <c r="G32" s="2">
        <v>45291</v>
      </c>
      <c r="H32">
        <v>2023</v>
      </c>
      <c r="I32" t="s">
        <v>44</v>
      </c>
      <c r="J32" t="s">
        <v>49</v>
      </c>
      <c r="K32">
        <v>264844.43927600002</v>
      </c>
      <c r="L32">
        <v>273867.05092800001</v>
      </c>
      <c r="M32">
        <v>1.0340675895505489</v>
      </c>
      <c r="N32">
        <v>1.0340675895505489</v>
      </c>
      <c r="O32" t="s">
        <v>143</v>
      </c>
      <c r="P32" t="s">
        <v>143</v>
      </c>
      <c r="Q32" t="s">
        <v>151</v>
      </c>
      <c r="R32">
        <v>0</v>
      </c>
      <c r="S32">
        <v>0</v>
      </c>
      <c r="T32" t="s">
        <v>443</v>
      </c>
    </row>
    <row r="33" spans="1:20" hidden="1" x14ac:dyDescent="0.3">
      <c r="A33">
        <v>203</v>
      </c>
      <c r="B33" t="s">
        <v>141</v>
      </c>
      <c r="C33" t="s">
        <v>37</v>
      </c>
      <c r="D33" t="s">
        <v>142</v>
      </c>
      <c r="E33" t="s">
        <v>31</v>
      </c>
      <c r="F33" t="s">
        <v>32</v>
      </c>
      <c r="G33" s="2">
        <v>45657</v>
      </c>
      <c r="H33">
        <v>2024</v>
      </c>
      <c r="I33" t="s">
        <v>44</v>
      </c>
      <c r="J33" t="s">
        <v>53</v>
      </c>
      <c r="K33">
        <v>289638.45267000003</v>
      </c>
      <c r="L33">
        <v>297867.12192900002</v>
      </c>
      <c r="M33">
        <v>1.028410140929648</v>
      </c>
      <c r="N33">
        <v>1.028410140929648</v>
      </c>
      <c r="O33" t="s">
        <v>143</v>
      </c>
      <c r="P33" t="s">
        <v>143</v>
      </c>
      <c r="Q33" t="s">
        <v>153</v>
      </c>
      <c r="R33">
        <v>0</v>
      </c>
      <c r="S33">
        <v>0</v>
      </c>
      <c r="T33" t="s">
        <v>443</v>
      </c>
    </row>
    <row r="34" spans="1:20" hidden="1" x14ac:dyDescent="0.3">
      <c r="A34">
        <v>204</v>
      </c>
      <c r="B34" t="s">
        <v>154</v>
      </c>
      <c r="C34" t="s">
        <v>37</v>
      </c>
      <c r="D34" t="s">
        <v>142</v>
      </c>
      <c r="E34" t="s">
        <v>31</v>
      </c>
      <c r="F34" t="s">
        <v>32</v>
      </c>
      <c r="G34" s="2">
        <v>44925</v>
      </c>
      <c r="H34">
        <v>2022</v>
      </c>
      <c r="I34" t="s">
        <v>44</v>
      </c>
      <c r="J34" t="s">
        <v>45</v>
      </c>
      <c r="O34" t="s">
        <v>143</v>
      </c>
      <c r="P34" t="s">
        <v>143</v>
      </c>
      <c r="Q34" t="s">
        <v>156</v>
      </c>
      <c r="R34">
        <v>0</v>
      </c>
      <c r="S34">
        <v>0</v>
      </c>
      <c r="T34" t="s">
        <v>443</v>
      </c>
    </row>
    <row r="35" spans="1:20" hidden="1" x14ac:dyDescent="0.3">
      <c r="A35">
        <v>204</v>
      </c>
      <c r="B35" t="s">
        <v>154</v>
      </c>
      <c r="C35" t="s">
        <v>37</v>
      </c>
      <c r="D35" t="s">
        <v>142</v>
      </c>
      <c r="E35" t="s">
        <v>31</v>
      </c>
      <c r="F35" t="s">
        <v>32</v>
      </c>
      <c r="G35" s="2">
        <v>45291</v>
      </c>
      <c r="H35">
        <v>2023</v>
      </c>
      <c r="I35" t="s">
        <v>44</v>
      </c>
      <c r="J35" t="s">
        <v>49</v>
      </c>
      <c r="K35">
        <v>86846.60702431656</v>
      </c>
      <c r="L35">
        <v>141016.76289899999</v>
      </c>
      <c r="M35">
        <v>1.3</v>
      </c>
      <c r="N35">
        <v>1.6237452185036549</v>
      </c>
      <c r="O35" t="s">
        <v>143</v>
      </c>
      <c r="P35" t="s">
        <v>143</v>
      </c>
      <c r="Q35" t="s">
        <v>158</v>
      </c>
      <c r="R35">
        <v>0</v>
      </c>
      <c r="S35">
        <v>0</v>
      </c>
      <c r="T35" t="s">
        <v>443</v>
      </c>
    </row>
    <row r="36" spans="1:20" hidden="1" x14ac:dyDescent="0.3">
      <c r="A36">
        <v>204</v>
      </c>
      <c r="B36" t="s">
        <v>154</v>
      </c>
      <c r="C36" t="s">
        <v>37</v>
      </c>
      <c r="D36" t="s">
        <v>142</v>
      </c>
      <c r="E36" t="s">
        <v>31</v>
      </c>
      <c r="F36" t="s">
        <v>32</v>
      </c>
      <c r="G36" s="2">
        <v>45657</v>
      </c>
      <c r="H36">
        <v>2024</v>
      </c>
      <c r="I36" t="s">
        <v>44</v>
      </c>
      <c r="J36" t="s">
        <v>53</v>
      </c>
      <c r="K36">
        <v>122440.821151</v>
      </c>
      <c r="L36">
        <v>176962.74882400001</v>
      </c>
      <c r="M36">
        <v>1.3</v>
      </c>
      <c r="N36">
        <v>1.4452920779235949</v>
      </c>
      <c r="O36" t="s">
        <v>143</v>
      </c>
      <c r="P36" t="s">
        <v>143</v>
      </c>
      <c r="Q36" t="s">
        <v>160</v>
      </c>
      <c r="R36">
        <v>0</v>
      </c>
      <c r="S36">
        <v>0</v>
      </c>
      <c r="T36" t="s">
        <v>443</v>
      </c>
    </row>
    <row r="37" spans="1:20" hidden="1" x14ac:dyDescent="0.3">
      <c r="A37">
        <v>205</v>
      </c>
      <c r="B37" t="s">
        <v>161</v>
      </c>
      <c r="C37" t="s">
        <v>37</v>
      </c>
      <c r="D37" t="s">
        <v>142</v>
      </c>
      <c r="E37" t="s">
        <v>31</v>
      </c>
      <c r="F37" t="s">
        <v>32</v>
      </c>
      <c r="G37" s="2">
        <v>45291</v>
      </c>
      <c r="H37">
        <v>2023</v>
      </c>
      <c r="I37" t="s">
        <v>44</v>
      </c>
      <c r="J37" t="s">
        <v>49</v>
      </c>
      <c r="K37">
        <v>2041.7866710000001</v>
      </c>
      <c r="L37">
        <v>8708.3762700000007</v>
      </c>
      <c r="M37">
        <v>1.3</v>
      </c>
      <c r="N37">
        <v>4.2650764615555667</v>
      </c>
      <c r="O37" t="s">
        <v>143</v>
      </c>
      <c r="P37" t="s">
        <v>143</v>
      </c>
      <c r="Q37" t="s">
        <v>163</v>
      </c>
      <c r="R37">
        <v>0</v>
      </c>
      <c r="S37">
        <v>0</v>
      </c>
      <c r="T37" t="s">
        <v>443</v>
      </c>
    </row>
    <row r="38" spans="1:20" hidden="1" x14ac:dyDescent="0.3">
      <c r="A38">
        <v>205</v>
      </c>
      <c r="B38" t="s">
        <v>161</v>
      </c>
      <c r="C38" t="s">
        <v>37</v>
      </c>
      <c r="D38" t="s">
        <v>142</v>
      </c>
      <c r="E38" t="s">
        <v>31</v>
      </c>
      <c r="F38" t="s">
        <v>32</v>
      </c>
      <c r="G38" s="2">
        <v>45657</v>
      </c>
      <c r="H38">
        <v>2024</v>
      </c>
      <c r="I38" t="s">
        <v>44</v>
      </c>
      <c r="J38" t="s">
        <v>53</v>
      </c>
      <c r="K38">
        <v>2783.219654</v>
      </c>
      <c r="L38">
        <v>5141.1028649999998</v>
      </c>
      <c r="M38">
        <v>1.3</v>
      </c>
      <c r="N38">
        <v>1.847178269818297</v>
      </c>
      <c r="O38" t="s">
        <v>143</v>
      </c>
      <c r="P38" t="s">
        <v>143</v>
      </c>
      <c r="Q38" t="s">
        <v>165</v>
      </c>
      <c r="R38">
        <v>0</v>
      </c>
      <c r="S38">
        <v>0</v>
      </c>
      <c r="T38" t="s">
        <v>443</v>
      </c>
    </row>
    <row r="39" spans="1:20" hidden="1" x14ac:dyDescent="0.3">
      <c r="A39">
        <v>206</v>
      </c>
      <c r="B39" t="s">
        <v>475</v>
      </c>
      <c r="C39" t="s">
        <v>37</v>
      </c>
      <c r="D39" t="s">
        <v>142</v>
      </c>
      <c r="E39" t="s">
        <v>31</v>
      </c>
      <c r="F39" t="s">
        <v>32</v>
      </c>
      <c r="G39" s="2">
        <v>45291</v>
      </c>
      <c r="H39">
        <v>2023</v>
      </c>
      <c r="I39" t="s">
        <v>44</v>
      </c>
      <c r="J39" t="s">
        <v>49</v>
      </c>
      <c r="K39">
        <v>1</v>
      </c>
      <c r="L39">
        <v>2.69</v>
      </c>
      <c r="M39">
        <v>1.3</v>
      </c>
      <c r="N39">
        <v>2.69</v>
      </c>
      <c r="O39" t="s">
        <v>58</v>
      </c>
      <c r="P39" t="s">
        <v>58</v>
      </c>
      <c r="Q39" t="s">
        <v>168</v>
      </c>
      <c r="R39">
        <v>0</v>
      </c>
      <c r="S39">
        <v>2</v>
      </c>
      <c r="T39" t="s">
        <v>443</v>
      </c>
    </row>
    <row r="40" spans="1:20" hidden="1" x14ac:dyDescent="0.3">
      <c r="A40">
        <v>206</v>
      </c>
      <c r="B40" t="s">
        <v>475</v>
      </c>
      <c r="C40" t="s">
        <v>37</v>
      </c>
      <c r="D40" t="s">
        <v>142</v>
      </c>
      <c r="E40" t="s">
        <v>31</v>
      </c>
      <c r="F40" t="s">
        <v>32</v>
      </c>
      <c r="G40" s="2">
        <v>45657</v>
      </c>
      <c r="H40">
        <v>2024</v>
      </c>
      <c r="I40" t="s">
        <v>44</v>
      </c>
      <c r="J40" t="s">
        <v>53</v>
      </c>
      <c r="K40">
        <v>1</v>
      </c>
      <c r="L40">
        <v>1.37</v>
      </c>
      <c r="M40">
        <v>1.3</v>
      </c>
      <c r="N40">
        <v>1.37</v>
      </c>
      <c r="O40" t="s">
        <v>58</v>
      </c>
      <c r="P40" t="s">
        <v>58</v>
      </c>
      <c r="Q40" t="s">
        <v>169</v>
      </c>
      <c r="R40">
        <v>0</v>
      </c>
      <c r="S40">
        <v>2</v>
      </c>
      <c r="T40" t="s">
        <v>443</v>
      </c>
    </row>
    <row r="41" spans="1:20" hidden="1" x14ac:dyDescent="0.3">
      <c r="A41">
        <v>207</v>
      </c>
      <c r="B41" t="s">
        <v>170</v>
      </c>
      <c r="C41" t="s">
        <v>37</v>
      </c>
      <c r="D41" t="s">
        <v>142</v>
      </c>
      <c r="E41" t="s">
        <v>31</v>
      </c>
      <c r="F41" t="s">
        <v>171</v>
      </c>
      <c r="G41" s="2">
        <v>45291</v>
      </c>
      <c r="H41">
        <v>2023</v>
      </c>
      <c r="I41" t="s">
        <v>44</v>
      </c>
      <c r="J41" t="s">
        <v>49</v>
      </c>
      <c r="K41">
        <v>238770.96657245801</v>
      </c>
      <c r="L41">
        <v>247359.73307500011</v>
      </c>
      <c r="M41">
        <v>0.96527823507984656</v>
      </c>
      <c r="N41">
        <v>0.96527823507984656</v>
      </c>
      <c r="O41" t="s">
        <v>143</v>
      </c>
      <c r="P41" t="s">
        <v>143</v>
      </c>
      <c r="Q41" t="s">
        <v>173</v>
      </c>
      <c r="R41">
        <v>0</v>
      </c>
      <c r="S41">
        <v>0</v>
      </c>
      <c r="T41" t="s">
        <v>443</v>
      </c>
    </row>
    <row r="42" spans="1:20" hidden="1" x14ac:dyDescent="0.3">
      <c r="A42">
        <v>207</v>
      </c>
      <c r="B42" t="s">
        <v>170</v>
      </c>
      <c r="C42" t="s">
        <v>37</v>
      </c>
      <c r="D42" t="s">
        <v>142</v>
      </c>
      <c r="E42" t="s">
        <v>31</v>
      </c>
      <c r="F42" t="s">
        <v>171</v>
      </c>
      <c r="G42" s="2">
        <v>45657</v>
      </c>
      <c r="H42">
        <v>2024</v>
      </c>
      <c r="I42" t="s">
        <v>44</v>
      </c>
      <c r="J42" t="s">
        <v>53</v>
      </c>
      <c r="K42">
        <v>262628.34438999998</v>
      </c>
      <c r="L42">
        <v>268399.19981700002</v>
      </c>
      <c r="M42">
        <v>1.0219734676407599</v>
      </c>
      <c r="N42">
        <v>1.0219734676407599</v>
      </c>
      <c r="O42" t="s">
        <v>143</v>
      </c>
      <c r="P42" t="s">
        <v>143</v>
      </c>
      <c r="Q42" t="s">
        <v>175</v>
      </c>
      <c r="R42">
        <v>0</v>
      </c>
      <c r="S42">
        <v>0</v>
      </c>
      <c r="T42" t="s">
        <v>443</v>
      </c>
    </row>
    <row r="43" spans="1:20" hidden="1" x14ac:dyDescent="0.3">
      <c r="A43">
        <v>228</v>
      </c>
      <c r="B43" t="s">
        <v>176</v>
      </c>
      <c r="C43" t="s">
        <v>474</v>
      </c>
      <c r="D43" t="s">
        <v>177</v>
      </c>
      <c r="E43" t="s">
        <v>66</v>
      </c>
      <c r="F43" t="s">
        <v>32</v>
      </c>
      <c r="G43" s="2">
        <v>44926</v>
      </c>
      <c r="H43">
        <v>2022</v>
      </c>
      <c r="I43" t="s">
        <v>44</v>
      </c>
      <c r="J43" t="s">
        <v>45</v>
      </c>
      <c r="K43">
        <v>170.99</v>
      </c>
      <c r="L43">
        <v>235</v>
      </c>
      <c r="M43">
        <v>1</v>
      </c>
      <c r="N43">
        <v>1.3743493771565589</v>
      </c>
      <c r="O43" t="s">
        <v>445</v>
      </c>
      <c r="P43" t="s">
        <v>445</v>
      </c>
      <c r="Q43" t="s">
        <v>178</v>
      </c>
      <c r="R43">
        <v>1</v>
      </c>
      <c r="S43">
        <v>0</v>
      </c>
      <c r="T43" t="s">
        <v>443</v>
      </c>
    </row>
    <row r="44" spans="1:20" hidden="1" x14ac:dyDescent="0.3">
      <c r="A44">
        <v>228</v>
      </c>
      <c r="B44" t="s">
        <v>176</v>
      </c>
      <c r="C44" t="s">
        <v>37</v>
      </c>
      <c r="D44" t="s">
        <v>177</v>
      </c>
      <c r="E44" t="s">
        <v>66</v>
      </c>
      <c r="F44" t="s">
        <v>32</v>
      </c>
      <c r="G44" s="2">
        <v>45657</v>
      </c>
      <c r="H44">
        <v>2024</v>
      </c>
      <c r="I44" t="s">
        <v>44</v>
      </c>
      <c r="J44" t="s">
        <v>53</v>
      </c>
      <c r="K44">
        <v>476.48</v>
      </c>
      <c r="L44">
        <v>477</v>
      </c>
      <c r="M44">
        <v>1</v>
      </c>
      <c r="N44">
        <v>1.0010913364674281</v>
      </c>
      <c r="O44" t="s">
        <v>445</v>
      </c>
      <c r="P44" t="s">
        <v>445</v>
      </c>
      <c r="Q44" t="s">
        <v>181</v>
      </c>
      <c r="R44">
        <v>1</v>
      </c>
      <c r="S44">
        <v>0</v>
      </c>
      <c r="T44" t="s">
        <v>443</v>
      </c>
    </row>
    <row r="45" spans="1:20" hidden="1" x14ac:dyDescent="0.3">
      <c r="A45">
        <v>244</v>
      </c>
      <c r="B45" t="s">
        <v>182</v>
      </c>
      <c r="C45" t="s">
        <v>37</v>
      </c>
      <c r="D45" t="s">
        <v>177</v>
      </c>
      <c r="E45" t="s">
        <v>66</v>
      </c>
      <c r="F45" t="s">
        <v>171</v>
      </c>
      <c r="G45" s="2">
        <v>44926</v>
      </c>
      <c r="H45">
        <v>2022</v>
      </c>
      <c r="I45" t="s">
        <v>44</v>
      </c>
      <c r="J45" t="s">
        <v>45</v>
      </c>
      <c r="K45">
        <v>27</v>
      </c>
      <c r="L45">
        <v>27</v>
      </c>
      <c r="M45">
        <v>1</v>
      </c>
      <c r="N45">
        <v>1</v>
      </c>
      <c r="O45" t="s">
        <v>35</v>
      </c>
      <c r="P45" t="s">
        <v>35</v>
      </c>
      <c r="Q45" t="s">
        <v>446</v>
      </c>
      <c r="R45">
        <v>0</v>
      </c>
      <c r="S45">
        <v>0</v>
      </c>
      <c r="T45" t="s">
        <v>443</v>
      </c>
    </row>
    <row r="46" spans="1:20" hidden="1" x14ac:dyDescent="0.3">
      <c r="A46">
        <v>244</v>
      </c>
      <c r="B46" t="s">
        <v>182</v>
      </c>
      <c r="C46" t="s">
        <v>37</v>
      </c>
      <c r="D46" t="s">
        <v>177</v>
      </c>
      <c r="E46" t="s">
        <v>66</v>
      </c>
      <c r="F46" t="s">
        <v>171</v>
      </c>
      <c r="G46" s="2">
        <v>45291</v>
      </c>
      <c r="H46">
        <v>2023</v>
      </c>
      <c r="I46" t="s">
        <v>44</v>
      </c>
      <c r="J46" t="s">
        <v>49</v>
      </c>
      <c r="K46">
        <v>25</v>
      </c>
      <c r="L46">
        <v>24</v>
      </c>
      <c r="M46">
        <v>1.041666666666667</v>
      </c>
      <c r="N46">
        <v>1.041666666666667</v>
      </c>
      <c r="O46" t="s">
        <v>35</v>
      </c>
      <c r="P46" t="s">
        <v>35</v>
      </c>
      <c r="Q46" t="s">
        <v>183</v>
      </c>
      <c r="R46">
        <v>0</v>
      </c>
      <c r="S46">
        <v>0</v>
      </c>
      <c r="T46" t="s">
        <v>443</v>
      </c>
    </row>
    <row r="47" spans="1:20" hidden="1" x14ac:dyDescent="0.3">
      <c r="A47">
        <v>244</v>
      </c>
      <c r="B47" t="s">
        <v>182</v>
      </c>
      <c r="C47" t="s">
        <v>37</v>
      </c>
      <c r="D47" t="s">
        <v>177</v>
      </c>
      <c r="E47" t="s">
        <v>66</v>
      </c>
      <c r="F47" t="s">
        <v>171</v>
      </c>
      <c r="G47" s="2">
        <v>45657</v>
      </c>
      <c r="H47">
        <v>2024</v>
      </c>
      <c r="I47" t="s">
        <v>44</v>
      </c>
      <c r="J47" t="s">
        <v>53</v>
      </c>
      <c r="K47">
        <v>25</v>
      </c>
      <c r="L47">
        <v>25</v>
      </c>
      <c r="M47">
        <v>1</v>
      </c>
      <c r="N47">
        <v>1</v>
      </c>
      <c r="O47" t="s">
        <v>35</v>
      </c>
      <c r="P47" t="s">
        <v>35</v>
      </c>
      <c r="Q47" t="s">
        <v>184</v>
      </c>
      <c r="R47">
        <v>0</v>
      </c>
      <c r="S47">
        <v>0</v>
      </c>
      <c r="T47" t="s">
        <v>443</v>
      </c>
    </row>
    <row r="48" spans="1:20" hidden="1" x14ac:dyDescent="0.3">
      <c r="A48">
        <v>245</v>
      </c>
      <c r="B48" t="s">
        <v>185</v>
      </c>
      <c r="C48" t="s">
        <v>37</v>
      </c>
      <c r="D48" t="s">
        <v>186</v>
      </c>
      <c r="E48" t="s">
        <v>31</v>
      </c>
      <c r="F48" t="s">
        <v>32</v>
      </c>
      <c r="G48" s="2">
        <v>44926</v>
      </c>
      <c r="H48">
        <v>2022</v>
      </c>
      <c r="I48" t="s">
        <v>44</v>
      </c>
      <c r="J48" t="s">
        <v>45</v>
      </c>
      <c r="K48">
        <v>88.5</v>
      </c>
      <c r="L48">
        <v>85.9</v>
      </c>
      <c r="M48">
        <v>0.97062146892655377</v>
      </c>
      <c r="N48">
        <v>0.97062146892655377</v>
      </c>
      <c r="O48" t="s">
        <v>58</v>
      </c>
      <c r="P48" t="s">
        <v>58</v>
      </c>
      <c r="Q48" t="s">
        <v>188</v>
      </c>
      <c r="R48">
        <v>1</v>
      </c>
      <c r="S48">
        <v>0</v>
      </c>
      <c r="T48" t="s">
        <v>443</v>
      </c>
    </row>
    <row r="49" spans="1:20" hidden="1" x14ac:dyDescent="0.3">
      <c r="A49">
        <v>245</v>
      </c>
      <c r="B49" t="s">
        <v>185</v>
      </c>
      <c r="C49" t="s">
        <v>37</v>
      </c>
      <c r="D49" t="s">
        <v>186</v>
      </c>
      <c r="E49" t="s">
        <v>31</v>
      </c>
      <c r="F49" t="s">
        <v>32</v>
      </c>
      <c r="G49" s="2">
        <v>45291</v>
      </c>
      <c r="H49">
        <v>2023</v>
      </c>
      <c r="I49" t="s">
        <v>44</v>
      </c>
      <c r="J49" t="s">
        <v>49</v>
      </c>
      <c r="K49">
        <v>87</v>
      </c>
      <c r="L49">
        <v>85.38</v>
      </c>
      <c r="M49">
        <v>0.9813793103448275</v>
      </c>
      <c r="N49">
        <v>0.9813793103448275</v>
      </c>
      <c r="O49" t="s">
        <v>58</v>
      </c>
      <c r="P49" t="s">
        <v>58</v>
      </c>
      <c r="Q49" t="s">
        <v>190</v>
      </c>
      <c r="R49">
        <v>0</v>
      </c>
      <c r="S49">
        <v>1</v>
      </c>
      <c r="T49" t="s">
        <v>443</v>
      </c>
    </row>
    <row r="50" spans="1:20" hidden="1" x14ac:dyDescent="0.3">
      <c r="A50">
        <v>245</v>
      </c>
      <c r="B50" t="s">
        <v>185</v>
      </c>
      <c r="C50" t="s">
        <v>37</v>
      </c>
      <c r="D50" t="s">
        <v>186</v>
      </c>
      <c r="E50" t="s">
        <v>31</v>
      </c>
      <c r="F50" t="s">
        <v>32</v>
      </c>
      <c r="G50" s="2">
        <v>45657</v>
      </c>
      <c r="H50">
        <v>2024</v>
      </c>
      <c r="I50" t="s">
        <v>44</v>
      </c>
      <c r="J50" t="s">
        <v>53</v>
      </c>
      <c r="K50">
        <v>85</v>
      </c>
      <c r="L50">
        <v>85.19</v>
      </c>
      <c r="M50">
        <v>1.0022352941176469</v>
      </c>
      <c r="N50">
        <v>1.0022352941176469</v>
      </c>
      <c r="O50" t="s">
        <v>58</v>
      </c>
      <c r="P50" t="s">
        <v>58</v>
      </c>
      <c r="Q50" t="s">
        <v>192</v>
      </c>
      <c r="R50">
        <v>0</v>
      </c>
      <c r="S50">
        <v>1</v>
      </c>
      <c r="T50" t="s">
        <v>443</v>
      </c>
    </row>
    <row r="51" spans="1:20" hidden="1" x14ac:dyDescent="0.3">
      <c r="A51">
        <v>476</v>
      </c>
      <c r="B51" t="s">
        <v>348</v>
      </c>
      <c r="C51" t="s">
        <v>37</v>
      </c>
      <c r="D51" t="s">
        <v>349</v>
      </c>
      <c r="E51" t="s">
        <v>31</v>
      </c>
      <c r="F51" t="s">
        <v>32</v>
      </c>
      <c r="G51" s="2">
        <v>45291</v>
      </c>
      <c r="H51">
        <v>2023</v>
      </c>
      <c r="I51" t="s">
        <v>44</v>
      </c>
      <c r="J51" t="s">
        <v>49</v>
      </c>
      <c r="K51">
        <v>98</v>
      </c>
      <c r="L51">
        <v>98</v>
      </c>
      <c r="M51">
        <v>1</v>
      </c>
      <c r="N51">
        <v>1</v>
      </c>
      <c r="O51" t="s">
        <v>35</v>
      </c>
      <c r="P51" t="s">
        <v>35</v>
      </c>
      <c r="Q51" t="s">
        <v>447</v>
      </c>
      <c r="R51">
        <v>0</v>
      </c>
      <c r="S51">
        <v>0</v>
      </c>
      <c r="T51" t="s">
        <v>443</v>
      </c>
    </row>
    <row r="52" spans="1:20" hidden="1" x14ac:dyDescent="0.3">
      <c r="A52">
        <v>274</v>
      </c>
      <c r="B52" t="s">
        <v>193</v>
      </c>
      <c r="C52" t="s">
        <v>37</v>
      </c>
      <c r="D52" t="s">
        <v>194</v>
      </c>
      <c r="E52" t="s">
        <v>31</v>
      </c>
      <c r="F52" t="s">
        <v>32</v>
      </c>
      <c r="G52" s="2">
        <v>44926</v>
      </c>
      <c r="H52">
        <v>2022</v>
      </c>
      <c r="I52" t="s">
        <v>44</v>
      </c>
      <c r="J52" t="s">
        <v>45</v>
      </c>
      <c r="K52">
        <v>39817</v>
      </c>
      <c r="L52">
        <v>40663</v>
      </c>
      <c r="M52">
        <v>1.0212472059672999</v>
      </c>
      <c r="N52">
        <v>1.0212472059672999</v>
      </c>
      <c r="O52" t="s">
        <v>35</v>
      </c>
      <c r="P52" t="s">
        <v>35</v>
      </c>
      <c r="Q52" t="s">
        <v>196</v>
      </c>
      <c r="R52">
        <v>0</v>
      </c>
      <c r="S52">
        <v>0</v>
      </c>
      <c r="T52" t="s">
        <v>443</v>
      </c>
    </row>
    <row r="53" spans="1:20" hidden="1" x14ac:dyDescent="0.3">
      <c r="A53">
        <v>274</v>
      </c>
      <c r="B53" t="s">
        <v>193</v>
      </c>
      <c r="C53" t="s">
        <v>37</v>
      </c>
      <c r="D53" t="s">
        <v>194</v>
      </c>
      <c r="E53" t="s">
        <v>31</v>
      </c>
      <c r="F53" t="s">
        <v>32</v>
      </c>
      <c r="G53" s="2">
        <v>45291</v>
      </c>
      <c r="H53">
        <v>2023</v>
      </c>
      <c r="I53" t="s">
        <v>44</v>
      </c>
      <c r="J53" t="s">
        <v>49</v>
      </c>
      <c r="K53">
        <v>41811</v>
      </c>
      <c r="L53">
        <v>40771</v>
      </c>
      <c r="M53">
        <v>0.97512616297146681</v>
      </c>
      <c r="N53">
        <v>0.97512616297146681</v>
      </c>
      <c r="O53" t="s">
        <v>35</v>
      </c>
      <c r="P53" t="s">
        <v>35</v>
      </c>
      <c r="Q53" t="s">
        <v>198</v>
      </c>
      <c r="R53">
        <v>0</v>
      </c>
      <c r="S53">
        <v>0</v>
      </c>
      <c r="T53" t="s">
        <v>443</v>
      </c>
    </row>
    <row r="54" spans="1:20" hidden="1" x14ac:dyDescent="0.3">
      <c r="A54">
        <v>274</v>
      </c>
      <c r="B54" t="s">
        <v>193</v>
      </c>
      <c r="C54" t="s">
        <v>37</v>
      </c>
      <c r="D54" t="s">
        <v>194</v>
      </c>
      <c r="E54" t="s">
        <v>31</v>
      </c>
      <c r="F54" t="s">
        <v>32</v>
      </c>
      <c r="G54" s="2">
        <v>45657</v>
      </c>
      <c r="H54">
        <v>2024</v>
      </c>
      <c r="I54" t="s">
        <v>44</v>
      </c>
      <c r="J54" t="s">
        <v>53</v>
      </c>
      <c r="K54">
        <v>40441.334115206948</v>
      </c>
      <c r="L54">
        <v>41436</v>
      </c>
      <c r="M54">
        <v>1.024595278730408</v>
      </c>
      <c r="N54">
        <v>1.024595278730408</v>
      </c>
      <c r="O54" t="s">
        <v>35</v>
      </c>
      <c r="P54" t="s">
        <v>35</v>
      </c>
      <c r="Q54" t="s">
        <v>200</v>
      </c>
      <c r="R54">
        <v>0</v>
      </c>
      <c r="S54">
        <v>0</v>
      </c>
      <c r="T54" t="s">
        <v>443</v>
      </c>
    </row>
    <row r="55" spans="1:20" hidden="1" x14ac:dyDescent="0.3">
      <c r="A55">
        <v>276</v>
      </c>
      <c r="B55" t="s">
        <v>201</v>
      </c>
      <c r="C55" t="s">
        <v>37</v>
      </c>
      <c r="D55" t="s">
        <v>202</v>
      </c>
      <c r="E55" t="s">
        <v>31</v>
      </c>
      <c r="F55" t="s">
        <v>171</v>
      </c>
      <c r="G55" s="2">
        <v>44926</v>
      </c>
      <c r="H55">
        <v>2022</v>
      </c>
      <c r="I55" t="s">
        <v>44</v>
      </c>
      <c r="J55" t="s">
        <v>45</v>
      </c>
      <c r="K55">
        <v>88</v>
      </c>
      <c r="L55">
        <v>88</v>
      </c>
      <c r="M55">
        <v>1</v>
      </c>
      <c r="N55">
        <v>1</v>
      </c>
      <c r="O55" t="s">
        <v>35</v>
      </c>
      <c r="P55" t="s">
        <v>35</v>
      </c>
      <c r="Q55" t="s">
        <v>205</v>
      </c>
      <c r="R55">
        <v>0</v>
      </c>
      <c r="S55">
        <v>0</v>
      </c>
      <c r="T55" t="s">
        <v>443</v>
      </c>
    </row>
    <row r="56" spans="1:20" hidden="1" x14ac:dyDescent="0.3">
      <c r="A56">
        <v>276</v>
      </c>
      <c r="B56" t="s">
        <v>201</v>
      </c>
      <c r="C56" t="s">
        <v>37</v>
      </c>
      <c r="D56" t="s">
        <v>202</v>
      </c>
      <c r="E56" t="s">
        <v>31</v>
      </c>
      <c r="F56" t="s">
        <v>171</v>
      </c>
      <c r="G56" s="2">
        <v>45291</v>
      </c>
      <c r="H56">
        <v>2023</v>
      </c>
      <c r="I56" t="s">
        <v>44</v>
      </c>
      <c r="J56" t="s">
        <v>49</v>
      </c>
      <c r="K56">
        <v>85</v>
      </c>
      <c r="L56">
        <v>84.5</v>
      </c>
      <c r="M56">
        <v>1</v>
      </c>
      <c r="N56">
        <v>1.0059171597633141</v>
      </c>
      <c r="O56" t="s">
        <v>35</v>
      </c>
      <c r="P56" t="s">
        <v>245</v>
      </c>
      <c r="Q56" t="s">
        <v>207</v>
      </c>
      <c r="R56">
        <v>0</v>
      </c>
      <c r="S56">
        <v>1</v>
      </c>
      <c r="T56" t="s">
        <v>443</v>
      </c>
    </row>
    <row r="57" spans="1:20" hidden="1" x14ac:dyDescent="0.3">
      <c r="A57">
        <v>276</v>
      </c>
      <c r="B57" t="s">
        <v>201</v>
      </c>
      <c r="C57" t="s">
        <v>37</v>
      </c>
      <c r="D57" t="s">
        <v>202</v>
      </c>
      <c r="E57" t="s">
        <v>31</v>
      </c>
      <c r="F57" t="s">
        <v>171</v>
      </c>
      <c r="G57" s="2">
        <v>45657</v>
      </c>
      <c r="H57">
        <v>2024</v>
      </c>
      <c r="I57" t="s">
        <v>44</v>
      </c>
      <c r="J57" t="s">
        <v>53</v>
      </c>
      <c r="K57">
        <v>75</v>
      </c>
      <c r="L57">
        <v>82.68</v>
      </c>
      <c r="M57">
        <v>0.90711175616835982</v>
      </c>
      <c r="N57">
        <v>0.90711175616835982</v>
      </c>
      <c r="O57" t="s">
        <v>35</v>
      </c>
      <c r="P57" t="s">
        <v>245</v>
      </c>
      <c r="Q57" t="s">
        <v>209</v>
      </c>
      <c r="R57">
        <v>0</v>
      </c>
      <c r="S57">
        <v>1</v>
      </c>
      <c r="T57" t="s">
        <v>443</v>
      </c>
    </row>
    <row r="58" spans="1:20" hidden="1" x14ac:dyDescent="0.3">
      <c r="A58">
        <v>277</v>
      </c>
      <c r="B58" t="s">
        <v>210</v>
      </c>
      <c r="C58" t="s">
        <v>37</v>
      </c>
      <c r="D58" t="s">
        <v>202</v>
      </c>
      <c r="E58" t="s">
        <v>31</v>
      </c>
      <c r="F58" t="s">
        <v>171</v>
      </c>
      <c r="G58" s="2">
        <v>45291</v>
      </c>
      <c r="H58">
        <v>2023</v>
      </c>
      <c r="I58" t="s">
        <v>44</v>
      </c>
      <c r="J58" t="s">
        <v>49</v>
      </c>
      <c r="K58">
        <v>85</v>
      </c>
      <c r="L58">
        <v>73.290000000000006</v>
      </c>
      <c r="M58">
        <v>1.1597762314094691</v>
      </c>
      <c r="N58">
        <v>1.1597762314094691</v>
      </c>
      <c r="O58" t="s">
        <v>35</v>
      </c>
      <c r="P58" t="s">
        <v>245</v>
      </c>
      <c r="Q58" t="s">
        <v>212</v>
      </c>
      <c r="R58">
        <v>1</v>
      </c>
      <c r="S58">
        <v>1</v>
      </c>
      <c r="T58" t="s">
        <v>443</v>
      </c>
    </row>
    <row r="59" spans="1:20" hidden="1" x14ac:dyDescent="0.3">
      <c r="A59">
        <v>277</v>
      </c>
      <c r="B59" t="s">
        <v>210</v>
      </c>
      <c r="C59" t="s">
        <v>37</v>
      </c>
      <c r="D59" t="s">
        <v>202</v>
      </c>
      <c r="E59" t="s">
        <v>31</v>
      </c>
      <c r="F59" t="s">
        <v>171</v>
      </c>
      <c r="G59" s="2">
        <v>45657</v>
      </c>
      <c r="H59">
        <v>2024</v>
      </c>
      <c r="I59" t="s">
        <v>44</v>
      </c>
      <c r="J59" t="s">
        <v>53</v>
      </c>
      <c r="K59">
        <v>73</v>
      </c>
      <c r="L59">
        <v>71.239999999999995</v>
      </c>
      <c r="M59">
        <v>0.97589041095890405</v>
      </c>
      <c r="N59">
        <v>0.97589041095890405</v>
      </c>
      <c r="O59" t="s">
        <v>35</v>
      </c>
      <c r="P59" t="s">
        <v>245</v>
      </c>
      <c r="Q59" t="s">
        <v>214</v>
      </c>
      <c r="R59">
        <v>1</v>
      </c>
      <c r="S59">
        <v>1</v>
      </c>
      <c r="T59" t="s">
        <v>443</v>
      </c>
    </row>
    <row r="60" spans="1:20" hidden="1" x14ac:dyDescent="0.3">
      <c r="A60">
        <v>323</v>
      </c>
      <c r="B60" t="s">
        <v>215</v>
      </c>
      <c r="C60" t="s">
        <v>37</v>
      </c>
      <c r="D60" t="s">
        <v>216</v>
      </c>
      <c r="E60" t="s">
        <v>31</v>
      </c>
      <c r="F60" t="s">
        <v>32</v>
      </c>
      <c r="G60" s="2">
        <v>44926</v>
      </c>
      <c r="H60">
        <v>2022</v>
      </c>
      <c r="I60" t="s">
        <v>44</v>
      </c>
      <c r="J60" t="s">
        <v>45</v>
      </c>
      <c r="K60">
        <v>3</v>
      </c>
      <c r="L60">
        <v>3</v>
      </c>
      <c r="M60">
        <v>1</v>
      </c>
      <c r="N60">
        <v>1</v>
      </c>
      <c r="O60" t="s">
        <v>35</v>
      </c>
      <c r="P60" t="s">
        <v>35</v>
      </c>
      <c r="Q60" t="s">
        <v>217</v>
      </c>
      <c r="R60">
        <v>0</v>
      </c>
      <c r="S60">
        <v>0</v>
      </c>
      <c r="T60" t="s">
        <v>443</v>
      </c>
    </row>
    <row r="61" spans="1:20" hidden="1" x14ac:dyDescent="0.3">
      <c r="A61">
        <v>323</v>
      </c>
      <c r="B61" t="s">
        <v>215</v>
      </c>
      <c r="C61" t="s">
        <v>37</v>
      </c>
      <c r="D61" t="s">
        <v>216</v>
      </c>
      <c r="E61" t="s">
        <v>31</v>
      </c>
      <c r="F61" t="s">
        <v>32</v>
      </c>
      <c r="G61" s="2">
        <v>45291</v>
      </c>
      <c r="H61">
        <v>2023</v>
      </c>
      <c r="I61" t="s">
        <v>44</v>
      </c>
      <c r="J61" t="s">
        <v>49</v>
      </c>
      <c r="K61">
        <v>8</v>
      </c>
      <c r="L61">
        <v>8</v>
      </c>
      <c r="M61">
        <v>1</v>
      </c>
      <c r="N61">
        <v>1</v>
      </c>
      <c r="O61" t="s">
        <v>35</v>
      </c>
      <c r="P61" t="s">
        <v>35</v>
      </c>
      <c r="Q61" t="s">
        <v>221</v>
      </c>
      <c r="R61">
        <v>0</v>
      </c>
      <c r="S61">
        <v>0</v>
      </c>
      <c r="T61" t="s">
        <v>443</v>
      </c>
    </row>
    <row r="62" spans="1:20" hidden="1" x14ac:dyDescent="0.3">
      <c r="A62">
        <v>323</v>
      </c>
      <c r="B62" t="s">
        <v>215</v>
      </c>
      <c r="C62" t="s">
        <v>37</v>
      </c>
      <c r="D62" t="s">
        <v>216</v>
      </c>
      <c r="E62" t="s">
        <v>31</v>
      </c>
      <c r="F62" t="s">
        <v>32</v>
      </c>
      <c r="G62" s="2">
        <v>45657</v>
      </c>
      <c r="H62">
        <v>2024</v>
      </c>
      <c r="I62" t="s">
        <v>44</v>
      </c>
      <c r="J62" t="s">
        <v>53</v>
      </c>
      <c r="K62">
        <v>3</v>
      </c>
      <c r="L62">
        <v>3</v>
      </c>
      <c r="M62">
        <v>1</v>
      </c>
      <c r="N62">
        <v>1</v>
      </c>
      <c r="O62" t="s">
        <v>35</v>
      </c>
      <c r="P62" t="s">
        <v>35</v>
      </c>
      <c r="Q62" t="s">
        <v>223</v>
      </c>
      <c r="R62">
        <v>0</v>
      </c>
      <c r="S62">
        <v>0</v>
      </c>
      <c r="T62" t="s">
        <v>443</v>
      </c>
    </row>
    <row r="63" spans="1:20" hidden="1" x14ac:dyDescent="0.3">
      <c r="A63">
        <v>325</v>
      </c>
      <c r="B63" t="s">
        <v>224</v>
      </c>
      <c r="C63" t="s">
        <v>37</v>
      </c>
      <c r="D63" t="s">
        <v>216</v>
      </c>
      <c r="E63" t="s">
        <v>31</v>
      </c>
      <c r="F63" t="s">
        <v>32</v>
      </c>
      <c r="G63" s="2">
        <v>44926</v>
      </c>
      <c r="H63">
        <v>2022</v>
      </c>
      <c r="I63" t="s">
        <v>44</v>
      </c>
      <c r="J63" t="s">
        <v>45</v>
      </c>
      <c r="K63">
        <v>6</v>
      </c>
      <c r="L63">
        <v>6</v>
      </c>
      <c r="M63">
        <v>1</v>
      </c>
      <c r="N63">
        <v>1</v>
      </c>
      <c r="O63" t="s">
        <v>35</v>
      </c>
      <c r="P63" t="s">
        <v>35</v>
      </c>
      <c r="Q63" t="s">
        <v>226</v>
      </c>
      <c r="R63">
        <v>0</v>
      </c>
      <c r="S63">
        <v>0</v>
      </c>
      <c r="T63" t="s">
        <v>443</v>
      </c>
    </row>
    <row r="64" spans="1:20" hidden="1" x14ac:dyDescent="0.3">
      <c r="A64">
        <v>325</v>
      </c>
      <c r="B64" t="s">
        <v>224</v>
      </c>
      <c r="C64" t="s">
        <v>37</v>
      </c>
      <c r="D64" t="s">
        <v>216</v>
      </c>
      <c r="E64" t="s">
        <v>31</v>
      </c>
      <c r="F64" t="s">
        <v>32</v>
      </c>
      <c r="G64" s="2">
        <v>45291</v>
      </c>
      <c r="H64">
        <v>2023</v>
      </c>
      <c r="I64" t="s">
        <v>44</v>
      </c>
      <c r="J64" t="s">
        <v>49</v>
      </c>
      <c r="K64">
        <v>1</v>
      </c>
      <c r="L64">
        <v>1</v>
      </c>
      <c r="M64">
        <v>1</v>
      </c>
      <c r="N64">
        <v>1</v>
      </c>
      <c r="O64" t="s">
        <v>35</v>
      </c>
      <c r="P64" t="s">
        <v>35</v>
      </c>
      <c r="Q64" t="s">
        <v>228</v>
      </c>
      <c r="R64">
        <v>0</v>
      </c>
      <c r="S64">
        <v>0</v>
      </c>
      <c r="T64" t="s">
        <v>443</v>
      </c>
    </row>
    <row r="65" spans="1:20" hidden="1" x14ac:dyDescent="0.3">
      <c r="A65">
        <v>325</v>
      </c>
      <c r="B65" t="s">
        <v>224</v>
      </c>
      <c r="C65" t="s">
        <v>37</v>
      </c>
      <c r="D65" t="s">
        <v>216</v>
      </c>
      <c r="E65" t="s">
        <v>31</v>
      </c>
      <c r="F65" t="s">
        <v>32</v>
      </c>
      <c r="G65" s="2">
        <v>45657</v>
      </c>
      <c r="H65">
        <v>2024</v>
      </c>
      <c r="I65" t="s">
        <v>44</v>
      </c>
      <c r="J65" t="s">
        <v>53</v>
      </c>
      <c r="K65">
        <v>8</v>
      </c>
      <c r="L65">
        <v>8</v>
      </c>
      <c r="M65">
        <v>1</v>
      </c>
      <c r="N65">
        <v>1</v>
      </c>
      <c r="O65" t="s">
        <v>35</v>
      </c>
      <c r="P65" t="s">
        <v>35</v>
      </c>
      <c r="Q65" t="s">
        <v>230</v>
      </c>
      <c r="R65">
        <v>0</v>
      </c>
      <c r="S65">
        <v>0</v>
      </c>
      <c r="T65" t="s">
        <v>443</v>
      </c>
    </row>
    <row r="66" spans="1:20" hidden="1" x14ac:dyDescent="0.3">
      <c r="A66">
        <v>331</v>
      </c>
      <c r="B66" t="s">
        <v>231</v>
      </c>
      <c r="C66" t="s">
        <v>474</v>
      </c>
      <c r="D66" t="s">
        <v>232</v>
      </c>
      <c r="E66" t="s">
        <v>66</v>
      </c>
      <c r="F66" t="s">
        <v>32</v>
      </c>
      <c r="G66" s="2">
        <v>45291</v>
      </c>
      <c r="H66">
        <v>2023</v>
      </c>
      <c r="I66" t="s">
        <v>44</v>
      </c>
      <c r="J66" t="s">
        <v>49</v>
      </c>
      <c r="L66">
        <v>81</v>
      </c>
      <c r="O66" t="s">
        <v>429</v>
      </c>
      <c r="P66" t="s">
        <v>58</v>
      </c>
      <c r="Q66" t="s">
        <v>234</v>
      </c>
      <c r="R66">
        <v>0</v>
      </c>
      <c r="S66">
        <v>0</v>
      </c>
      <c r="T66" t="s">
        <v>443</v>
      </c>
    </row>
    <row r="67" spans="1:20" hidden="1" x14ac:dyDescent="0.3">
      <c r="A67">
        <v>331</v>
      </c>
      <c r="B67" t="s">
        <v>231</v>
      </c>
      <c r="C67" t="s">
        <v>474</v>
      </c>
      <c r="D67" t="s">
        <v>232</v>
      </c>
      <c r="E67" t="s">
        <v>66</v>
      </c>
      <c r="F67" t="s">
        <v>32</v>
      </c>
      <c r="G67" s="2">
        <v>45657</v>
      </c>
      <c r="H67">
        <v>2024</v>
      </c>
      <c r="I67" t="s">
        <v>44</v>
      </c>
      <c r="J67" t="s">
        <v>53</v>
      </c>
      <c r="L67">
        <v>82</v>
      </c>
      <c r="O67" t="s">
        <v>429</v>
      </c>
      <c r="P67" t="s">
        <v>58</v>
      </c>
      <c r="Q67" t="s">
        <v>238</v>
      </c>
      <c r="R67">
        <v>0</v>
      </c>
      <c r="S67">
        <v>0</v>
      </c>
      <c r="T67" t="s">
        <v>443</v>
      </c>
    </row>
    <row r="68" spans="1:20" hidden="1" x14ac:dyDescent="0.3">
      <c r="A68">
        <v>332</v>
      </c>
      <c r="B68" t="s">
        <v>239</v>
      </c>
      <c r="C68" t="s">
        <v>37</v>
      </c>
      <c r="D68" t="s">
        <v>130</v>
      </c>
      <c r="E68" t="s">
        <v>31</v>
      </c>
      <c r="F68" t="s">
        <v>171</v>
      </c>
      <c r="G68" s="2">
        <v>44926</v>
      </c>
      <c r="H68">
        <v>2022</v>
      </c>
      <c r="I68" t="s">
        <v>44</v>
      </c>
      <c r="J68" t="s">
        <v>45</v>
      </c>
      <c r="K68">
        <v>1.6</v>
      </c>
      <c r="L68">
        <v>1.75</v>
      </c>
      <c r="M68">
        <v>0.91428571428571437</v>
      </c>
      <c r="N68">
        <v>0.91428571428571437</v>
      </c>
      <c r="O68" t="s">
        <v>245</v>
      </c>
      <c r="P68" t="s">
        <v>245</v>
      </c>
      <c r="Q68" t="s">
        <v>242</v>
      </c>
      <c r="R68">
        <v>1</v>
      </c>
      <c r="S68">
        <v>1</v>
      </c>
      <c r="T68" t="s">
        <v>443</v>
      </c>
    </row>
    <row r="69" spans="1:20" hidden="1" x14ac:dyDescent="0.3">
      <c r="A69">
        <v>332</v>
      </c>
      <c r="B69" t="s">
        <v>239</v>
      </c>
      <c r="C69" t="s">
        <v>37</v>
      </c>
      <c r="D69" t="s">
        <v>130</v>
      </c>
      <c r="E69" t="s">
        <v>31</v>
      </c>
      <c r="F69" t="s">
        <v>171</v>
      </c>
      <c r="G69" s="2">
        <v>45291</v>
      </c>
      <c r="H69">
        <v>2023</v>
      </c>
      <c r="I69" t="s">
        <v>44</v>
      </c>
      <c r="J69" t="s">
        <v>49</v>
      </c>
      <c r="K69">
        <v>1.8</v>
      </c>
      <c r="L69">
        <v>1.4</v>
      </c>
      <c r="M69">
        <v>1.285714285714286</v>
      </c>
      <c r="N69">
        <v>1.285714285714286</v>
      </c>
      <c r="O69" t="s">
        <v>245</v>
      </c>
      <c r="P69" t="s">
        <v>245</v>
      </c>
      <c r="Q69" t="s">
        <v>244</v>
      </c>
      <c r="R69">
        <v>1</v>
      </c>
      <c r="S69">
        <v>1</v>
      </c>
      <c r="T69" t="s">
        <v>443</v>
      </c>
    </row>
    <row r="70" spans="1:20" hidden="1" x14ac:dyDescent="0.3">
      <c r="A70">
        <v>332</v>
      </c>
      <c r="B70" t="s">
        <v>239</v>
      </c>
      <c r="C70" t="s">
        <v>37</v>
      </c>
      <c r="D70" t="s">
        <v>130</v>
      </c>
      <c r="E70" t="s">
        <v>31</v>
      </c>
      <c r="F70" t="s">
        <v>171</v>
      </c>
      <c r="G70" s="2">
        <v>45657</v>
      </c>
      <c r="H70">
        <v>2024</v>
      </c>
      <c r="I70" t="s">
        <v>44</v>
      </c>
      <c r="J70" t="s">
        <v>53</v>
      </c>
      <c r="K70">
        <v>1.5</v>
      </c>
      <c r="L70">
        <v>1.1499999999999999</v>
      </c>
      <c r="M70">
        <v>1.3</v>
      </c>
      <c r="N70">
        <v>1.304347826086957</v>
      </c>
      <c r="O70" t="s">
        <v>245</v>
      </c>
      <c r="P70" t="s">
        <v>245</v>
      </c>
      <c r="Q70" t="s">
        <v>247</v>
      </c>
      <c r="R70">
        <v>1</v>
      </c>
      <c r="S70">
        <v>2</v>
      </c>
      <c r="T70" t="s">
        <v>443</v>
      </c>
    </row>
    <row r="71" spans="1:20" hidden="1" x14ac:dyDescent="0.3">
      <c r="A71">
        <v>334</v>
      </c>
      <c r="B71" t="s">
        <v>248</v>
      </c>
      <c r="C71" t="s">
        <v>474</v>
      </c>
      <c r="D71" t="s">
        <v>130</v>
      </c>
      <c r="E71" t="s">
        <v>66</v>
      </c>
      <c r="F71" t="s">
        <v>32</v>
      </c>
      <c r="G71" s="2">
        <v>44926</v>
      </c>
      <c r="H71">
        <v>2022</v>
      </c>
      <c r="I71" t="s">
        <v>44</v>
      </c>
      <c r="J71" t="s">
        <v>45</v>
      </c>
      <c r="K71">
        <v>86</v>
      </c>
      <c r="L71">
        <v>86</v>
      </c>
      <c r="M71">
        <v>1</v>
      </c>
      <c r="N71">
        <v>1</v>
      </c>
      <c r="O71" t="s">
        <v>35</v>
      </c>
      <c r="P71" t="s">
        <v>35</v>
      </c>
      <c r="Q71" t="s">
        <v>448</v>
      </c>
      <c r="R71">
        <v>0</v>
      </c>
      <c r="S71">
        <v>0</v>
      </c>
      <c r="T71" t="s">
        <v>443</v>
      </c>
    </row>
    <row r="72" spans="1:20" hidden="1" x14ac:dyDescent="0.3">
      <c r="A72">
        <v>334</v>
      </c>
      <c r="B72" t="s">
        <v>248</v>
      </c>
      <c r="C72" t="s">
        <v>474</v>
      </c>
      <c r="D72" t="s">
        <v>130</v>
      </c>
      <c r="E72" t="s">
        <v>66</v>
      </c>
      <c r="F72" t="s">
        <v>32</v>
      </c>
      <c r="G72" s="2">
        <v>45291</v>
      </c>
      <c r="H72">
        <v>2023</v>
      </c>
      <c r="I72" t="s">
        <v>44</v>
      </c>
      <c r="J72" t="s">
        <v>49</v>
      </c>
      <c r="K72">
        <v>88</v>
      </c>
      <c r="L72">
        <v>88.39</v>
      </c>
      <c r="M72">
        <v>1.0044318181818179</v>
      </c>
      <c r="N72">
        <v>1.0044318181818179</v>
      </c>
      <c r="O72" t="s">
        <v>35</v>
      </c>
      <c r="P72" t="s">
        <v>245</v>
      </c>
      <c r="Q72" t="s">
        <v>249</v>
      </c>
      <c r="R72">
        <v>0</v>
      </c>
      <c r="S72">
        <v>1</v>
      </c>
      <c r="T72" t="s">
        <v>443</v>
      </c>
    </row>
    <row r="73" spans="1:20" hidden="1" x14ac:dyDescent="0.3">
      <c r="A73">
        <v>334</v>
      </c>
      <c r="B73" t="s">
        <v>248</v>
      </c>
      <c r="C73" t="s">
        <v>474</v>
      </c>
      <c r="D73" t="s">
        <v>130</v>
      </c>
      <c r="E73" t="s">
        <v>66</v>
      </c>
      <c r="F73" t="s">
        <v>32</v>
      </c>
      <c r="G73" s="2">
        <v>45657</v>
      </c>
      <c r="H73">
        <v>2024</v>
      </c>
      <c r="I73" t="s">
        <v>44</v>
      </c>
      <c r="J73" t="s">
        <v>53</v>
      </c>
      <c r="K73">
        <v>88</v>
      </c>
      <c r="L73">
        <v>88.84</v>
      </c>
      <c r="M73">
        <v>1.009545454545455</v>
      </c>
      <c r="N73">
        <v>1.009545454545455</v>
      </c>
      <c r="O73" t="s">
        <v>35</v>
      </c>
      <c r="P73" t="s">
        <v>245</v>
      </c>
      <c r="Q73" t="s">
        <v>251</v>
      </c>
      <c r="R73">
        <v>0</v>
      </c>
      <c r="S73">
        <v>1</v>
      </c>
      <c r="T73" t="s">
        <v>443</v>
      </c>
    </row>
    <row r="74" spans="1:20" hidden="1" x14ac:dyDescent="0.3">
      <c r="A74">
        <v>335</v>
      </c>
      <c r="B74" t="s">
        <v>252</v>
      </c>
      <c r="C74" t="s">
        <v>474</v>
      </c>
      <c r="D74" t="s">
        <v>130</v>
      </c>
      <c r="E74" t="s">
        <v>66</v>
      </c>
      <c r="F74" t="s">
        <v>32</v>
      </c>
      <c r="G74" s="2">
        <v>45291</v>
      </c>
      <c r="H74">
        <v>2023</v>
      </c>
      <c r="I74" t="s">
        <v>44</v>
      </c>
      <c r="J74" t="s">
        <v>49</v>
      </c>
      <c r="K74">
        <v>80</v>
      </c>
      <c r="L74">
        <v>93.85</v>
      </c>
      <c r="M74">
        <v>1.173125</v>
      </c>
      <c r="N74">
        <v>1.173125</v>
      </c>
      <c r="O74" t="s">
        <v>58</v>
      </c>
      <c r="P74" t="s">
        <v>58</v>
      </c>
      <c r="Q74" t="s">
        <v>253</v>
      </c>
      <c r="R74">
        <v>0</v>
      </c>
      <c r="S74">
        <v>0</v>
      </c>
      <c r="T74" t="s">
        <v>443</v>
      </c>
    </row>
    <row r="75" spans="1:20" hidden="1" x14ac:dyDescent="0.3">
      <c r="A75">
        <v>335</v>
      </c>
      <c r="B75" t="s">
        <v>252</v>
      </c>
      <c r="C75" t="s">
        <v>474</v>
      </c>
      <c r="D75" t="s">
        <v>130</v>
      </c>
      <c r="E75" t="s">
        <v>66</v>
      </c>
      <c r="F75" t="s">
        <v>32</v>
      </c>
      <c r="G75" s="2">
        <v>45657</v>
      </c>
      <c r="H75">
        <v>2024</v>
      </c>
      <c r="I75" t="s">
        <v>44</v>
      </c>
      <c r="J75" t="s">
        <v>53</v>
      </c>
      <c r="K75">
        <v>82</v>
      </c>
      <c r="L75">
        <v>80.95</v>
      </c>
      <c r="M75">
        <v>0.9871951219512195</v>
      </c>
      <c r="N75">
        <v>0.9871951219512195</v>
      </c>
      <c r="O75" t="s">
        <v>58</v>
      </c>
      <c r="P75" t="s">
        <v>58</v>
      </c>
      <c r="Q75" t="s">
        <v>254</v>
      </c>
      <c r="R75">
        <v>0</v>
      </c>
      <c r="S75">
        <v>0</v>
      </c>
      <c r="T75" t="s">
        <v>443</v>
      </c>
    </row>
    <row r="76" spans="1:20" x14ac:dyDescent="0.3">
      <c r="A76">
        <v>339</v>
      </c>
      <c r="B76" t="s">
        <v>255</v>
      </c>
      <c r="C76" t="s">
        <v>37</v>
      </c>
      <c r="D76" t="s">
        <v>256</v>
      </c>
      <c r="E76" t="s">
        <v>66</v>
      </c>
      <c r="F76" t="s">
        <v>32</v>
      </c>
      <c r="G76" s="2">
        <v>45291</v>
      </c>
      <c r="H76">
        <v>2023</v>
      </c>
      <c r="I76" t="s">
        <v>44</v>
      </c>
      <c r="J76" t="s">
        <v>49</v>
      </c>
      <c r="K76">
        <v>30</v>
      </c>
      <c r="L76">
        <v>28.57</v>
      </c>
      <c r="M76">
        <v>0.95233333333333337</v>
      </c>
      <c r="N76">
        <v>0.95233333333333337</v>
      </c>
      <c r="O76" t="s">
        <v>58</v>
      </c>
      <c r="P76" t="s">
        <v>58</v>
      </c>
      <c r="Q76" t="s">
        <v>257</v>
      </c>
      <c r="R76">
        <v>0</v>
      </c>
      <c r="S76">
        <v>1</v>
      </c>
      <c r="T76" t="s">
        <v>443</v>
      </c>
    </row>
    <row r="77" spans="1:20" x14ac:dyDescent="0.3">
      <c r="A77">
        <v>339</v>
      </c>
      <c r="B77" t="s">
        <v>255</v>
      </c>
      <c r="C77" t="s">
        <v>37</v>
      </c>
      <c r="D77" t="s">
        <v>256</v>
      </c>
      <c r="E77" t="s">
        <v>66</v>
      </c>
      <c r="F77" t="s">
        <v>32</v>
      </c>
      <c r="G77" s="2">
        <v>45657</v>
      </c>
      <c r="H77">
        <v>2024</v>
      </c>
      <c r="I77" t="s">
        <v>44</v>
      </c>
      <c r="J77" t="s">
        <v>53</v>
      </c>
      <c r="K77">
        <v>30</v>
      </c>
      <c r="L77">
        <v>30.3</v>
      </c>
      <c r="M77">
        <v>1.01</v>
      </c>
      <c r="N77">
        <v>1.01</v>
      </c>
      <c r="O77" t="s">
        <v>58</v>
      </c>
      <c r="P77" t="s">
        <v>58</v>
      </c>
      <c r="Q77" t="s">
        <v>258</v>
      </c>
      <c r="R77">
        <v>0</v>
      </c>
      <c r="S77">
        <v>1</v>
      </c>
      <c r="T77" t="s">
        <v>443</v>
      </c>
    </row>
    <row r="78" spans="1:20" hidden="1" x14ac:dyDescent="0.3">
      <c r="A78">
        <v>460</v>
      </c>
      <c r="B78" t="s">
        <v>476</v>
      </c>
      <c r="C78" t="s">
        <v>474</v>
      </c>
      <c r="D78" t="s">
        <v>130</v>
      </c>
      <c r="E78" t="s">
        <v>66</v>
      </c>
      <c r="F78" t="s">
        <v>32</v>
      </c>
      <c r="G78" s="2">
        <v>45291</v>
      </c>
      <c r="H78">
        <v>2023</v>
      </c>
      <c r="I78" t="s">
        <v>44</v>
      </c>
      <c r="J78" t="s">
        <v>49</v>
      </c>
      <c r="L78">
        <v>94.85</v>
      </c>
      <c r="O78" t="s">
        <v>284</v>
      </c>
      <c r="P78" t="s">
        <v>58</v>
      </c>
      <c r="Q78" t="s">
        <v>449</v>
      </c>
      <c r="R78">
        <v>0</v>
      </c>
      <c r="S78">
        <v>0</v>
      </c>
      <c r="T78" t="s">
        <v>443</v>
      </c>
    </row>
    <row r="79" spans="1:20" hidden="1" x14ac:dyDescent="0.3">
      <c r="A79">
        <v>353</v>
      </c>
      <c r="B79" t="s">
        <v>259</v>
      </c>
      <c r="C79" t="s">
        <v>37</v>
      </c>
      <c r="D79" t="s">
        <v>260</v>
      </c>
      <c r="E79" t="s">
        <v>31</v>
      </c>
      <c r="F79" t="s">
        <v>32</v>
      </c>
      <c r="G79" s="2">
        <v>45291</v>
      </c>
      <c r="H79">
        <v>2023</v>
      </c>
      <c r="I79" t="s">
        <v>44</v>
      </c>
      <c r="J79" t="s">
        <v>49</v>
      </c>
      <c r="K79">
        <v>35</v>
      </c>
      <c r="L79">
        <v>40.384615384615401</v>
      </c>
      <c r="M79">
        <v>1.153846153846154</v>
      </c>
      <c r="N79">
        <v>1.153846153846154</v>
      </c>
      <c r="O79" t="s">
        <v>35</v>
      </c>
      <c r="P79" t="s">
        <v>35</v>
      </c>
      <c r="Q79" t="s">
        <v>265</v>
      </c>
      <c r="R79">
        <v>1</v>
      </c>
      <c r="S79">
        <v>1</v>
      </c>
      <c r="T79" t="s">
        <v>443</v>
      </c>
    </row>
    <row r="80" spans="1:20" hidden="1" x14ac:dyDescent="0.3">
      <c r="A80">
        <v>361</v>
      </c>
      <c r="B80" t="s">
        <v>470</v>
      </c>
      <c r="C80" t="s">
        <v>37</v>
      </c>
      <c r="D80" t="s">
        <v>267</v>
      </c>
      <c r="E80" t="s">
        <v>66</v>
      </c>
      <c r="F80" t="s">
        <v>32</v>
      </c>
      <c r="G80" s="2">
        <v>45291</v>
      </c>
      <c r="H80">
        <v>2023</v>
      </c>
      <c r="I80" t="s">
        <v>44</v>
      </c>
      <c r="J80" t="s">
        <v>49</v>
      </c>
      <c r="K80">
        <v>4.5</v>
      </c>
      <c r="L80">
        <v>4.5599999999999996</v>
      </c>
      <c r="M80">
        <v>1.013333333333333</v>
      </c>
      <c r="N80">
        <v>1.013333333333333</v>
      </c>
      <c r="O80" t="s">
        <v>245</v>
      </c>
      <c r="P80" t="s">
        <v>245</v>
      </c>
      <c r="Q80" t="s">
        <v>268</v>
      </c>
      <c r="R80">
        <v>2</v>
      </c>
      <c r="S80">
        <v>2</v>
      </c>
      <c r="T80" t="s">
        <v>443</v>
      </c>
    </row>
    <row r="81" spans="1:20" hidden="1" x14ac:dyDescent="0.3">
      <c r="A81">
        <v>361</v>
      </c>
      <c r="B81" t="s">
        <v>470</v>
      </c>
      <c r="C81" t="s">
        <v>37</v>
      </c>
      <c r="D81" t="s">
        <v>267</v>
      </c>
      <c r="E81" t="s">
        <v>66</v>
      </c>
      <c r="F81" t="s">
        <v>32</v>
      </c>
      <c r="G81" s="2">
        <v>45657</v>
      </c>
      <c r="H81">
        <v>2024</v>
      </c>
      <c r="I81" t="s">
        <v>44</v>
      </c>
      <c r="J81" t="s">
        <v>53</v>
      </c>
      <c r="K81">
        <v>0</v>
      </c>
      <c r="L81">
        <v>0</v>
      </c>
      <c r="O81" t="s">
        <v>429</v>
      </c>
      <c r="P81" t="s">
        <v>429</v>
      </c>
      <c r="Q81" t="s">
        <v>270</v>
      </c>
      <c r="R81">
        <v>2</v>
      </c>
      <c r="S81">
        <v>2</v>
      </c>
      <c r="T81" t="s">
        <v>443</v>
      </c>
    </row>
    <row r="82" spans="1:20" hidden="1" x14ac:dyDescent="0.3">
      <c r="A82">
        <v>364</v>
      </c>
      <c r="B82" t="s">
        <v>271</v>
      </c>
      <c r="C82" t="s">
        <v>474</v>
      </c>
      <c r="D82" t="s">
        <v>267</v>
      </c>
      <c r="E82" t="s">
        <v>31</v>
      </c>
      <c r="F82" t="s">
        <v>32</v>
      </c>
      <c r="G82" s="2">
        <v>45291</v>
      </c>
      <c r="H82">
        <v>2023</v>
      </c>
      <c r="I82" t="s">
        <v>44</v>
      </c>
      <c r="J82" t="s">
        <v>49</v>
      </c>
      <c r="L82">
        <v>78450</v>
      </c>
      <c r="O82" t="s">
        <v>284</v>
      </c>
      <c r="P82" t="s">
        <v>35</v>
      </c>
      <c r="Q82" t="s">
        <v>276</v>
      </c>
      <c r="R82">
        <v>0</v>
      </c>
      <c r="S82">
        <v>0</v>
      </c>
      <c r="T82" t="s">
        <v>443</v>
      </c>
    </row>
    <row r="83" spans="1:20" hidden="1" x14ac:dyDescent="0.3">
      <c r="A83">
        <v>364</v>
      </c>
      <c r="B83" t="s">
        <v>271</v>
      </c>
      <c r="C83" t="s">
        <v>474</v>
      </c>
      <c r="D83" t="s">
        <v>267</v>
      </c>
      <c r="E83" t="s">
        <v>31</v>
      </c>
      <c r="F83" t="s">
        <v>32</v>
      </c>
      <c r="G83" s="2">
        <v>45657</v>
      </c>
      <c r="H83">
        <v>2024</v>
      </c>
      <c r="I83" t="s">
        <v>44</v>
      </c>
      <c r="J83" t="s">
        <v>53</v>
      </c>
      <c r="K83">
        <v>79235</v>
      </c>
      <c r="L83">
        <v>88704</v>
      </c>
      <c r="M83">
        <v>1.119505269136114</v>
      </c>
      <c r="N83">
        <v>1.119505269136114</v>
      </c>
      <c r="O83" t="s">
        <v>35</v>
      </c>
      <c r="P83" t="s">
        <v>35</v>
      </c>
      <c r="Q83" t="s">
        <v>278</v>
      </c>
      <c r="R83">
        <v>0</v>
      </c>
      <c r="S83">
        <v>0</v>
      </c>
      <c r="T83" t="s">
        <v>443</v>
      </c>
    </row>
    <row r="84" spans="1:20" hidden="1" x14ac:dyDescent="0.3">
      <c r="A84">
        <v>367</v>
      </c>
      <c r="B84" t="s">
        <v>279</v>
      </c>
      <c r="C84" t="s">
        <v>37</v>
      </c>
      <c r="D84" t="s">
        <v>267</v>
      </c>
      <c r="E84" t="s">
        <v>66</v>
      </c>
      <c r="F84" t="s">
        <v>32</v>
      </c>
      <c r="G84" s="2">
        <v>44926</v>
      </c>
      <c r="H84">
        <v>2022</v>
      </c>
      <c r="I84" t="s">
        <v>44</v>
      </c>
      <c r="J84" t="s">
        <v>45</v>
      </c>
      <c r="K84">
        <v>5.7</v>
      </c>
      <c r="L84">
        <v>6.7</v>
      </c>
      <c r="M84">
        <v>1.1754385964912279</v>
      </c>
      <c r="N84">
        <v>1.1754385964912279</v>
      </c>
      <c r="O84" t="s">
        <v>58</v>
      </c>
      <c r="P84" t="s">
        <v>58</v>
      </c>
      <c r="Q84" t="s">
        <v>450</v>
      </c>
      <c r="R84">
        <v>1</v>
      </c>
      <c r="S84">
        <v>1</v>
      </c>
      <c r="T84" t="s">
        <v>443</v>
      </c>
    </row>
    <row r="85" spans="1:20" hidden="1" x14ac:dyDescent="0.3">
      <c r="A85">
        <v>367</v>
      </c>
      <c r="B85" t="s">
        <v>279</v>
      </c>
      <c r="C85" t="s">
        <v>37</v>
      </c>
      <c r="D85" t="s">
        <v>267</v>
      </c>
      <c r="E85" t="s">
        <v>66</v>
      </c>
      <c r="F85" t="s">
        <v>32</v>
      </c>
      <c r="G85" s="2">
        <v>45291</v>
      </c>
      <c r="H85">
        <v>2023</v>
      </c>
      <c r="I85" t="s">
        <v>44</v>
      </c>
      <c r="J85" t="s">
        <v>49</v>
      </c>
      <c r="K85">
        <v>5</v>
      </c>
      <c r="L85">
        <v>6.25</v>
      </c>
      <c r="M85">
        <v>1.25</v>
      </c>
      <c r="N85">
        <v>1.25</v>
      </c>
      <c r="O85" t="s">
        <v>58</v>
      </c>
      <c r="P85" t="s">
        <v>58</v>
      </c>
      <c r="Q85" t="s">
        <v>280</v>
      </c>
      <c r="R85">
        <v>0</v>
      </c>
      <c r="S85">
        <v>2</v>
      </c>
      <c r="T85" t="s">
        <v>443</v>
      </c>
    </row>
    <row r="86" spans="1:20" hidden="1" x14ac:dyDescent="0.3">
      <c r="A86">
        <v>367</v>
      </c>
      <c r="B86" t="s">
        <v>279</v>
      </c>
      <c r="C86" t="s">
        <v>37</v>
      </c>
      <c r="D86" t="s">
        <v>267</v>
      </c>
      <c r="E86" t="s">
        <v>66</v>
      </c>
      <c r="F86" t="s">
        <v>32</v>
      </c>
      <c r="G86" s="2">
        <v>45657</v>
      </c>
      <c r="H86">
        <v>2024</v>
      </c>
      <c r="I86" t="s">
        <v>44</v>
      </c>
      <c r="J86" t="s">
        <v>53</v>
      </c>
      <c r="K86">
        <v>5</v>
      </c>
      <c r="L86">
        <v>4.96</v>
      </c>
      <c r="M86">
        <v>0.99199999999999999</v>
      </c>
      <c r="N86">
        <v>0.99199999999999999</v>
      </c>
      <c r="O86" t="s">
        <v>58</v>
      </c>
      <c r="P86" t="s">
        <v>58</v>
      </c>
      <c r="Q86" t="s">
        <v>282</v>
      </c>
      <c r="R86">
        <v>0</v>
      </c>
      <c r="S86">
        <v>2</v>
      </c>
      <c r="T86" t="s">
        <v>443</v>
      </c>
    </row>
    <row r="87" spans="1:20" hidden="1" x14ac:dyDescent="0.3">
      <c r="A87">
        <v>369</v>
      </c>
      <c r="B87" t="s">
        <v>283</v>
      </c>
      <c r="C87" t="s">
        <v>37</v>
      </c>
      <c r="D87" t="s">
        <v>267</v>
      </c>
      <c r="E87" t="s">
        <v>31</v>
      </c>
      <c r="F87" t="s">
        <v>32</v>
      </c>
      <c r="G87" s="2">
        <v>45291</v>
      </c>
      <c r="H87">
        <v>2023</v>
      </c>
      <c r="I87" t="s">
        <v>44</v>
      </c>
      <c r="J87" t="s">
        <v>49</v>
      </c>
      <c r="L87">
        <v>174</v>
      </c>
      <c r="O87" t="s">
        <v>284</v>
      </c>
      <c r="P87" t="s">
        <v>35</v>
      </c>
      <c r="Q87" t="s">
        <v>286</v>
      </c>
      <c r="R87">
        <v>0</v>
      </c>
      <c r="S87">
        <v>0</v>
      </c>
      <c r="T87" t="s">
        <v>443</v>
      </c>
    </row>
    <row r="88" spans="1:20" hidden="1" x14ac:dyDescent="0.3">
      <c r="A88">
        <v>369</v>
      </c>
      <c r="B88" t="s">
        <v>283</v>
      </c>
      <c r="C88" t="s">
        <v>37</v>
      </c>
      <c r="D88" t="s">
        <v>267</v>
      </c>
      <c r="E88" t="s">
        <v>31</v>
      </c>
      <c r="F88" t="s">
        <v>32</v>
      </c>
      <c r="G88" s="2">
        <v>45657</v>
      </c>
      <c r="H88">
        <v>2024</v>
      </c>
      <c r="I88" t="s">
        <v>44</v>
      </c>
      <c r="J88" t="s">
        <v>53</v>
      </c>
      <c r="K88">
        <v>188</v>
      </c>
      <c r="L88">
        <v>138</v>
      </c>
      <c r="M88">
        <v>0.73404255319148937</v>
      </c>
      <c r="N88">
        <v>0.73404255319148937</v>
      </c>
      <c r="O88" t="s">
        <v>35</v>
      </c>
      <c r="P88" t="s">
        <v>35</v>
      </c>
      <c r="Q88" t="s">
        <v>288</v>
      </c>
      <c r="R88">
        <v>0</v>
      </c>
      <c r="S88">
        <v>0</v>
      </c>
      <c r="T88" t="s">
        <v>443</v>
      </c>
    </row>
    <row r="89" spans="1:20" hidden="1" x14ac:dyDescent="0.3">
      <c r="A89">
        <v>376</v>
      </c>
      <c r="B89" t="s">
        <v>473</v>
      </c>
      <c r="C89" t="s">
        <v>37</v>
      </c>
      <c r="D89" t="s">
        <v>142</v>
      </c>
      <c r="E89" t="s">
        <v>31</v>
      </c>
      <c r="F89" t="s">
        <v>32</v>
      </c>
      <c r="G89" s="2">
        <v>44925</v>
      </c>
      <c r="H89">
        <v>2022</v>
      </c>
      <c r="I89" t="s">
        <v>44</v>
      </c>
      <c r="J89" t="s">
        <v>45</v>
      </c>
      <c r="K89">
        <v>16064</v>
      </c>
      <c r="L89">
        <v>24140</v>
      </c>
      <c r="M89">
        <v>1.3</v>
      </c>
      <c r="N89">
        <v>1.502739043824701</v>
      </c>
      <c r="O89" t="s">
        <v>143</v>
      </c>
      <c r="P89" t="s">
        <v>143</v>
      </c>
      <c r="Q89" t="s">
        <v>291</v>
      </c>
      <c r="R89">
        <v>0</v>
      </c>
      <c r="S89">
        <v>0</v>
      </c>
      <c r="T89" t="s">
        <v>443</v>
      </c>
    </row>
    <row r="90" spans="1:20" hidden="1" x14ac:dyDescent="0.3">
      <c r="A90">
        <v>376</v>
      </c>
      <c r="B90" t="s">
        <v>473</v>
      </c>
      <c r="C90" t="s">
        <v>37</v>
      </c>
      <c r="D90" t="s">
        <v>142</v>
      </c>
      <c r="E90" t="s">
        <v>31</v>
      </c>
      <c r="F90" t="s">
        <v>32</v>
      </c>
      <c r="G90" s="2">
        <v>45291</v>
      </c>
      <c r="H90">
        <v>2023</v>
      </c>
      <c r="I90" t="s">
        <v>44</v>
      </c>
      <c r="J90" t="s">
        <v>49</v>
      </c>
      <c r="K90">
        <v>26073.47270271854</v>
      </c>
      <c r="L90">
        <v>26403.087925999949</v>
      </c>
      <c r="M90">
        <v>1.012641784507939</v>
      </c>
      <c r="N90">
        <v>1.012641784507939</v>
      </c>
      <c r="O90" t="s">
        <v>143</v>
      </c>
      <c r="P90" t="s">
        <v>143</v>
      </c>
      <c r="Q90" t="s">
        <v>293</v>
      </c>
      <c r="R90">
        <v>0</v>
      </c>
      <c r="S90">
        <v>0</v>
      </c>
      <c r="T90" t="s">
        <v>443</v>
      </c>
    </row>
    <row r="91" spans="1:20" hidden="1" x14ac:dyDescent="0.3">
      <c r="A91">
        <v>376</v>
      </c>
      <c r="B91" t="s">
        <v>473</v>
      </c>
      <c r="C91" t="s">
        <v>37</v>
      </c>
      <c r="D91" t="s">
        <v>142</v>
      </c>
      <c r="E91" t="s">
        <v>31</v>
      </c>
      <c r="F91" t="s">
        <v>32</v>
      </c>
      <c r="G91" s="2">
        <v>45657</v>
      </c>
      <c r="H91">
        <v>2024</v>
      </c>
      <c r="I91" t="s">
        <v>44</v>
      </c>
      <c r="J91" t="s">
        <v>53</v>
      </c>
      <c r="K91">
        <v>27010.108280834509</v>
      </c>
      <c r="L91">
        <v>29467.922112</v>
      </c>
      <c r="M91">
        <v>1.0909960747143499</v>
      </c>
      <c r="N91">
        <v>1.0909960747143499</v>
      </c>
      <c r="O91" t="s">
        <v>143</v>
      </c>
      <c r="P91" t="s">
        <v>143</v>
      </c>
      <c r="Q91" t="s">
        <v>295</v>
      </c>
      <c r="R91">
        <v>0</v>
      </c>
      <c r="S91">
        <v>0</v>
      </c>
      <c r="T91" t="s">
        <v>443</v>
      </c>
    </row>
    <row r="92" spans="1:20" hidden="1" x14ac:dyDescent="0.3">
      <c r="A92">
        <v>377</v>
      </c>
      <c r="B92" t="s">
        <v>296</v>
      </c>
      <c r="C92" t="s">
        <v>37</v>
      </c>
      <c r="D92" t="s">
        <v>142</v>
      </c>
      <c r="E92" t="s">
        <v>31</v>
      </c>
      <c r="F92" t="s">
        <v>171</v>
      </c>
      <c r="G92" s="2">
        <v>45291</v>
      </c>
      <c r="H92">
        <v>2023</v>
      </c>
      <c r="I92" t="s">
        <v>44</v>
      </c>
      <c r="J92" t="s">
        <v>49</v>
      </c>
      <c r="K92">
        <v>12518.005306706251</v>
      </c>
      <c r="L92">
        <v>7607.138418999999</v>
      </c>
      <c r="M92">
        <v>1.3</v>
      </c>
      <c r="N92">
        <v>1.64556034309046</v>
      </c>
      <c r="O92" t="s">
        <v>143</v>
      </c>
      <c r="P92" t="s">
        <v>143</v>
      </c>
      <c r="Q92" t="s">
        <v>298</v>
      </c>
      <c r="R92">
        <v>0</v>
      </c>
      <c r="S92">
        <v>0</v>
      </c>
      <c r="T92" t="s">
        <v>443</v>
      </c>
    </row>
    <row r="93" spans="1:20" hidden="1" x14ac:dyDescent="0.3">
      <c r="A93">
        <v>377</v>
      </c>
      <c r="B93" t="s">
        <v>296</v>
      </c>
      <c r="C93" t="s">
        <v>37</v>
      </c>
      <c r="D93" t="s">
        <v>142</v>
      </c>
      <c r="E93" t="s">
        <v>31</v>
      </c>
      <c r="F93" t="s">
        <v>171</v>
      </c>
      <c r="G93" s="2">
        <v>45657</v>
      </c>
      <c r="H93">
        <v>2024</v>
      </c>
      <c r="I93" t="s">
        <v>44</v>
      </c>
      <c r="J93" t="s">
        <v>53</v>
      </c>
      <c r="K93">
        <v>9557.1950106811255</v>
      </c>
      <c r="L93">
        <v>11947.626618</v>
      </c>
      <c r="M93">
        <v>1.2501185342192269</v>
      </c>
      <c r="N93">
        <v>1.2501185342192269</v>
      </c>
      <c r="O93" t="s">
        <v>143</v>
      </c>
      <c r="P93" t="s">
        <v>143</v>
      </c>
      <c r="Q93" t="s">
        <v>300</v>
      </c>
      <c r="R93">
        <v>0</v>
      </c>
      <c r="S93">
        <v>0</v>
      </c>
      <c r="T93" t="s">
        <v>443</v>
      </c>
    </row>
    <row r="94" spans="1:20" hidden="1" x14ac:dyDescent="0.3">
      <c r="A94">
        <v>379</v>
      </c>
      <c r="B94" t="s">
        <v>301</v>
      </c>
      <c r="C94" t="s">
        <v>37</v>
      </c>
      <c r="D94" t="s">
        <v>302</v>
      </c>
      <c r="E94" t="s">
        <v>31</v>
      </c>
      <c r="F94" t="s">
        <v>32</v>
      </c>
      <c r="G94" s="2">
        <v>44926</v>
      </c>
      <c r="H94">
        <v>2022</v>
      </c>
      <c r="I94" t="s">
        <v>44</v>
      </c>
      <c r="J94" t="s">
        <v>45</v>
      </c>
      <c r="K94">
        <v>20000</v>
      </c>
      <c r="L94">
        <v>20591</v>
      </c>
      <c r="M94">
        <v>1.02955</v>
      </c>
      <c r="N94">
        <v>1.02955</v>
      </c>
      <c r="O94" t="s">
        <v>35</v>
      </c>
      <c r="P94" t="s">
        <v>35</v>
      </c>
      <c r="Q94" t="s">
        <v>304</v>
      </c>
      <c r="R94">
        <v>0</v>
      </c>
      <c r="S94">
        <v>0</v>
      </c>
      <c r="T94" t="s">
        <v>443</v>
      </c>
    </row>
    <row r="95" spans="1:20" hidden="1" x14ac:dyDescent="0.3">
      <c r="A95">
        <v>379</v>
      </c>
      <c r="B95" t="s">
        <v>301</v>
      </c>
      <c r="C95" t="s">
        <v>37</v>
      </c>
      <c r="D95" t="s">
        <v>302</v>
      </c>
      <c r="E95" t="s">
        <v>31</v>
      </c>
      <c r="F95" t="s">
        <v>32</v>
      </c>
      <c r="G95" s="2">
        <v>45291</v>
      </c>
      <c r="H95">
        <v>2023</v>
      </c>
      <c r="I95" t="s">
        <v>44</v>
      </c>
      <c r="J95" t="s">
        <v>49</v>
      </c>
      <c r="K95">
        <v>22006</v>
      </c>
      <c r="L95">
        <v>22986</v>
      </c>
      <c r="M95">
        <v>1.0445333090975191</v>
      </c>
      <c r="N95">
        <v>1.0445333090975191</v>
      </c>
      <c r="O95" t="s">
        <v>35</v>
      </c>
      <c r="P95" t="s">
        <v>35</v>
      </c>
      <c r="Q95" t="s">
        <v>306</v>
      </c>
      <c r="R95">
        <v>0</v>
      </c>
      <c r="S95">
        <v>0</v>
      </c>
      <c r="T95" t="s">
        <v>443</v>
      </c>
    </row>
    <row r="96" spans="1:20" hidden="1" x14ac:dyDescent="0.3">
      <c r="A96">
        <v>379</v>
      </c>
      <c r="B96" t="s">
        <v>301</v>
      </c>
      <c r="C96" t="s">
        <v>37</v>
      </c>
      <c r="D96" t="s">
        <v>302</v>
      </c>
      <c r="E96" t="s">
        <v>31</v>
      </c>
      <c r="F96" t="s">
        <v>32</v>
      </c>
      <c r="G96" s="2">
        <v>45657</v>
      </c>
      <c r="H96">
        <v>2024</v>
      </c>
      <c r="I96" t="s">
        <v>44</v>
      </c>
      <c r="J96" t="s">
        <v>53</v>
      </c>
      <c r="K96">
        <v>24265</v>
      </c>
      <c r="L96">
        <v>23556</v>
      </c>
      <c r="M96">
        <v>0.97078096023078508</v>
      </c>
      <c r="N96">
        <v>0.97078096023078508</v>
      </c>
      <c r="O96" t="s">
        <v>35</v>
      </c>
      <c r="P96" t="s">
        <v>35</v>
      </c>
      <c r="Q96" t="s">
        <v>308</v>
      </c>
      <c r="R96">
        <v>0</v>
      </c>
      <c r="S96">
        <v>0</v>
      </c>
      <c r="T96" t="s">
        <v>443</v>
      </c>
    </row>
    <row r="97" spans="1:20" hidden="1" x14ac:dyDescent="0.3">
      <c r="A97">
        <v>385</v>
      </c>
      <c r="B97" t="s">
        <v>309</v>
      </c>
      <c r="C97" t="s">
        <v>37</v>
      </c>
      <c r="D97" t="s">
        <v>310</v>
      </c>
      <c r="E97" t="s">
        <v>31</v>
      </c>
      <c r="F97" t="s">
        <v>32</v>
      </c>
      <c r="G97" s="2">
        <v>44926</v>
      </c>
      <c r="H97">
        <v>2022</v>
      </c>
      <c r="I97" t="s">
        <v>44</v>
      </c>
      <c r="J97" t="s">
        <v>45</v>
      </c>
      <c r="K97">
        <v>13361</v>
      </c>
      <c r="L97">
        <v>9700</v>
      </c>
      <c r="M97">
        <v>0.72599356335603626</v>
      </c>
      <c r="N97">
        <v>0.72599356335603626</v>
      </c>
      <c r="O97" t="s">
        <v>143</v>
      </c>
      <c r="P97" t="s">
        <v>143</v>
      </c>
      <c r="Q97" t="s">
        <v>315</v>
      </c>
      <c r="R97">
        <v>0</v>
      </c>
      <c r="S97">
        <v>0</v>
      </c>
      <c r="T97" t="s">
        <v>443</v>
      </c>
    </row>
    <row r="98" spans="1:20" hidden="1" x14ac:dyDescent="0.3">
      <c r="A98">
        <v>385</v>
      </c>
      <c r="B98" t="s">
        <v>309</v>
      </c>
      <c r="C98" t="s">
        <v>37</v>
      </c>
      <c r="D98" t="s">
        <v>310</v>
      </c>
      <c r="E98" t="s">
        <v>31</v>
      </c>
      <c r="F98" t="s">
        <v>32</v>
      </c>
      <c r="G98" s="2">
        <v>45291</v>
      </c>
      <c r="H98">
        <v>2023</v>
      </c>
      <c r="I98" t="s">
        <v>44</v>
      </c>
      <c r="J98" t="s">
        <v>49</v>
      </c>
      <c r="K98">
        <v>14097.721</v>
      </c>
      <c r="L98">
        <v>17698.153608000001</v>
      </c>
      <c r="M98">
        <v>1.2553911095275609</v>
      </c>
      <c r="N98">
        <v>1.2553911095275609</v>
      </c>
      <c r="O98" t="s">
        <v>143</v>
      </c>
      <c r="P98" t="s">
        <v>143</v>
      </c>
      <c r="Q98" t="s">
        <v>317</v>
      </c>
      <c r="R98">
        <v>0</v>
      </c>
      <c r="S98">
        <v>0</v>
      </c>
      <c r="T98" t="s">
        <v>443</v>
      </c>
    </row>
    <row r="99" spans="1:20" hidden="1" x14ac:dyDescent="0.3">
      <c r="A99">
        <v>385</v>
      </c>
      <c r="B99" t="s">
        <v>309</v>
      </c>
      <c r="C99" t="s">
        <v>37</v>
      </c>
      <c r="D99" t="s">
        <v>310</v>
      </c>
      <c r="E99" t="s">
        <v>31</v>
      </c>
      <c r="F99" t="s">
        <v>32</v>
      </c>
      <c r="G99" s="2">
        <v>45657</v>
      </c>
      <c r="H99">
        <v>2024</v>
      </c>
      <c r="I99" t="s">
        <v>44</v>
      </c>
      <c r="J99" t="s">
        <v>53</v>
      </c>
      <c r="K99">
        <v>15507.4931</v>
      </c>
      <c r="L99">
        <v>13245.834425999999</v>
      </c>
      <c r="M99">
        <v>0.85415704141116133</v>
      </c>
      <c r="N99">
        <v>0.85415704141116133</v>
      </c>
      <c r="O99" t="s">
        <v>143</v>
      </c>
      <c r="P99" t="s">
        <v>143</v>
      </c>
      <c r="Q99" t="s">
        <v>319</v>
      </c>
      <c r="R99">
        <v>0</v>
      </c>
      <c r="S99">
        <v>0</v>
      </c>
      <c r="T99" t="s">
        <v>443</v>
      </c>
    </row>
    <row r="100" spans="1:20" hidden="1" x14ac:dyDescent="0.3">
      <c r="A100">
        <v>423</v>
      </c>
      <c r="B100" t="s">
        <v>320</v>
      </c>
      <c r="C100" t="s">
        <v>37</v>
      </c>
      <c r="D100" t="s">
        <v>83</v>
      </c>
      <c r="E100" t="s">
        <v>66</v>
      </c>
      <c r="F100" t="s">
        <v>32</v>
      </c>
      <c r="G100" s="2">
        <v>44926</v>
      </c>
      <c r="H100">
        <v>2022</v>
      </c>
      <c r="I100" t="s">
        <v>44</v>
      </c>
      <c r="J100" t="s">
        <v>45</v>
      </c>
      <c r="K100">
        <v>8.8000000000000007</v>
      </c>
      <c r="L100">
        <v>7.8</v>
      </c>
      <c r="M100">
        <v>0.88636363636363624</v>
      </c>
      <c r="N100">
        <v>0.88636363636363624</v>
      </c>
      <c r="O100" t="s">
        <v>245</v>
      </c>
      <c r="P100" t="s">
        <v>245</v>
      </c>
      <c r="Q100" t="s">
        <v>321</v>
      </c>
      <c r="R100">
        <v>1</v>
      </c>
      <c r="S100">
        <v>1</v>
      </c>
      <c r="T100" t="s">
        <v>443</v>
      </c>
    </row>
    <row r="101" spans="1:20" hidden="1" x14ac:dyDescent="0.3">
      <c r="A101">
        <v>423</v>
      </c>
      <c r="B101" t="s">
        <v>320</v>
      </c>
      <c r="C101" t="s">
        <v>37</v>
      </c>
      <c r="D101" t="s">
        <v>83</v>
      </c>
      <c r="E101" t="s">
        <v>66</v>
      </c>
      <c r="F101" t="s">
        <v>32</v>
      </c>
      <c r="G101" s="2">
        <v>45291</v>
      </c>
      <c r="H101">
        <v>2023</v>
      </c>
      <c r="I101" t="s">
        <v>44</v>
      </c>
      <c r="J101" t="s">
        <v>49</v>
      </c>
      <c r="K101">
        <v>8.4</v>
      </c>
      <c r="L101">
        <v>7.9</v>
      </c>
      <c r="M101">
        <v>0.94047619047619047</v>
      </c>
      <c r="N101">
        <v>0.94047619047619047</v>
      </c>
      <c r="O101" t="s">
        <v>245</v>
      </c>
      <c r="P101" t="s">
        <v>245</v>
      </c>
      <c r="Q101" t="s">
        <v>323</v>
      </c>
      <c r="R101">
        <v>1</v>
      </c>
      <c r="S101">
        <v>1</v>
      </c>
      <c r="T101" t="s">
        <v>443</v>
      </c>
    </row>
    <row r="102" spans="1:20" hidden="1" x14ac:dyDescent="0.3">
      <c r="A102">
        <v>423</v>
      </c>
      <c r="B102" t="s">
        <v>320</v>
      </c>
      <c r="C102" t="s">
        <v>37</v>
      </c>
      <c r="D102" t="s">
        <v>83</v>
      </c>
      <c r="E102" t="s">
        <v>66</v>
      </c>
      <c r="F102" t="s">
        <v>32</v>
      </c>
      <c r="G102" s="2">
        <v>45657</v>
      </c>
      <c r="H102">
        <v>2024</v>
      </c>
      <c r="I102" t="s">
        <v>44</v>
      </c>
      <c r="J102" t="s">
        <v>53</v>
      </c>
      <c r="K102">
        <v>8.3000000000000007</v>
      </c>
      <c r="L102">
        <v>12.3</v>
      </c>
      <c r="M102">
        <v>1.3</v>
      </c>
      <c r="N102">
        <v>1.481927710843373</v>
      </c>
      <c r="O102" t="s">
        <v>245</v>
      </c>
      <c r="P102" t="s">
        <v>245</v>
      </c>
      <c r="Q102" t="s">
        <v>324</v>
      </c>
      <c r="R102">
        <v>1</v>
      </c>
      <c r="S102">
        <v>1</v>
      </c>
      <c r="T102" t="s">
        <v>443</v>
      </c>
    </row>
    <row r="103" spans="1:20" hidden="1" x14ac:dyDescent="0.3">
      <c r="A103">
        <v>424</v>
      </c>
      <c r="B103" t="s">
        <v>325</v>
      </c>
      <c r="C103" t="s">
        <v>37</v>
      </c>
      <c r="D103" t="s">
        <v>83</v>
      </c>
      <c r="E103" t="s">
        <v>66</v>
      </c>
      <c r="F103" t="s">
        <v>32</v>
      </c>
      <c r="G103" s="2">
        <v>44926</v>
      </c>
      <c r="H103">
        <v>2022</v>
      </c>
      <c r="I103" t="s">
        <v>44</v>
      </c>
      <c r="J103" t="s">
        <v>45</v>
      </c>
      <c r="K103">
        <v>6.5</v>
      </c>
      <c r="L103">
        <v>5</v>
      </c>
      <c r="M103">
        <v>0.76923076923076927</v>
      </c>
      <c r="N103">
        <v>0.76923076923076927</v>
      </c>
      <c r="O103" t="s">
        <v>245</v>
      </c>
      <c r="P103" t="s">
        <v>35</v>
      </c>
      <c r="Q103" t="s">
        <v>326</v>
      </c>
      <c r="R103">
        <v>1</v>
      </c>
      <c r="S103">
        <v>0</v>
      </c>
      <c r="T103" t="s">
        <v>443</v>
      </c>
    </row>
    <row r="104" spans="1:20" hidden="1" x14ac:dyDescent="0.3">
      <c r="A104">
        <v>424</v>
      </c>
      <c r="B104" t="s">
        <v>325</v>
      </c>
      <c r="C104" t="s">
        <v>37</v>
      </c>
      <c r="D104" t="s">
        <v>83</v>
      </c>
      <c r="E104" t="s">
        <v>66</v>
      </c>
      <c r="F104" t="s">
        <v>32</v>
      </c>
      <c r="G104" s="2">
        <v>45291</v>
      </c>
      <c r="H104">
        <v>2023</v>
      </c>
      <c r="I104" t="s">
        <v>44</v>
      </c>
      <c r="J104" t="s">
        <v>49</v>
      </c>
      <c r="K104">
        <v>6</v>
      </c>
      <c r="L104">
        <v>6</v>
      </c>
      <c r="M104">
        <v>1</v>
      </c>
      <c r="N104">
        <v>1</v>
      </c>
      <c r="O104" t="s">
        <v>35</v>
      </c>
      <c r="P104" t="s">
        <v>35</v>
      </c>
      <c r="Q104" t="s">
        <v>327</v>
      </c>
      <c r="R104">
        <v>0</v>
      </c>
      <c r="S104">
        <v>0</v>
      </c>
      <c r="T104" t="s">
        <v>443</v>
      </c>
    </row>
    <row r="105" spans="1:20" hidden="1" x14ac:dyDescent="0.3">
      <c r="A105">
        <v>424</v>
      </c>
      <c r="B105" t="s">
        <v>325</v>
      </c>
      <c r="C105" t="s">
        <v>37</v>
      </c>
      <c r="D105" t="s">
        <v>83</v>
      </c>
      <c r="E105" t="s">
        <v>66</v>
      </c>
      <c r="F105" t="s">
        <v>32</v>
      </c>
      <c r="G105" s="2">
        <v>45657</v>
      </c>
      <c r="H105">
        <v>2024</v>
      </c>
      <c r="I105" t="s">
        <v>44</v>
      </c>
      <c r="J105" t="s">
        <v>53</v>
      </c>
      <c r="K105">
        <v>7</v>
      </c>
      <c r="L105">
        <v>9</v>
      </c>
      <c r="M105">
        <v>1.285714285714286</v>
      </c>
      <c r="N105">
        <v>1.285714285714286</v>
      </c>
      <c r="O105" t="s">
        <v>35</v>
      </c>
      <c r="P105" t="s">
        <v>35</v>
      </c>
      <c r="Q105" t="s">
        <v>328</v>
      </c>
      <c r="R105">
        <v>0</v>
      </c>
      <c r="S105">
        <v>0</v>
      </c>
      <c r="T105" t="s">
        <v>443</v>
      </c>
    </row>
    <row r="106" spans="1:20" hidden="1" x14ac:dyDescent="0.3">
      <c r="A106">
        <v>460</v>
      </c>
      <c r="B106" t="s">
        <v>329</v>
      </c>
      <c r="C106" t="s">
        <v>474</v>
      </c>
      <c r="D106" t="s">
        <v>130</v>
      </c>
      <c r="E106" t="s">
        <v>66</v>
      </c>
      <c r="F106" t="s">
        <v>32</v>
      </c>
      <c r="G106" s="2">
        <v>45657</v>
      </c>
      <c r="H106">
        <v>2024</v>
      </c>
      <c r="I106" t="s">
        <v>44</v>
      </c>
      <c r="J106" t="s">
        <v>53</v>
      </c>
      <c r="K106">
        <v>80</v>
      </c>
      <c r="L106">
        <v>91.44</v>
      </c>
      <c r="M106">
        <v>1.143</v>
      </c>
      <c r="N106">
        <v>1.143</v>
      </c>
      <c r="O106" t="s">
        <v>58</v>
      </c>
      <c r="P106" t="s">
        <v>58</v>
      </c>
      <c r="Q106" t="s">
        <v>330</v>
      </c>
      <c r="R106">
        <v>0</v>
      </c>
      <c r="S106">
        <v>1</v>
      </c>
      <c r="T106" t="s">
        <v>443</v>
      </c>
    </row>
    <row r="107" spans="1:20" hidden="1" x14ac:dyDescent="0.3">
      <c r="A107">
        <v>463</v>
      </c>
      <c r="B107" t="s">
        <v>332</v>
      </c>
      <c r="C107" t="s">
        <v>37</v>
      </c>
      <c r="D107" t="s">
        <v>130</v>
      </c>
      <c r="E107" t="s">
        <v>31</v>
      </c>
      <c r="F107" t="s">
        <v>32</v>
      </c>
      <c r="G107" s="2">
        <v>45657</v>
      </c>
      <c r="H107">
        <v>2024</v>
      </c>
      <c r="I107" t="s">
        <v>44</v>
      </c>
      <c r="J107" t="s">
        <v>53</v>
      </c>
      <c r="K107">
        <v>100</v>
      </c>
      <c r="L107">
        <v>100</v>
      </c>
      <c r="M107">
        <v>1</v>
      </c>
      <c r="N107">
        <v>1</v>
      </c>
      <c r="O107" t="s">
        <v>58</v>
      </c>
      <c r="P107" t="s">
        <v>58</v>
      </c>
      <c r="Q107" t="s">
        <v>335</v>
      </c>
      <c r="R107">
        <v>0</v>
      </c>
      <c r="S107">
        <v>0</v>
      </c>
      <c r="T107" t="s">
        <v>443</v>
      </c>
    </row>
    <row r="108" spans="1:20" hidden="1" x14ac:dyDescent="0.3">
      <c r="A108">
        <v>465</v>
      </c>
      <c r="B108" t="s">
        <v>336</v>
      </c>
      <c r="C108" t="s">
        <v>37</v>
      </c>
      <c r="D108" t="s">
        <v>260</v>
      </c>
      <c r="E108" t="s">
        <v>31</v>
      </c>
      <c r="F108" t="s">
        <v>32</v>
      </c>
      <c r="G108" s="2">
        <v>45657</v>
      </c>
      <c r="H108">
        <v>2024</v>
      </c>
      <c r="I108" t="s">
        <v>44</v>
      </c>
      <c r="J108" t="s">
        <v>53</v>
      </c>
      <c r="K108">
        <v>100</v>
      </c>
      <c r="L108">
        <v>56.83</v>
      </c>
      <c r="M108">
        <v>0.56830000000000003</v>
      </c>
      <c r="N108">
        <v>0.56830000000000003</v>
      </c>
      <c r="O108" t="s">
        <v>58</v>
      </c>
      <c r="P108" t="s">
        <v>58</v>
      </c>
      <c r="Q108" t="s">
        <v>340</v>
      </c>
      <c r="R108">
        <v>0</v>
      </c>
      <c r="S108">
        <v>0</v>
      </c>
      <c r="T108" t="s">
        <v>443</v>
      </c>
    </row>
    <row r="109" spans="1:20" hidden="1" x14ac:dyDescent="0.3">
      <c r="A109">
        <v>466</v>
      </c>
      <c r="B109" t="s">
        <v>341</v>
      </c>
      <c r="C109" t="s">
        <v>37</v>
      </c>
      <c r="D109" t="s">
        <v>30</v>
      </c>
      <c r="E109" t="s">
        <v>31</v>
      </c>
      <c r="F109" t="s">
        <v>32</v>
      </c>
      <c r="G109" s="2">
        <v>44926</v>
      </c>
      <c r="H109">
        <v>2022</v>
      </c>
      <c r="I109" t="s">
        <v>44</v>
      </c>
      <c r="J109" t="s">
        <v>45</v>
      </c>
      <c r="K109">
        <v>25</v>
      </c>
      <c r="L109">
        <v>43.56</v>
      </c>
      <c r="M109">
        <v>1.3</v>
      </c>
      <c r="N109">
        <v>1.7423999999999999</v>
      </c>
      <c r="O109" t="s">
        <v>35</v>
      </c>
      <c r="P109" t="s">
        <v>245</v>
      </c>
      <c r="Q109" t="s">
        <v>451</v>
      </c>
      <c r="R109">
        <v>1</v>
      </c>
      <c r="S109">
        <v>1</v>
      </c>
      <c r="T109" t="s">
        <v>443</v>
      </c>
    </row>
    <row r="110" spans="1:20" hidden="1" x14ac:dyDescent="0.3">
      <c r="A110">
        <v>466</v>
      </c>
      <c r="B110" t="s">
        <v>341</v>
      </c>
      <c r="C110" t="s">
        <v>37</v>
      </c>
      <c r="D110" t="s">
        <v>30</v>
      </c>
      <c r="E110" t="s">
        <v>31</v>
      </c>
      <c r="F110" t="s">
        <v>32</v>
      </c>
      <c r="G110" s="2">
        <v>45291</v>
      </c>
      <c r="H110">
        <v>2023</v>
      </c>
      <c r="I110" t="s">
        <v>44</v>
      </c>
      <c r="J110" t="s">
        <v>49</v>
      </c>
      <c r="K110">
        <v>42</v>
      </c>
      <c r="L110">
        <v>53.34</v>
      </c>
      <c r="M110">
        <v>1.27</v>
      </c>
      <c r="N110">
        <v>1.27</v>
      </c>
      <c r="O110" t="s">
        <v>35</v>
      </c>
      <c r="P110" t="s">
        <v>245</v>
      </c>
      <c r="Q110" t="s">
        <v>452</v>
      </c>
      <c r="R110">
        <v>1</v>
      </c>
      <c r="S110">
        <v>1</v>
      </c>
      <c r="T110" t="s">
        <v>443</v>
      </c>
    </row>
    <row r="111" spans="1:20" hidden="1" x14ac:dyDescent="0.3">
      <c r="A111">
        <v>466</v>
      </c>
      <c r="B111" t="s">
        <v>341</v>
      </c>
      <c r="C111" t="s">
        <v>37</v>
      </c>
      <c r="D111" t="s">
        <v>30</v>
      </c>
      <c r="E111" t="s">
        <v>31</v>
      </c>
      <c r="F111" t="s">
        <v>32</v>
      </c>
      <c r="G111" s="2">
        <v>45657</v>
      </c>
      <c r="H111">
        <v>2024</v>
      </c>
      <c r="I111" t="s">
        <v>44</v>
      </c>
      <c r="J111" t="s">
        <v>53</v>
      </c>
      <c r="K111">
        <v>50</v>
      </c>
      <c r="L111">
        <v>53.8</v>
      </c>
      <c r="M111">
        <v>1.0760000000000001</v>
      </c>
      <c r="N111">
        <v>1.0760000000000001</v>
      </c>
      <c r="O111" t="s">
        <v>35</v>
      </c>
      <c r="P111" t="s">
        <v>245</v>
      </c>
      <c r="Q111" t="s">
        <v>344</v>
      </c>
      <c r="R111">
        <v>1</v>
      </c>
      <c r="S111">
        <v>1</v>
      </c>
      <c r="T111" t="s">
        <v>443</v>
      </c>
    </row>
    <row r="112" spans="1:20" hidden="1" x14ac:dyDescent="0.3">
      <c r="A112">
        <v>472</v>
      </c>
      <c r="B112" t="s">
        <v>345</v>
      </c>
      <c r="C112" t="s">
        <v>37</v>
      </c>
      <c r="D112" t="s">
        <v>260</v>
      </c>
      <c r="E112" t="s">
        <v>31</v>
      </c>
      <c r="F112" t="s">
        <v>32</v>
      </c>
      <c r="G112" s="2">
        <v>45657</v>
      </c>
      <c r="H112">
        <v>2024</v>
      </c>
      <c r="I112" t="s">
        <v>44</v>
      </c>
      <c r="J112" t="s">
        <v>53</v>
      </c>
      <c r="K112">
        <v>100</v>
      </c>
      <c r="L112">
        <v>100</v>
      </c>
      <c r="M112">
        <v>1</v>
      </c>
      <c r="N112">
        <v>1</v>
      </c>
      <c r="O112" t="s">
        <v>58</v>
      </c>
      <c r="P112" t="s">
        <v>58</v>
      </c>
      <c r="Q112" t="s">
        <v>347</v>
      </c>
      <c r="R112">
        <v>0</v>
      </c>
      <c r="S112">
        <v>0</v>
      </c>
      <c r="T112" t="s">
        <v>443</v>
      </c>
    </row>
    <row r="113" spans="1:20" hidden="1" x14ac:dyDescent="0.3">
      <c r="A113">
        <v>476</v>
      </c>
      <c r="B113" t="s">
        <v>348</v>
      </c>
      <c r="C113" t="s">
        <v>37</v>
      </c>
      <c r="D113" t="s">
        <v>349</v>
      </c>
      <c r="E113" t="s">
        <v>31</v>
      </c>
      <c r="F113" t="s">
        <v>32</v>
      </c>
      <c r="G113" s="2">
        <v>45657</v>
      </c>
      <c r="H113">
        <v>2024</v>
      </c>
      <c r="I113" t="s">
        <v>44</v>
      </c>
      <c r="J113" t="s">
        <v>53</v>
      </c>
      <c r="K113">
        <v>30</v>
      </c>
      <c r="L113">
        <v>30</v>
      </c>
      <c r="M113">
        <v>1</v>
      </c>
      <c r="N113">
        <v>1</v>
      </c>
      <c r="O113" t="s">
        <v>35</v>
      </c>
      <c r="P113" t="s">
        <v>35</v>
      </c>
      <c r="Q113" t="s">
        <v>352</v>
      </c>
      <c r="R113">
        <v>0</v>
      </c>
      <c r="S113">
        <v>0</v>
      </c>
      <c r="T113" t="s">
        <v>443</v>
      </c>
    </row>
    <row r="114" spans="1:20" hidden="1" x14ac:dyDescent="0.3">
      <c r="A114">
        <v>109</v>
      </c>
      <c r="B114" t="s">
        <v>469</v>
      </c>
      <c r="C114" t="s">
        <v>474</v>
      </c>
      <c r="D114" t="s">
        <v>99</v>
      </c>
      <c r="E114" t="s">
        <v>66</v>
      </c>
      <c r="F114" t="s">
        <v>32</v>
      </c>
      <c r="G114" s="2">
        <v>45291</v>
      </c>
      <c r="H114">
        <v>2023</v>
      </c>
      <c r="I114" t="s">
        <v>44</v>
      </c>
      <c r="J114" t="s">
        <v>49</v>
      </c>
      <c r="K114">
        <v>80</v>
      </c>
      <c r="L114">
        <v>87.392767703668298</v>
      </c>
      <c r="M114">
        <v>1.092409596295854</v>
      </c>
      <c r="N114">
        <v>1.092409596295854</v>
      </c>
      <c r="O114" t="s">
        <v>58</v>
      </c>
      <c r="P114" t="s">
        <v>58</v>
      </c>
      <c r="Q114" t="s">
        <v>98</v>
      </c>
      <c r="R114">
        <v>0</v>
      </c>
      <c r="S114">
        <v>0</v>
      </c>
      <c r="T114" t="s">
        <v>443</v>
      </c>
    </row>
    <row r="115" spans="1:20" hidden="1" x14ac:dyDescent="0.3">
      <c r="A115">
        <v>14.1</v>
      </c>
      <c r="B115" t="s">
        <v>353</v>
      </c>
      <c r="C115" t="s">
        <v>37</v>
      </c>
      <c r="D115" t="s">
        <v>186</v>
      </c>
      <c r="E115" t="s">
        <v>31</v>
      </c>
      <c r="F115" t="s">
        <v>32</v>
      </c>
      <c r="G115" s="2">
        <v>44926</v>
      </c>
      <c r="H115">
        <v>2022</v>
      </c>
      <c r="I115" t="s">
        <v>44</v>
      </c>
      <c r="J115" t="s">
        <v>45</v>
      </c>
      <c r="K115">
        <v>14271</v>
      </c>
      <c r="L115">
        <v>15190</v>
      </c>
      <c r="M115">
        <v>1.0643963282180651</v>
      </c>
      <c r="N115">
        <v>1.0643963282180651</v>
      </c>
      <c r="O115" t="s">
        <v>35</v>
      </c>
      <c r="P115" t="s">
        <v>35</v>
      </c>
      <c r="Q115" t="s">
        <v>355</v>
      </c>
      <c r="R115">
        <v>0</v>
      </c>
      <c r="S115">
        <v>0</v>
      </c>
      <c r="T115" t="s">
        <v>443</v>
      </c>
    </row>
    <row r="116" spans="1:20" hidden="1" x14ac:dyDescent="0.3">
      <c r="A116">
        <v>14.1</v>
      </c>
      <c r="B116" t="s">
        <v>353</v>
      </c>
      <c r="C116" t="s">
        <v>37</v>
      </c>
      <c r="D116" t="s">
        <v>186</v>
      </c>
      <c r="E116" t="s">
        <v>31</v>
      </c>
      <c r="F116" t="s">
        <v>32</v>
      </c>
      <c r="G116" s="2">
        <v>45291</v>
      </c>
      <c r="H116">
        <v>2023</v>
      </c>
      <c r="I116" t="s">
        <v>44</v>
      </c>
      <c r="J116" t="s">
        <v>49</v>
      </c>
      <c r="K116">
        <v>15442</v>
      </c>
      <c r="L116">
        <v>15978</v>
      </c>
      <c r="M116">
        <v>1.034710529724129</v>
      </c>
      <c r="N116">
        <v>1.034710529724129</v>
      </c>
      <c r="O116" t="s">
        <v>35</v>
      </c>
      <c r="P116" t="s">
        <v>35</v>
      </c>
      <c r="Q116" t="s">
        <v>357</v>
      </c>
      <c r="R116">
        <v>0</v>
      </c>
      <c r="S116">
        <v>0</v>
      </c>
      <c r="T116" t="s">
        <v>443</v>
      </c>
    </row>
    <row r="117" spans="1:20" hidden="1" x14ac:dyDescent="0.3">
      <c r="A117">
        <v>14.1</v>
      </c>
      <c r="B117" t="s">
        <v>353</v>
      </c>
      <c r="C117" t="s">
        <v>37</v>
      </c>
      <c r="D117" t="s">
        <v>186</v>
      </c>
      <c r="E117" t="s">
        <v>31</v>
      </c>
      <c r="F117" t="s">
        <v>32</v>
      </c>
      <c r="G117" s="2">
        <v>45657</v>
      </c>
      <c r="H117">
        <v>2024</v>
      </c>
      <c r="I117" t="s">
        <v>44</v>
      </c>
      <c r="J117" t="s">
        <v>53</v>
      </c>
      <c r="K117">
        <v>16080</v>
      </c>
      <c r="L117">
        <v>16589</v>
      </c>
      <c r="M117">
        <v>1.0316542288557209</v>
      </c>
      <c r="N117">
        <v>1.0316542288557209</v>
      </c>
      <c r="O117" t="s">
        <v>35</v>
      </c>
      <c r="P117" t="s">
        <v>35</v>
      </c>
      <c r="Q117" t="s">
        <v>399</v>
      </c>
      <c r="R117">
        <v>0</v>
      </c>
      <c r="S117">
        <v>0</v>
      </c>
      <c r="T117" t="s">
        <v>443</v>
      </c>
    </row>
    <row r="118" spans="1:20" hidden="1" x14ac:dyDescent="0.3">
      <c r="A118">
        <v>14.2</v>
      </c>
      <c r="B118" t="s">
        <v>359</v>
      </c>
      <c r="C118" t="s">
        <v>37</v>
      </c>
      <c r="D118" t="s">
        <v>30</v>
      </c>
      <c r="E118" t="s">
        <v>31</v>
      </c>
      <c r="F118" t="s">
        <v>32</v>
      </c>
      <c r="G118" s="2">
        <v>44926</v>
      </c>
      <c r="H118">
        <v>2022</v>
      </c>
      <c r="I118" t="s">
        <v>44</v>
      </c>
      <c r="J118" t="s">
        <v>45</v>
      </c>
      <c r="K118">
        <v>85163</v>
      </c>
      <c r="L118">
        <v>86058</v>
      </c>
      <c r="M118">
        <v>1.010509258715639</v>
      </c>
      <c r="N118">
        <v>1.010509258715639</v>
      </c>
      <c r="O118" t="s">
        <v>35</v>
      </c>
      <c r="P118" t="s">
        <v>35</v>
      </c>
      <c r="Q118" t="s">
        <v>361</v>
      </c>
      <c r="R118">
        <v>0</v>
      </c>
      <c r="S118">
        <v>0</v>
      </c>
      <c r="T118" t="s">
        <v>443</v>
      </c>
    </row>
    <row r="119" spans="1:20" hidden="1" x14ac:dyDescent="0.3">
      <c r="A119">
        <v>14.2</v>
      </c>
      <c r="B119" t="s">
        <v>359</v>
      </c>
      <c r="C119" t="s">
        <v>37</v>
      </c>
      <c r="D119" t="s">
        <v>186</v>
      </c>
      <c r="E119" t="s">
        <v>31</v>
      </c>
      <c r="F119" t="s">
        <v>32</v>
      </c>
      <c r="G119" s="2">
        <v>45291</v>
      </c>
      <c r="H119">
        <v>2023</v>
      </c>
      <c r="I119" t="s">
        <v>44</v>
      </c>
      <c r="J119" t="s">
        <v>49</v>
      </c>
      <c r="K119">
        <v>88422</v>
      </c>
      <c r="L119">
        <v>86869</v>
      </c>
      <c r="M119">
        <v>0.98243649770419128</v>
      </c>
      <c r="N119">
        <v>0.98243649770419128</v>
      </c>
      <c r="O119" t="s">
        <v>35</v>
      </c>
      <c r="P119" t="s">
        <v>35</v>
      </c>
      <c r="Q119" t="s">
        <v>363</v>
      </c>
      <c r="R119">
        <v>0</v>
      </c>
      <c r="S119">
        <v>0</v>
      </c>
      <c r="T119" t="s">
        <v>443</v>
      </c>
    </row>
    <row r="120" spans="1:20" hidden="1" x14ac:dyDescent="0.3">
      <c r="A120">
        <v>14.2</v>
      </c>
      <c r="B120" t="s">
        <v>359</v>
      </c>
      <c r="C120" t="s">
        <v>37</v>
      </c>
      <c r="D120" t="s">
        <v>186</v>
      </c>
      <c r="E120" t="s">
        <v>31</v>
      </c>
      <c r="F120" t="s">
        <v>32</v>
      </c>
      <c r="G120" s="2">
        <v>45657</v>
      </c>
      <c r="H120">
        <v>2024</v>
      </c>
      <c r="I120" t="s">
        <v>44</v>
      </c>
      <c r="J120" t="s">
        <v>53</v>
      </c>
      <c r="K120">
        <v>87439</v>
      </c>
      <c r="L120">
        <v>88001</v>
      </c>
      <c r="M120">
        <v>1.006427337915575</v>
      </c>
      <c r="N120">
        <v>1.006427337915575</v>
      </c>
      <c r="O120" t="s">
        <v>35</v>
      </c>
      <c r="P120" t="s">
        <v>35</v>
      </c>
      <c r="Q120" t="s">
        <v>400</v>
      </c>
      <c r="R120">
        <v>0</v>
      </c>
      <c r="S120">
        <v>0</v>
      </c>
      <c r="T120" t="s">
        <v>443</v>
      </c>
    </row>
    <row r="121" spans="1:20" hidden="1" x14ac:dyDescent="0.3">
      <c r="A121">
        <v>14.3</v>
      </c>
      <c r="B121" t="s">
        <v>365</v>
      </c>
      <c r="C121" t="s">
        <v>37</v>
      </c>
      <c r="D121" t="s">
        <v>186</v>
      </c>
      <c r="E121" t="s">
        <v>31</v>
      </c>
      <c r="F121" t="s">
        <v>32</v>
      </c>
      <c r="G121" s="2">
        <v>44926</v>
      </c>
      <c r="H121">
        <v>2022</v>
      </c>
      <c r="I121" t="s">
        <v>44</v>
      </c>
      <c r="J121" t="s">
        <v>45</v>
      </c>
      <c r="K121">
        <v>94696</v>
      </c>
      <c r="L121">
        <v>96245</v>
      </c>
      <c r="M121">
        <v>1.016357607501901</v>
      </c>
      <c r="N121">
        <v>1.016357607501901</v>
      </c>
      <c r="O121" t="s">
        <v>35</v>
      </c>
      <c r="P121" t="s">
        <v>35</v>
      </c>
      <c r="Q121" t="s">
        <v>367</v>
      </c>
      <c r="R121">
        <v>0</v>
      </c>
      <c r="S121">
        <v>0</v>
      </c>
      <c r="T121" t="s">
        <v>443</v>
      </c>
    </row>
    <row r="122" spans="1:20" hidden="1" x14ac:dyDescent="0.3">
      <c r="A122">
        <v>14.3</v>
      </c>
      <c r="B122" t="s">
        <v>365</v>
      </c>
      <c r="C122" t="s">
        <v>37</v>
      </c>
      <c r="D122" t="s">
        <v>186</v>
      </c>
      <c r="E122" t="s">
        <v>31</v>
      </c>
      <c r="F122" t="s">
        <v>32</v>
      </c>
      <c r="G122" s="2">
        <v>45291</v>
      </c>
      <c r="H122">
        <v>2023</v>
      </c>
      <c r="I122" t="s">
        <v>44</v>
      </c>
      <c r="J122" t="s">
        <v>49</v>
      </c>
      <c r="K122">
        <v>98342</v>
      </c>
      <c r="L122">
        <v>96530</v>
      </c>
      <c r="M122">
        <v>0.98157450529783818</v>
      </c>
      <c r="N122">
        <v>0.98157450529783818</v>
      </c>
      <c r="O122" t="s">
        <v>35</v>
      </c>
      <c r="P122" t="s">
        <v>35</v>
      </c>
      <c r="Q122" t="s">
        <v>369</v>
      </c>
      <c r="R122">
        <v>0</v>
      </c>
      <c r="S122">
        <v>0</v>
      </c>
      <c r="T122" t="s">
        <v>443</v>
      </c>
    </row>
    <row r="123" spans="1:20" hidden="1" x14ac:dyDescent="0.3">
      <c r="A123">
        <v>14.3</v>
      </c>
      <c r="B123" t="s">
        <v>365</v>
      </c>
      <c r="C123" t="s">
        <v>37</v>
      </c>
      <c r="D123" t="s">
        <v>186</v>
      </c>
      <c r="E123" t="s">
        <v>31</v>
      </c>
      <c r="F123" t="s">
        <v>32</v>
      </c>
      <c r="G123" s="2">
        <v>45657</v>
      </c>
      <c r="H123">
        <v>2024</v>
      </c>
      <c r="I123" t="s">
        <v>44</v>
      </c>
      <c r="J123" t="s">
        <v>53</v>
      </c>
      <c r="K123">
        <v>97371</v>
      </c>
      <c r="L123">
        <v>97439</v>
      </c>
      <c r="M123">
        <v>1.0006983598812791</v>
      </c>
      <c r="N123">
        <v>1.0006983598812791</v>
      </c>
      <c r="O123" t="s">
        <v>35</v>
      </c>
      <c r="P123" t="s">
        <v>35</v>
      </c>
      <c r="Q123" t="s">
        <v>401</v>
      </c>
      <c r="R123">
        <v>0</v>
      </c>
      <c r="S123">
        <v>0</v>
      </c>
      <c r="T123" t="s">
        <v>443</v>
      </c>
    </row>
    <row r="124" spans="1:20" hidden="1" x14ac:dyDescent="0.3">
      <c r="A124">
        <v>14.4</v>
      </c>
      <c r="B124" t="s">
        <v>371</v>
      </c>
      <c r="C124" t="s">
        <v>37</v>
      </c>
      <c r="D124" t="s">
        <v>186</v>
      </c>
      <c r="E124" t="s">
        <v>31</v>
      </c>
      <c r="F124" t="s">
        <v>32</v>
      </c>
      <c r="G124" s="2">
        <v>44925</v>
      </c>
      <c r="H124">
        <v>2022</v>
      </c>
      <c r="I124" t="s">
        <v>44</v>
      </c>
      <c r="J124" t="s">
        <v>45</v>
      </c>
      <c r="K124">
        <v>4638</v>
      </c>
      <c r="L124">
        <v>5008</v>
      </c>
      <c r="M124">
        <v>1.079775765416128</v>
      </c>
      <c r="N124">
        <v>1.079775765416128</v>
      </c>
      <c r="O124" t="s">
        <v>35</v>
      </c>
      <c r="P124" t="s">
        <v>35</v>
      </c>
      <c r="Q124" t="s">
        <v>373</v>
      </c>
      <c r="R124">
        <v>0</v>
      </c>
      <c r="S124">
        <v>0</v>
      </c>
      <c r="T124" t="s">
        <v>443</v>
      </c>
    </row>
    <row r="125" spans="1:20" hidden="1" x14ac:dyDescent="0.3">
      <c r="A125">
        <v>14.4</v>
      </c>
      <c r="B125" t="s">
        <v>371</v>
      </c>
      <c r="C125" t="s">
        <v>37</v>
      </c>
      <c r="D125" t="s">
        <v>186</v>
      </c>
      <c r="E125" t="s">
        <v>31</v>
      </c>
      <c r="F125" t="s">
        <v>32</v>
      </c>
      <c r="G125" s="2">
        <v>45291</v>
      </c>
      <c r="H125">
        <v>2023</v>
      </c>
      <c r="I125" t="s">
        <v>44</v>
      </c>
      <c r="J125" t="s">
        <v>49</v>
      </c>
      <c r="K125">
        <v>5522</v>
      </c>
      <c r="L125">
        <v>6318</v>
      </c>
      <c r="M125">
        <v>1.144150670047084</v>
      </c>
      <c r="N125">
        <v>1.144150670047084</v>
      </c>
      <c r="O125" t="s">
        <v>35</v>
      </c>
      <c r="P125" t="s">
        <v>35</v>
      </c>
      <c r="Q125" t="s">
        <v>375</v>
      </c>
      <c r="R125">
        <v>0</v>
      </c>
      <c r="S125">
        <v>0</v>
      </c>
      <c r="T125" t="s">
        <v>443</v>
      </c>
    </row>
    <row r="126" spans="1:20" hidden="1" x14ac:dyDescent="0.3">
      <c r="A126">
        <v>14.4</v>
      </c>
      <c r="B126" t="s">
        <v>371</v>
      </c>
      <c r="C126" t="s">
        <v>37</v>
      </c>
      <c r="D126" t="s">
        <v>186</v>
      </c>
      <c r="E126" t="s">
        <v>31</v>
      </c>
      <c r="F126" t="s">
        <v>32</v>
      </c>
      <c r="G126" s="2">
        <v>45657</v>
      </c>
      <c r="H126">
        <v>2024</v>
      </c>
      <c r="I126" t="s">
        <v>44</v>
      </c>
      <c r="J126" t="s">
        <v>53</v>
      </c>
      <c r="K126">
        <v>6148</v>
      </c>
      <c r="L126">
        <v>7151</v>
      </c>
      <c r="M126">
        <v>1.163142485361093</v>
      </c>
      <c r="N126">
        <v>1.163142485361093</v>
      </c>
      <c r="O126" t="s">
        <v>35</v>
      </c>
      <c r="P126" t="s">
        <v>35</v>
      </c>
      <c r="Q126" t="s">
        <v>402</v>
      </c>
      <c r="R126">
        <v>0</v>
      </c>
      <c r="S126">
        <v>0</v>
      </c>
      <c r="T126" t="s">
        <v>443</v>
      </c>
    </row>
    <row r="127" spans="1:20" hidden="1" x14ac:dyDescent="0.3">
      <c r="A127">
        <v>386.1</v>
      </c>
      <c r="B127" t="s">
        <v>471</v>
      </c>
      <c r="C127" t="s">
        <v>37</v>
      </c>
      <c r="D127" t="s">
        <v>310</v>
      </c>
      <c r="E127" t="s">
        <v>31</v>
      </c>
      <c r="F127" t="s">
        <v>32</v>
      </c>
      <c r="G127" s="2">
        <v>45291</v>
      </c>
      <c r="H127">
        <v>2023</v>
      </c>
      <c r="I127" t="s">
        <v>44</v>
      </c>
      <c r="J127" t="s">
        <v>49</v>
      </c>
      <c r="K127">
        <v>1357.778</v>
      </c>
      <c r="L127">
        <v>3779.9283479999999</v>
      </c>
      <c r="M127">
        <v>1.3</v>
      </c>
      <c r="N127">
        <v>2.7839074929774972</v>
      </c>
      <c r="O127" t="s">
        <v>143</v>
      </c>
      <c r="P127" t="s">
        <v>143</v>
      </c>
      <c r="Q127" t="s">
        <v>379</v>
      </c>
      <c r="R127">
        <v>0</v>
      </c>
      <c r="S127">
        <v>0</v>
      </c>
      <c r="T127" t="s">
        <v>443</v>
      </c>
    </row>
    <row r="128" spans="1:20" hidden="1" x14ac:dyDescent="0.3">
      <c r="A128">
        <v>386.1</v>
      </c>
      <c r="B128" t="s">
        <v>471</v>
      </c>
      <c r="C128" t="s">
        <v>37</v>
      </c>
      <c r="D128" t="s">
        <v>310</v>
      </c>
      <c r="E128" t="s">
        <v>31</v>
      </c>
      <c r="F128" t="s">
        <v>32</v>
      </c>
      <c r="G128" s="2">
        <v>45657</v>
      </c>
      <c r="H128">
        <v>2024</v>
      </c>
      <c r="I128" t="s">
        <v>44</v>
      </c>
      <c r="J128" t="s">
        <v>53</v>
      </c>
      <c r="K128">
        <v>3424.207396199999</v>
      </c>
      <c r="L128">
        <v>4694.2130900000002</v>
      </c>
      <c r="M128">
        <v>1.3</v>
      </c>
      <c r="N128">
        <v>1.3708904125402519</v>
      </c>
      <c r="O128" t="s">
        <v>143</v>
      </c>
      <c r="P128" t="s">
        <v>143</v>
      </c>
      <c r="Q128" t="s">
        <v>381</v>
      </c>
      <c r="R128">
        <v>0</v>
      </c>
      <c r="S128">
        <v>0</v>
      </c>
      <c r="T128" t="s">
        <v>443</v>
      </c>
    </row>
    <row r="129" spans="1:20" hidden="1" x14ac:dyDescent="0.3">
      <c r="A129">
        <v>386.2</v>
      </c>
      <c r="B129" t="s">
        <v>472</v>
      </c>
      <c r="C129" t="s">
        <v>37</v>
      </c>
      <c r="D129" t="s">
        <v>310</v>
      </c>
      <c r="E129" t="s">
        <v>31</v>
      </c>
      <c r="F129" t="s">
        <v>32</v>
      </c>
      <c r="G129" s="2">
        <v>45291</v>
      </c>
      <c r="H129">
        <v>2023</v>
      </c>
      <c r="I129" t="s">
        <v>44</v>
      </c>
      <c r="J129" t="s">
        <v>49</v>
      </c>
      <c r="K129">
        <v>7082.0029999999988</v>
      </c>
      <c r="L129">
        <v>9868.4183169999997</v>
      </c>
      <c r="M129">
        <v>1.3</v>
      </c>
      <c r="N129">
        <v>1.393450174618678</v>
      </c>
      <c r="O129" t="s">
        <v>143</v>
      </c>
      <c r="P129" t="s">
        <v>143</v>
      </c>
      <c r="Q129" t="s">
        <v>384</v>
      </c>
      <c r="R129">
        <v>0</v>
      </c>
      <c r="S129">
        <v>0</v>
      </c>
      <c r="T129" t="s">
        <v>443</v>
      </c>
    </row>
    <row r="130" spans="1:20" hidden="1" x14ac:dyDescent="0.3">
      <c r="A130">
        <v>386.2</v>
      </c>
      <c r="B130" t="s">
        <v>472</v>
      </c>
      <c r="C130" t="s">
        <v>37</v>
      </c>
      <c r="D130" t="s">
        <v>310</v>
      </c>
      <c r="E130" t="s">
        <v>31</v>
      </c>
      <c r="F130" t="s">
        <v>32</v>
      </c>
      <c r="G130" s="2">
        <v>45657</v>
      </c>
      <c r="H130">
        <v>2024</v>
      </c>
      <c r="I130" t="s">
        <v>44</v>
      </c>
      <c r="J130" t="s">
        <v>53</v>
      </c>
      <c r="K130">
        <v>7711.1257611000001</v>
      </c>
      <c r="L130">
        <v>4170.686009</v>
      </c>
      <c r="M130">
        <v>0.54086603411912804</v>
      </c>
      <c r="N130">
        <v>0.54086603411912804</v>
      </c>
      <c r="O130" t="s">
        <v>143</v>
      </c>
      <c r="P130" t="s">
        <v>143</v>
      </c>
      <c r="Q130" t="s">
        <v>386</v>
      </c>
      <c r="R130">
        <v>0</v>
      </c>
      <c r="S130">
        <v>0</v>
      </c>
      <c r="T130" t="s">
        <v>443</v>
      </c>
    </row>
    <row r="131" spans="1:20" hidden="1" x14ac:dyDescent="0.3">
      <c r="A131">
        <v>386.3</v>
      </c>
      <c r="B131" t="s">
        <v>387</v>
      </c>
      <c r="C131" t="s">
        <v>37</v>
      </c>
      <c r="D131" t="s">
        <v>310</v>
      </c>
      <c r="E131" t="s">
        <v>31</v>
      </c>
      <c r="F131" t="s">
        <v>32</v>
      </c>
      <c r="G131" s="2">
        <v>45291</v>
      </c>
      <c r="H131">
        <v>2023</v>
      </c>
      <c r="I131" t="s">
        <v>44</v>
      </c>
      <c r="J131" t="s">
        <v>49</v>
      </c>
      <c r="K131">
        <v>5657.94</v>
      </c>
      <c r="L131">
        <v>4048.733862</v>
      </c>
      <c r="M131">
        <v>0.71558444628256934</v>
      </c>
      <c r="N131">
        <v>0.71558444628256934</v>
      </c>
      <c r="O131" t="s">
        <v>143</v>
      </c>
      <c r="P131" t="s">
        <v>143</v>
      </c>
      <c r="Q131" t="s">
        <v>389</v>
      </c>
      <c r="R131">
        <v>0</v>
      </c>
      <c r="S131">
        <v>0</v>
      </c>
      <c r="T131" t="s">
        <v>443</v>
      </c>
    </row>
    <row r="132" spans="1:20" hidden="1" x14ac:dyDescent="0.3">
      <c r="A132">
        <v>386.3</v>
      </c>
      <c r="B132" t="s">
        <v>387</v>
      </c>
      <c r="C132" t="s">
        <v>37</v>
      </c>
      <c r="D132" t="s">
        <v>310</v>
      </c>
      <c r="E132" t="s">
        <v>31</v>
      </c>
      <c r="F132" t="s">
        <v>32</v>
      </c>
      <c r="G132" s="2">
        <v>45657</v>
      </c>
      <c r="H132">
        <v>2024</v>
      </c>
      <c r="I132" t="s">
        <v>44</v>
      </c>
      <c r="J132" t="s">
        <v>53</v>
      </c>
      <c r="K132">
        <v>4372.1599426999992</v>
      </c>
      <c r="L132">
        <v>4378.2397499999997</v>
      </c>
      <c r="M132">
        <v>1.0013905729387029</v>
      </c>
      <c r="N132">
        <v>1.0013905729387029</v>
      </c>
      <c r="O132" t="s">
        <v>143</v>
      </c>
      <c r="P132" t="s">
        <v>143</v>
      </c>
      <c r="Q132" t="s">
        <v>391</v>
      </c>
      <c r="R132">
        <v>0</v>
      </c>
      <c r="S132">
        <v>0</v>
      </c>
      <c r="T132" t="s">
        <v>443</v>
      </c>
    </row>
    <row r="133" spans="1:20" hidden="1" x14ac:dyDescent="0.3">
      <c r="A133">
        <v>228</v>
      </c>
      <c r="B133" t="s">
        <v>176</v>
      </c>
      <c r="C133" t="s">
        <v>474</v>
      </c>
      <c r="D133" t="s">
        <v>177</v>
      </c>
      <c r="E133" t="s">
        <v>66</v>
      </c>
      <c r="F133" t="s">
        <v>32</v>
      </c>
      <c r="G133" s="2">
        <v>45291</v>
      </c>
      <c r="H133">
        <v>2023</v>
      </c>
      <c r="I133" t="s">
        <v>44</v>
      </c>
      <c r="J133" t="s">
        <v>49</v>
      </c>
      <c r="K133">
        <v>622.69000000000005</v>
      </c>
      <c r="L133">
        <v>622.68999999999994</v>
      </c>
      <c r="M133">
        <v>0.99999999999999978</v>
      </c>
      <c r="N133">
        <v>0.99999999999999978</v>
      </c>
      <c r="O133" t="s">
        <v>445</v>
      </c>
      <c r="P133" t="s">
        <v>445</v>
      </c>
      <c r="Q133" t="s">
        <v>453</v>
      </c>
      <c r="R133">
        <v>1</v>
      </c>
      <c r="S133">
        <v>1</v>
      </c>
      <c r="T133" t="s">
        <v>443</v>
      </c>
    </row>
    <row r="134" spans="1:20" hidden="1" x14ac:dyDescent="0.3">
      <c r="A134">
        <v>476</v>
      </c>
      <c r="B134" t="s">
        <v>348</v>
      </c>
      <c r="C134" t="s">
        <v>37</v>
      </c>
      <c r="D134" t="s">
        <v>349</v>
      </c>
      <c r="E134" t="s">
        <v>31</v>
      </c>
      <c r="F134" t="s">
        <v>32</v>
      </c>
      <c r="G134" s="2">
        <v>45838</v>
      </c>
      <c r="H134">
        <v>2025</v>
      </c>
      <c r="I134" t="s">
        <v>33</v>
      </c>
      <c r="J134" t="s">
        <v>404</v>
      </c>
      <c r="K134">
        <v>6</v>
      </c>
      <c r="L134">
        <v>6</v>
      </c>
      <c r="M134">
        <v>1</v>
      </c>
      <c r="N134">
        <v>1</v>
      </c>
      <c r="O134" t="s">
        <v>35</v>
      </c>
      <c r="P134" t="s">
        <v>35</v>
      </c>
      <c r="Q134" t="s">
        <v>405</v>
      </c>
      <c r="R134">
        <v>0</v>
      </c>
      <c r="S134">
        <v>0</v>
      </c>
      <c r="T134" t="s">
        <v>443</v>
      </c>
    </row>
    <row r="135" spans="1:20" hidden="1" x14ac:dyDescent="0.3">
      <c r="A135">
        <v>460</v>
      </c>
      <c r="B135" t="s">
        <v>477</v>
      </c>
      <c r="C135" t="s">
        <v>474</v>
      </c>
      <c r="D135" t="s">
        <v>130</v>
      </c>
      <c r="E135" t="s">
        <v>66</v>
      </c>
      <c r="F135" t="s">
        <v>32</v>
      </c>
      <c r="G135" s="2">
        <v>45838</v>
      </c>
      <c r="H135">
        <v>2025</v>
      </c>
      <c r="I135" t="s">
        <v>33</v>
      </c>
      <c r="J135" t="s">
        <v>404</v>
      </c>
      <c r="K135">
        <v>80</v>
      </c>
      <c r="L135">
        <v>91.44</v>
      </c>
      <c r="M135">
        <v>1.143</v>
      </c>
      <c r="N135">
        <v>1.143</v>
      </c>
      <c r="O135" t="s">
        <v>58</v>
      </c>
      <c r="P135" t="s">
        <v>58</v>
      </c>
      <c r="Q135" t="s">
        <v>454</v>
      </c>
      <c r="R135">
        <v>0</v>
      </c>
      <c r="S135">
        <v>1</v>
      </c>
      <c r="T135" t="s">
        <v>443</v>
      </c>
    </row>
    <row r="136" spans="1:20" hidden="1" x14ac:dyDescent="0.3">
      <c r="A136">
        <v>148</v>
      </c>
      <c r="B136" t="s">
        <v>104</v>
      </c>
      <c r="C136" t="s">
        <v>474</v>
      </c>
      <c r="D136" t="s">
        <v>105</v>
      </c>
      <c r="E136" t="s">
        <v>31</v>
      </c>
      <c r="F136" t="s">
        <v>32</v>
      </c>
      <c r="G136" s="2">
        <v>45838</v>
      </c>
      <c r="H136">
        <v>2025</v>
      </c>
      <c r="I136" t="s">
        <v>33</v>
      </c>
      <c r="J136" t="s">
        <v>404</v>
      </c>
      <c r="K136">
        <v>4</v>
      </c>
      <c r="L136">
        <v>4.08</v>
      </c>
      <c r="M136">
        <v>1.02</v>
      </c>
      <c r="N136">
        <v>1.02</v>
      </c>
      <c r="O136" t="s">
        <v>58</v>
      </c>
      <c r="P136" t="s">
        <v>58</v>
      </c>
      <c r="Q136" t="s">
        <v>406</v>
      </c>
      <c r="R136">
        <v>0</v>
      </c>
      <c r="S136">
        <v>1</v>
      </c>
      <c r="T136" t="s">
        <v>443</v>
      </c>
    </row>
    <row r="137" spans="1:20" x14ac:dyDescent="0.3">
      <c r="A137">
        <v>339</v>
      </c>
      <c r="B137" t="s">
        <v>255</v>
      </c>
      <c r="C137" t="s">
        <v>37</v>
      </c>
      <c r="D137" t="s">
        <v>256</v>
      </c>
      <c r="E137" t="s">
        <v>66</v>
      </c>
      <c r="F137" t="s">
        <v>32</v>
      </c>
      <c r="G137" s="2">
        <v>45838</v>
      </c>
      <c r="H137">
        <v>2025</v>
      </c>
      <c r="I137" t="s">
        <v>33</v>
      </c>
      <c r="J137" t="s">
        <v>404</v>
      </c>
      <c r="K137">
        <v>30</v>
      </c>
      <c r="L137">
        <v>33.299999999999997</v>
      </c>
      <c r="M137">
        <v>1.1100000000000001</v>
      </c>
      <c r="N137">
        <v>1.1100000000000001</v>
      </c>
      <c r="O137" t="s">
        <v>58</v>
      </c>
      <c r="P137" t="s">
        <v>58</v>
      </c>
      <c r="Q137" t="s">
        <v>407</v>
      </c>
      <c r="R137">
        <v>0</v>
      </c>
      <c r="S137">
        <v>1</v>
      </c>
      <c r="T137" t="s">
        <v>443</v>
      </c>
    </row>
    <row r="138" spans="1:20" hidden="1" x14ac:dyDescent="0.3">
      <c r="A138">
        <v>325</v>
      </c>
      <c r="B138" t="s">
        <v>224</v>
      </c>
      <c r="C138" t="s">
        <v>37</v>
      </c>
      <c r="D138" t="s">
        <v>216</v>
      </c>
      <c r="E138" t="s">
        <v>31</v>
      </c>
      <c r="F138" t="s">
        <v>32</v>
      </c>
      <c r="G138" s="2">
        <v>45838</v>
      </c>
      <c r="H138">
        <v>2025</v>
      </c>
      <c r="I138" t="s">
        <v>33</v>
      </c>
      <c r="J138" t="s">
        <v>404</v>
      </c>
      <c r="K138">
        <v>8</v>
      </c>
      <c r="L138">
        <v>8</v>
      </c>
      <c r="M138">
        <v>1</v>
      </c>
      <c r="N138">
        <v>1</v>
      </c>
      <c r="O138" t="s">
        <v>35</v>
      </c>
      <c r="P138" t="s">
        <v>35</v>
      </c>
      <c r="Q138" t="s">
        <v>408</v>
      </c>
      <c r="R138">
        <v>0</v>
      </c>
      <c r="S138">
        <v>0</v>
      </c>
      <c r="T138" t="s">
        <v>443</v>
      </c>
    </row>
    <row r="139" spans="1:20" hidden="1" x14ac:dyDescent="0.3">
      <c r="A139">
        <v>323</v>
      </c>
      <c r="B139" t="s">
        <v>215</v>
      </c>
      <c r="C139" t="s">
        <v>37</v>
      </c>
      <c r="D139" t="s">
        <v>216</v>
      </c>
      <c r="E139" t="s">
        <v>31</v>
      </c>
      <c r="F139" t="s">
        <v>32</v>
      </c>
      <c r="G139" s="2">
        <v>45838</v>
      </c>
      <c r="H139">
        <v>2025</v>
      </c>
      <c r="I139" t="s">
        <v>33</v>
      </c>
      <c r="J139" t="s">
        <v>404</v>
      </c>
      <c r="K139">
        <v>1</v>
      </c>
      <c r="L139">
        <v>1</v>
      </c>
      <c r="M139">
        <v>1</v>
      </c>
      <c r="N139">
        <v>1</v>
      </c>
      <c r="O139" t="s">
        <v>35</v>
      </c>
      <c r="P139" t="s">
        <v>35</v>
      </c>
      <c r="Q139" t="s">
        <v>409</v>
      </c>
      <c r="R139">
        <v>0</v>
      </c>
      <c r="S139">
        <v>0</v>
      </c>
      <c r="T139" t="s">
        <v>443</v>
      </c>
    </row>
    <row r="140" spans="1:20" hidden="1" x14ac:dyDescent="0.3">
      <c r="A140">
        <v>276</v>
      </c>
      <c r="B140" t="s">
        <v>201</v>
      </c>
      <c r="C140" t="s">
        <v>37</v>
      </c>
      <c r="D140" t="s">
        <v>202</v>
      </c>
      <c r="E140" t="s">
        <v>31</v>
      </c>
      <c r="F140" t="s">
        <v>171</v>
      </c>
      <c r="G140" s="2">
        <v>45838</v>
      </c>
      <c r="H140">
        <v>2025</v>
      </c>
      <c r="I140" t="s">
        <v>33</v>
      </c>
      <c r="J140" t="s">
        <v>404</v>
      </c>
      <c r="K140">
        <v>81</v>
      </c>
      <c r="L140">
        <v>84.18</v>
      </c>
      <c r="M140">
        <v>0.96222380612972191</v>
      </c>
      <c r="N140">
        <v>0.96222380612972191</v>
      </c>
      <c r="O140" t="s">
        <v>35</v>
      </c>
      <c r="P140" t="s">
        <v>245</v>
      </c>
      <c r="Q140" t="s">
        <v>410</v>
      </c>
      <c r="R140">
        <v>0</v>
      </c>
      <c r="S140">
        <v>1</v>
      </c>
      <c r="T140" t="s">
        <v>443</v>
      </c>
    </row>
    <row r="141" spans="1:20" hidden="1" x14ac:dyDescent="0.3">
      <c r="A141">
        <v>14</v>
      </c>
      <c r="B141" t="s">
        <v>29</v>
      </c>
      <c r="C141" t="s">
        <v>37</v>
      </c>
      <c r="D141" t="s">
        <v>186</v>
      </c>
      <c r="E141" t="s">
        <v>31</v>
      </c>
      <c r="F141" t="s">
        <v>32</v>
      </c>
      <c r="G141" s="2">
        <v>45838</v>
      </c>
      <c r="H141">
        <v>2025</v>
      </c>
      <c r="I141" t="s">
        <v>33</v>
      </c>
      <c r="J141" t="s">
        <v>404</v>
      </c>
      <c r="K141">
        <v>53635</v>
      </c>
      <c r="L141">
        <v>56505</v>
      </c>
      <c r="M141">
        <v>1.053509834995805</v>
      </c>
      <c r="N141">
        <v>1.053509834995805</v>
      </c>
      <c r="O141" t="s">
        <v>35</v>
      </c>
      <c r="P141" t="s">
        <v>35</v>
      </c>
      <c r="Q141" t="s">
        <v>411</v>
      </c>
      <c r="R141">
        <v>0</v>
      </c>
      <c r="S141">
        <v>0</v>
      </c>
      <c r="T141" t="s">
        <v>443</v>
      </c>
    </row>
    <row r="142" spans="1:20" hidden="1" x14ac:dyDescent="0.3">
      <c r="A142">
        <v>379</v>
      </c>
      <c r="B142" t="s">
        <v>301</v>
      </c>
      <c r="C142" t="s">
        <v>37</v>
      </c>
      <c r="D142" t="s">
        <v>302</v>
      </c>
      <c r="E142" t="s">
        <v>31</v>
      </c>
      <c r="F142" t="s">
        <v>32</v>
      </c>
      <c r="G142" s="2">
        <v>45838</v>
      </c>
      <c r="H142">
        <v>2025</v>
      </c>
      <c r="I142" t="s">
        <v>33</v>
      </c>
      <c r="J142" t="s">
        <v>404</v>
      </c>
      <c r="K142">
        <v>13609</v>
      </c>
      <c r="L142">
        <v>14141</v>
      </c>
      <c r="M142">
        <v>1.039091777500184</v>
      </c>
      <c r="N142">
        <v>1.039091777500184</v>
      </c>
      <c r="O142" t="s">
        <v>35</v>
      </c>
      <c r="P142" t="s">
        <v>35</v>
      </c>
      <c r="Q142" t="s">
        <v>412</v>
      </c>
      <c r="R142">
        <v>0</v>
      </c>
      <c r="S142">
        <v>0</v>
      </c>
      <c r="T142" t="s">
        <v>443</v>
      </c>
    </row>
    <row r="143" spans="1:20" hidden="1" x14ac:dyDescent="0.3">
      <c r="A143">
        <v>274</v>
      </c>
      <c r="B143" t="s">
        <v>193</v>
      </c>
      <c r="C143" t="s">
        <v>37</v>
      </c>
      <c r="D143" t="s">
        <v>194</v>
      </c>
      <c r="E143" t="s">
        <v>31</v>
      </c>
      <c r="F143" t="s">
        <v>32</v>
      </c>
      <c r="G143" s="2">
        <v>45838</v>
      </c>
      <c r="H143">
        <v>2025</v>
      </c>
      <c r="I143" t="s">
        <v>33</v>
      </c>
      <c r="J143" t="s">
        <v>404</v>
      </c>
      <c r="K143">
        <v>40026</v>
      </c>
      <c r="L143">
        <v>42364</v>
      </c>
      <c r="M143">
        <v>1.058412032179084</v>
      </c>
      <c r="N143">
        <v>1.058412032179084</v>
      </c>
      <c r="O143" t="s">
        <v>35</v>
      </c>
      <c r="P143" t="s">
        <v>35</v>
      </c>
      <c r="Q143" t="s">
        <v>413</v>
      </c>
      <c r="R143">
        <v>0</v>
      </c>
      <c r="S143">
        <v>0</v>
      </c>
      <c r="T143" t="s">
        <v>443</v>
      </c>
    </row>
    <row r="144" spans="1:20" hidden="1" x14ac:dyDescent="0.3">
      <c r="A144">
        <v>14.1</v>
      </c>
      <c r="B144" t="s">
        <v>353</v>
      </c>
      <c r="C144" t="s">
        <v>37</v>
      </c>
      <c r="D144" t="s">
        <v>186</v>
      </c>
      <c r="E144" t="s">
        <v>31</v>
      </c>
      <c r="F144" t="s">
        <v>32</v>
      </c>
      <c r="G144" s="2">
        <v>45838</v>
      </c>
      <c r="H144">
        <v>2025</v>
      </c>
      <c r="I144" t="s">
        <v>33</v>
      </c>
      <c r="J144" t="s">
        <v>404</v>
      </c>
      <c r="K144">
        <v>8471</v>
      </c>
      <c r="L144">
        <v>8743</v>
      </c>
      <c r="M144">
        <v>1.0321095502301969</v>
      </c>
      <c r="N144">
        <v>1.0321095502301969</v>
      </c>
      <c r="O144" t="s">
        <v>35</v>
      </c>
      <c r="P144" t="s">
        <v>35</v>
      </c>
      <c r="Q144" t="s">
        <v>414</v>
      </c>
      <c r="R144">
        <v>0</v>
      </c>
      <c r="S144">
        <v>0</v>
      </c>
      <c r="T144" t="s">
        <v>443</v>
      </c>
    </row>
    <row r="145" spans="1:20" hidden="1" x14ac:dyDescent="0.3">
      <c r="A145">
        <v>14.2</v>
      </c>
      <c r="B145" t="s">
        <v>359</v>
      </c>
      <c r="C145" t="s">
        <v>37</v>
      </c>
      <c r="D145" t="s">
        <v>186</v>
      </c>
      <c r="E145" t="s">
        <v>31</v>
      </c>
      <c r="F145" t="s">
        <v>32</v>
      </c>
      <c r="G145" s="2">
        <v>45838</v>
      </c>
      <c r="H145">
        <v>2025</v>
      </c>
      <c r="I145" t="s">
        <v>33</v>
      </c>
      <c r="J145" t="s">
        <v>404</v>
      </c>
      <c r="K145">
        <v>45164</v>
      </c>
      <c r="L145">
        <v>47762</v>
      </c>
      <c r="M145">
        <v>1.0575236914356569</v>
      </c>
      <c r="N145">
        <v>1.0575236914356569</v>
      </c>
      <c r="O145" t="s">
        <v>35</v>
      </c>
      <c r="P145" t="s">
        <v>35</v>
      </c>
      <c r="Q145" t="s">
        <v>415</v>
      </c>
      <c r="R145">
        <v>0</v>
      </c>
      <c r="S145">
        <v>0</v>
      </c>
      <c r="T145" t="s">
        <v>443</v>
      </c>
    </row>
    <row r="146" spans="1:20" hidden="1" x14ac:dyDescent="0.3">
      <c r="A146">
        <v>14.3</v>
      </c>
      <c r="B146" t="s">
        <v>365</v>
      </c>
      <c r="C146" t="s">
        <v>37</v>
      </c>
      <c r="D146" t="s">
        <v>186</v>
      </c>
      <c r="E146" t="s">
        <v>31</v>
      </c>
      <c r="F146" t="s">
        <v>32</v>
      </c>
      <c r="G146" s="2">
        <v>45838</v>
      </c>
      <c r="H146">
        <v>2025</v>
      </c>
      <c r="I146" t="s">
        <v>33</v>
      </c>
      <c r="J146" t="s">
        <v>404</v>
      </c>
      <c r="K146">
        <v>49641</v>
      </c>
      <c r="L146">
        <v>52096</v>
      </c>
      <c r="M146">
        <v>1.0494550875284541</v>
      </c>
      <c r="N146">
        <v>1.0494550875284541</v>
      </c>
      <c r="O146" t="s">
        <v>35</v>
      </c>
      <c r="P146" t="s">
        <v>35</v>
      </c>
      <c r="Q146" t="s">
        <v>416</v>
      </c>
      <c r="R146">
        <v>0</v>
      </c>
      <c r="S146">
        <v>0</v>
      </c>
      <c r="T146" t="s">
        <v>443</v>
      </c>
    </row>
    <row r="147" spans="1:20" hidden="1" x14ac:dyDescent="0.3">
      <c r="A147">
        <v>14.4</v>
      </c>
      <c r="B147" t="s">
        <v>371</v>
      </c>
      <c r="C147" t="s">
        <v>37</v>
      </c>
      <c r="D147" t="s">
        <v>186</v>
      </c>
      <c r="E147" t="s">
        <v>31</v>
      </c>
      <c r="F147" t="s">
        <v>32</v>
      </c>
      <c r="G147" s="2">
        <v>45838</v>
      </c>
      <c r="H147">
        <v>2025</v>
      </c>
      <c r="I147" t="s">
        <v>33</v>
      </c>
      <c r="J147" t="s">
        <v>404</v>
      </c>
      <c r="K147">
        <v>3994</v>
      </c>
      <c r="L147">
        <v>4409</v>
      </c>
      <c r="M147">
        <v>1.103905858788182</v>
      </c>
      <c r="N147">
        <v>1.103905858788182</v>
      </c>
      <c r="O147" t="s">
        <v>35</v>
      </c>
      <c r="P147" t="s">
        <v>35</v>
      </c>
      <c r="Q147" t="s">
        <v>417</v>
      </c>
      <c r="R147">
        <v>0</v>
      </c>
      <c r="S147">
        <v>0</v>
      </c>
      <c r="T147" t="s">
        <v>443</v>
      </c>
    </row>
    <row r="148" spans="1:20" hidden="1" x14ac:dyDescent="0.3">
      <c r="A148">
        <v>423</v>
      </c>
      <c r="B148" t="s">
        <v>320</v>
      </c>
      <c r="C148" t="s">
        <v>37</v>
      </c>
      <c r="D148" t="s">
        <v>83</v>
      </c>
      <c r="E148" t="s">
        <v>66</v>
      </c>
      <c r="F148" t="s">
        <v>32</v>
      </c>
      <c r="G148" s="2">
        <v>45838</v>
      </c>
      <c r="H148">
        <v>2025</v>
      </c>
      <c r="I148" t="s">
        <v>33</v>
      </c>
      <c r="J148" t="s">
        <v>404</v>
      </c>
      <c r="K148">
        <v>8.3000000000000007</v>
      </c>
      <c r="L148">
        <v>12.3</v>
      </c>
      <c r="M148">
        <v>1.3</v>
      </c>
      <c r="N148">
        <v>1.481927710843373</v>
      </c>
      <c r="O148" t="s">
        <v>245</v>
      </c>
      <c r="P148" t="s">
        <v>245</v>
      </c>
      <c r="Q148" t="s">
        <v>455</v>
      </c>
      <c r="R148">
        <v>1</v>
      </c>
      <c r="S148">
        <v>1</v>
      </c>
      <c r="T148" t="s">
        <v>443</v>
      </c>
    </row>
    <row r="149" spans="1:20" hidden="1" x14ac:dyDescent="0.3">
      <c r="A149">
        <v>97</v>
      </c>
      <c r="B149" t="s">
        <v>82</v>
      </c>
      <c r="C149" t="s">
        <v>37</v>
      </c>
      <c r="D149" t="s">
        <v>83</v>
      </c>
      <c r="E149" t="s">
        <v>31</v>
      </c>
      <c r="F149" t="s">
        <v>32</v>
      </c>
      <c r="G149" s="2">
        <v>45838</v>
      </c>
      <c r="H149">
        <v>2025</v>
      </c>
      <c r="I149" t="s">
        <v>33</v>
      </c>
      <c r="J149" t="s">
        <v>404</v>
      </c>
      <c r="K149">
        <v>0</v>
      </c>
      <c r="L149">
        <v>0</v>
      </c>
      <c r="O149" t="s">
        <v>35</v>
      </c>
      <c r="P149" t="s">
        <v>35</v>
      </c>
      <c r="Q149" t="s">
        <v>456</v>
      </c>
      <c r="R149">
        <v>0</v>
      </c>
      <c r="S149">
        <v>0</v>
      </c>
      <c r="T149" t="s">
        <v>443</v>
      </c>
    </row>
    <row r="150" spans="1:20" hidden="1" x14ac:dyDescent="0.3">
      <c r="A150">
        <v>98</v>
      </c>
      <c r="B150" t="s">
        <v>91</v>
      </c>
      <c r="C150" t="s">
        <v>37</v>
      </c>
      <c r="D150" t="s">
        <v>83</v>
      </c>
      <c r="E150" t="s">
        <v>31</v>
      </c>
      <c r="F150" t="s">
        <v>32</v>
      </c>
      <c r="G150" s="2">
        <v>45838</v>
      </c>
      <c r="H150">
        <v>2025</v>
      </c>
      <c r="I150" t="s">
        <v>33</v>
      </c>
      <c r="J150" t="s">
        <v>404</v>
      </c>
      <c r="K150">
        <v>10</v>
      </c>
      <c r="L150">
        <v>10</v>
      </c>
      <c r="M150">
        <v>1</v>
      </c>
      <c r="N150">
        <v>1</v>
      </c>
      <c r="O150" t="s">
        <v>35</v>
      </c>
      <c r="P150" t="s">
        <v>35</v>
      </c>
      <c r="Q150" t="s">
        <v>418</v>
      </c>
      <c r="R150">
        <v>0</v>
      </c>
      <c r="S150">
        <v>0</v>
      </c>
      <c r="T150" t="s">
        <v>443</v>
      </c>
    </row>
    <row r="151" spans="1:20" hidden="1" x14ac:dyDescent="0.3">
      <c r="A151">
        <v>194</v>
      </c>
      <c r="B151" t="s">
        <v>121</v>
      </c>
      <c r="C151" t="s">
        <v>37</v>
      </c>
      <c r="D151" t="s">
        <v>30</v>
      </c>
      <c r="E151" t="s">
        <v>31</v>
      </c>
      <c r="F151" t="s">
        <v>32</v>
      </c>
      <c r="G151" s="2">
        <v>45838</v>
      </c>
      <c r="H151">
        <v>2025</v>
      </c>
      <c r="I151" t="s">
        <v>33</v>
      </c>
      <c r="J151" t="s">
        <v>404</v>
      </c>
      <c r="K151">
        <v>80</v>
      </c>
      <c r="L151">
        <v>90</v>
      </c>
      <c r="M151">
        <v>1.125</v>
      </c>
      <c r="N151">
        <v>1.125</v>
      </c>
      <c r="O151" t="s">
        <v>58</v>
      </c>
      <c r="P151" t="s">
        <v>58</v>
      </c>
      <c r="Q151" t="s">
        <v>419</v>
      </c>
      <c r="R151">
        <v>0</v>
      </c>
      <c r="S151">
        <v>0</v>
      </c>
      <c r="T151" t="s">
        <v>443</v>
      </c>
    </row>
    <row r="152" spans="1:20" hidden="1" x14ac:dyDescent="0.3">
      <c r="A152">
        <v>193</v>
      </c>
      <c r="B152" t="s">
        <v>110</v>
      </c>
      <c r="C152" t="s">
        <v>37</v>
      </c>
      <c r="D152" t="s">
        <v>30</v>
      </c>
      <c r="E152" t="s">
        <v>31</v>
      </c>
      <c r="F152" t="s">
        <v>32</v>
      </c>
      <c r="G152" s="2">
        <v>45838</v>
      </c>
      <c r="H152">
        <v>2025</v>
      </c>
      <c r="I152" t="s">
        <v>33</v>
      </c>
      <c r="J152" t="s">
        <v>404</v>
      </c>
      <c r="K152">
        <v>93</v>
      </c>
      <c r="L152">
        <v>96.21</v>
      </c>
      <c r="M152">
        <v>1.034516129032258</v>
      </c>
      <c r="N152">
        <v>1.034516129032258</v>
      </c>
      <c r="O152" t="s">
        <v>58</v>
      </c>
      <c r="P152" t="s">
        <v>58</v>
      </c>
      <c r="Q152" t="s">
        <v>420</v>
      </c>
      <c r="R152">
        <v>1</v>
      </c>
      <c r="S152">
        <v>1</v>
      </c>
      <c r="T152" t="s">
        <v>443</v>
      </c>
    </row>
    <row r="153" spans="1:20" hidden="1" x14ac:dyDescent="0.3">
      <c r="A153">
        <v>466</v>
      </c>
      <c r="B153" t="s">
        <v>341</v>
      </c>
      <c r="C153" t="s">
        <v>37</v>
      </c>
      <c r="D153" t="s">
        <v>30</v>
      </c>
      <c r="E153" t="s">
        <v>31</v>
      </c>
      <c r="F153" t="s">
        <v>32</v>
      </c>
      <c r="G153" s="2">
        <v>45838</v>
      </c>
      <c r="H153">
        <v>2025</v>
      </c>
      <c r="I153" t="s">
        <v>33</v>
      </c>
      <c r="J153" t="s">
        <v>404</v>
      </c>
      <c r="K153">
        <v>50</v>
      </c>
      <c r="L153">
        <v>53.8</v>
      </c>
      <c r="M153">
        <v>1.0760000000000001</v>
      </c>
      <c r="N153">
        <v>1.0760000000000001</v>
      </c>
      <c r="O153" t="s">
        <v>35</v>
      </c>
      <c r="P153" t="s">
        <v>245</v>
      </c>
      <c r="Q153" t="s">
        <v>457</v>
      </c>
      <c r="R153">
        <v>1</v>
      </c>
      <c r="S153">
        <v>1</v>
      </c>
      <c r="T153" t="s">
        <v>443</v>
      </c>
    </row>
    <row r="154" spans="1:20" hidden="1" x14ac:dyDescent="0.3">
      <c r="A154">
        <v>245</v>
      </c>
      <c r="B154" t="s">
        <v>185</v>
      </c>
      <c r="C154" t="s">
        <v>37</v>
      </c>
      <c r="D154" t="s">
        <v>186</v>
      </c>
      <c r="E154" t="s">
        <v>31</v>
      </c>
      <c r="F154" t="s">
        <v>32</v>
      </c>
      <c r="G154" s="2">
        <v>45838</v>
      </c>
      <c r="H154">
        <v>2025</v>
      </c>
      <c r="I154" t="s">
        <v>33</v>
      </c>
      <c r="J154" t="s">
        <v>404</v>
      </c>
      <c r="K154">
        <v>85.7</v>
      </c>
      <c r="L154">
        <v>86.5</v>
      </c>
      <c r="M154">
        <v>1.009334889148191</v>
      </c>
      <c r="N154">
        <v>1.009334889148191</v>
      </c>
      <c r="O154" t="s">
        <v>58</v>
      </c>
      <c r="P154" t="s">
        <v>58</v>
      </c>
      <c r="Q154" t="s">
        <v>421</v>
      </c>
      <c r="R154">
        <v>1</v>
      </c>
      <c r="S154">
        <v>1</v>
      </c>
      <c r="T154" t="s">
        <v>443</v>
      </c>
    </row>
    <row r="155" spans="1:20" hidden="1" x14ac:dyDescent="0.3">
      <c r="A155">
        <v>205</v>
      </c>
      <c r="B155" t="s">
        <v>161</v>
      </c>
      <c r="C155" t="s">
        <v>37</v>
      </c>
      <c r="D155" t="s">
        <v>142</v>
      </c>
      <c r="E155" t="s">
        <v>31</v>
      </c>
      <c r="F155" t="s">
        <v>32</v>
      </c>
      <c r="G155" s="2">
        <v>45838</v>
      </c>
      <c r="H155">
        <v>2025</v>
      </c>
      <c r="I155" t="s">
        <v>33</v>
      </c>
      <c r="J155" t="s">
        <v>404</v>
      </c>
      <c r="K155">
        <v>4817.8363419999996</v>
      </c>
      <c r="L155">
        <v>8976.1202028999996</v>
      </c>
      <c r="M155">
        <v>1.3</v>
      </c>
      <c r="N155">
        <v>1.8631019332578229</v>
      </c>
      <c r="O155" t="s">
        <v>143</v>
      </c>
      <c r="P155" t="s">
        <v>143</v>
      </c>
      <c r="Q155" t="s">
        <v>422</v>
      </c>
      <c r="R155">
        <v>0</v>
      </c>
      <c r="S155">
        <v>0</v>
      </c>
      <c r="T155" t="s">
        <v>443</v>
      </c>
    </row>
    <row r="156" spans="1:20" hidden="1" x14ac:dyDescent="0.3">
      <c r="A156">
        <v>204</v>
      </c>
      <c r="B156" t="s">
        <v>154</v>
      </c>
      <c r="C156" t="s">
        <v>37</v>
      </c>
      <c r="D156" t="s">
        <v>142</v>
      </c>
      <c r="E156" t="s">
        <v>31</v>
      </c>
      <c r="F156" t="s">
        <v>32</v>
      </c>
      <c r="G156" s="2">
        <v>45838</v>
      </c>
      <c r="H156">
        <v>2025</v>
      </c>
      <c r="I156" t="s">
        <v>33</v>
      </c>
      <c r="J156" t="s">
        <v>404</v>
      </c>
      <c r="K156">
        <v>23623.074006999999</v>
      </c>
      <c r="L156">
        <v>20526.599049</v>
      </c>
      <c r="M156">
        <v>0.86892159093763788</v>
      </c>
      <c r="N156">
        <v>0.86892159093763788</v>
      </c>
      <c r="O156" t="s">
        <v>143</v>
      </c>
      <c r="P156" t="s">
        <v>143</v>
      </c>
      <c r="Q156" t="s">
        <v>423</v>
      </c>
      <c r="R156">
        <v>0</v>
      </c>
      <c r="S156">
        <v>0</v>
      </c>
      <c r="T156" t="s">
        <v>443</v>
      </c>
    </row>
    <row r="157" spans="1:20" hidden="1" x14ac:dyDescent="0.3">
      <c r="A157">
        <v>377</v>
      </c>
      <c r="B157" t="s">
        <v>296</v>
      </c>
      <c r="C157" t="s">
        <v>37</v>
      </c>
      <c r="D157" t="s">
        <v>142</v>
      </c>
      <c r="E157" t="s">
        <v>31</v>
      </c>
      <c r="F157" t="s">
        <v>171</v>
      </c>
      <c r="G157" s="2">
        <v>45838</v>
      </c>
      <c r="H157">
        <v>2025</v>
      </c>
      <c r="I157" t="s">
        <v>33</v>
      </c>
      <c r="J157" t="s">
        <v>404</v>
      </c>
      <c r="K157">
        <v>9557.1950106811255</v>
      </c>
      <c r="L157">
        <v>11947.626618</v>
      </c>
      <c r="M157">
        <v>1.2501185342192269</v>
      </c>
      <c r="N157">
        <v>1.2501185342192269</v>
      </c>
      <c r="O157" t="s">
        <v>143</v>
      </c>
      <c r="P157" t="s">
        <v>143</v>
      </c>
      <c r="Q157" t="s">
        <v>458</v>
      </c>
      <c r="R157">
        <v>0</v>
      </c>
      <c r="S157">
        <v>0</v>
      </c>
      <c r="T157" t="s">
        <v>443</v>
      </c>
    </row>
    <row r="158" spans="1:20" hidden="1" x14ac:dyDescent="0.3">
      <c r="A158">
        <v>367</v>
      </c>
      <c r="B158" t="s">
        <v>279</v>
      </c>
      <c r="C158" t="s">
        <v>37</v>
      </c>
      <c r="D158" t="s">
        <v>267</v>
      </c>
      <c r="E158" t="s">
        <v>66</v>
      </c>
      <c r="F158" t="s">
        <v>32</v>
      </c>
      <c r="G158" s="2">
        <v>45838</v>
      </c>
      <c r="H158">
        <v>2025</v>
      </c>
      <c r="I158" t="s">
        <v>33</v>
      </c>
      <c r="J158" t="s">
        <v>404</v>
      </c>
      <c r="K158">
        <v>5</v>
      </c>
      <c r="L158">
        <v>4.96</v>
      </c>
      <c r="M158">
        <v>0.99199999999999999</v>
      </c>
      <c r="N158">
        <v>0.99199999999999999</v>
      </c>
      <c r="O158" t="s">
        <v>58</v>
      </c>
      <c r="P158" t="s">
        <v>58</v>
      </c>
      <c r="Q158" t="s">
        <v>459</v>
      </c>
      <c r="R158">
        <v>1</v>
      </c>
      <c r="S158">
        <v>2</v>
      </c>
      <c r="T158" t="s">
        <v>443</v>
      </c>
    </row>
    <row r="159" spans="1:20" hidden="1" x14ac:dyDescent="0.3">
      <c r="A159">
        <v>364</v>
      </c>
      <c r="B159" t="s">
        <v>271</v>
      </c>
      <c r="C159" t="s">
        <v>474</v>
      </c>
      <c r="D159" t="s">
        <v>267</v>
      </c>
      <c r="E159" t="s">
        <v>31</v>
      </c>
      <c r="F159" t="s">
        <v>32</v>
      </c>
      <c r="G159" s="2">
        <v>45838</v>
      </c>
      <c r="H159">
        <v>2025</v>
      </c>
      <c r="I159" t="s">
        <v>33</v>
      </c>
      <c r="J159" t="s">
        <v>404</v>
      </c>
      <c r="K159">
        <v>33279</v>
      </c>
      <c r="L159">
        <v>131244</v>
      </c>
      <c r="M159">
        <v>1.3</v>
      </c>
      <c r="N159">
        <v>3.9437483097448842</v>
      </c>
      <c r="O159" t="s">
        <v>35</v>
      </c>
      <c r="P159" t="s">
        <v>35</v>
      </c>
      <c r="Q159" t="s">
        <v>424</v>
      </c>
      <c r="R159">
        <v>0</v>
      </c>
      <c r="S159">
        <v>0</v>
      </c>
      <c r="T159" t="s">
        <v>443</v>
      </c>
    </row>
    <row r="160" spans="1:20" hidden="1" x14ac:dyDescent="0.3">
      <c r="A160">
        <v>376</v>
      </c>
      <c r="B160" t="s">
        <v>473</v>
      </c>
      <c r="C160" t="s">
        <v>37</v>
      </c>
      <c r="D160" t="s">
        <v>142</v>
      </c>
      <c r="E160" t="s">
        <v>31</v>
      </c>
      <c r="F160" t="s">
        <v>32</v>
      </c>
      <c r="G160" s="2">
        <v>45838</v>
      </c>
      <c r="H160">
        <v>2025</v>
      </c>
      <c r="I160" t="s">
        <v>33</v>
      </c>
      <c r="J160" t="s">
        <v>404</v>
      </c>
      <c r="K160">
        <v>18705.796225999999</v>
      </c>
      <c r="L160">
        <v>22048.226769000001</v>
      </c>
      <c r="M160">
        <v>1.178684216518632</v>
      </c>
      <c r="N160">
        <v>1.178684216518632</v>
      </c>
      <c r="O160" t="s">
        <v>143</v>
      </c>
      <c r="P160" t="s">
        <v>143</v>
      </c>
      <c r="Q160" t="s">
        <v>425</v>
      </c>
      <c r="R160">
        <v>0</v>
      </c>
      <c r="S160">
        <v>0</v>
      </c>
      <c r="T160" t="s">
        <v>443</v>
      </c>
    </row>
    <row r="161" spans="1:20" hidden="1" x14ac:dyDescent="0.3">
      <c r="A161">
        <v>228</v>
      </c>
      <c r="B161" t="s">
        <v>176</v>
      </c>
      <c r="C161" t="s">
        <v>37</v>
      </c>
      <c r="D161" t="s">
        <v>177</v>
      </c>
      <c r="E161" t="s">
        <v>66</v>
      </c>
      <c r="F161" t="s">
        <v>32</v>
      </c>
      <c r="G161" s="2">
        <v>45838</v>
      </c>
      <c r="H161">
        <v>2025</v>
      </c>
      <c r="I161" t="s">
        <v>33</v>
      </c>
      <c r="J161" t="s">
        <v>404</v>
      </c>
      <c r="K161">
        <v>622.69000000000005</v>
      </c>
      <c r="L161">
        <v>622.69100000000003</v>
      </c>
      <c r="M161">
        <v>1</v>
      </c>
      <c r="N161">
        <v>1.0000016059355381</v>
      </c>
      <c r="O161" t="s">
        <v>445</v>
      </c>
      <c r="P161" t="s">
        <v>445</v>
      </c>
      <c r="Q161" t="s">
        <v>460</v>
      </c>
      <c r="R161">
        <v>1</v>
      </c>
      <c r="S161">
        <v>1</v>
      </c>
      <c r="T161" t="s">
        <v>443</v>
      </c>
    </row>
    <row r="162" spans="1:20" hidden="1" x14ac:dyDescent="0.3">
      <c r="A162">
        <v>203</v>
      </c>
      <c r="B162" t="s">
        <v>141</v>
      </c>
      <c r="C162" t="s">
        <v>37</v>
      </c>
      <c r="D162" t="s">
        <v>142</v>
      </c>
      <c r="E162" t="s">
        <v>31</v>
      </c>
      <c r="F162" t="s">
        <v>32</v>
      </c>
      <c r="G162" s="2">
        <v>45838</v>
      </c>
      <c r="H162">
        <v>2025</v>
      </c>
      <c r="I162" t="s">
        <v>33</v>
      </c>
      <c r="J162" t="s">
        <v>404</v>
      </c>
      <c r="K162">
        <v>149950.76733</v>
      </c>
      <c r="L162">
        <v>167595.14529690001</v>
      </c>
      <c r="M162">
        <v>1.1176678071147821</v>
      </c>
      <c r="N162">
        <v>1.1176678071147821</v>
      </c>
      <c r="O162" t="s">
        <v>143</v>
      </c>
      <c r="P162" t="s">
        <v>143</v>
      </c>
      <c r="Q162" t="s">
        <v>426</v>
      </c>
      <c r="R162">
        <v>0</v>
      </c>
      <c r="S162">
        <v>0</v>
      </c>
      <c r="T162" t="s">
        <v>443</v>
      </c>
    </row>
    <row r="163" spans="1:20" hidden="1" x14ac:dyDescent="0.3">
      <c r="A163">
        <v>207</v>
      </c>
      <c r="B163" t="s">
        <v>170</v>
      </c>
      <c r="C163" t="s">
        <v>37</v>
      </c>
      <c r="D163" t="s">
        <v>142</v>
      </c>
      <c r="E163" t="s">
        <v>31</v>
      </c>
      <c r="F163" t="s">
        <v>171</v>
      </c>
      <c r="G163" s="2">
        <v>45838</v>
      </c>
      <c r="H163">
        <v>2025</v>
      </c>
      <c r="I163" t="s">
        <v>33</v>
      </c>
      <c r="J163" t="s">
        <v>404</v>
      </c>
      <c r="K163">
        <v>131244.07283600001</v>
      </c>
      <c r="L163">
        <v>145546.91852800001</v>
      </c>
      <c r="M163">
        <v>1.108978983834741</v>
      </c>
      <c r="N163">
        <v>1.108978983834741</v>
      </c>
      <c r="O163" t="s">
        <v>143</v>
      </c>
      <c r="P163" t="s">
        <v>143</v>
      </c>
      <c r="Q163" t="s">
        <v>427</v>
      </c>
      <c r="R163">
        <v>0</v>
      </c>
      <c r="S163">
        <v>0</v>
      </c>
      <c r="T163" t="s">
        <v>443</v>
      </c>
    </row>
    <row r="164" spans="1:20" hidden="1" x14ac:dyDescent="0.3">
      <c r="A164">
        <v>361</v>
      </c>
      <c r="B164" t="s">
        <v>470</v>
      </c>
      <c r="C164" t="s">
        <v>37</v>
      </c>
      <c r="D164" t="s">
        <v>267</v>
      </c>
      <c r="E164" t="s">
        <v>66</v>
      </c>
      <c r="F164" t="s">
        <v>32</v>
      </c>
      <c r="G164" s="2">
        <v>45838</v>
      </c>
      <c r="H164">
        <v>2025</v>
      </c>
      <c r="I164" t="s">
        <v>33</v>
      </c>
      <c r="J164" t="s">
        <v>404</v>
      </c>
      <c r="K164">
        <v>4.5</v>
      </c>
      <c r="L164">
        <v>4.5599999999999996</v>
      </c>
      <c r="M164">
        <v>1.013333333333333</v>
      </c>
      <c r="N164">
        <v>1.013333333333333</v>
      </c>
      <c r="O164" t="s">
        <v>245</v>
      </c>
      <c r="P164" t="s">
        <v>245</v>
      </c>
      <c r="Q164" t="s">
        <v>461</v>
      </c>
      <c r="R164">
        <v>1</v>
      </c>
      <c r="S164">
        <v>2</v>
      </c>
      <c r="T164" t="s">
        <v>443</v>
      </c>
    </row>
    <row r="165" spans="1:20" hidden="1" x14ac:dyDescent="0.3">
      <c r="A165">
        <v>244</v>
      </c>
      <c r="B165" t="s">
        <v>182</v>
      </c>
      <c r="C165" t="s">
        <v>37</v>
      </c>
      <c r="D165" t="s">
        <v>177</v>
      </c>
      <c r="E165" t="s">
        <v>66</v>
      </c>
      <c r="F165" t="s">
        <v>171</v>
      </c>
      <c r="G165" s="2">
        <v>45838</v>
      </c>
      <c r="H165">
        <v>2025</v>
      </c>
      <c r="I165" t="s">
        <v>33</v>
      </c>
      <c r="J165" t="s">
        <v>404</v>
      </c>
      <c r="K165">
        <v>25</v>
      </c>
      <c r="L165">
        <v>25</v>
      </c>
      <c r="M165">
        <v>1</v>
      </c>
      <c r="N165">
        <v>1</v>
      </c>
      <c r="O165" t="s">
        <v>35</v>
      </c>
      <c r="P165" t="s">
        <v>35</v>
      </c>
      <c r="Q165" t="s">
        <v>462</v>
      </c>
      <c r="R165">
        <v>0</v>
      </c>
      <c r="S165">
        <v>0</v>
      </c>
      <c r="T165" t="s">
        <v>443</v>
      </c>
    </row>
    <row r="166" spans="1:20" hidden="1" x14ac:dyDescent="0.3">
      <c r="A166">
        <v>369</v>
      </c>
      <c r="B166" t="s">
        <v>283</v>
      </c>
      <c r="C166" t="s">
        <v>37</v>
      </c>
      <c r="D166" t="s">
        <v>267</v>
      </c>
      <c r="E166" t="s">
        <v>31</v>
      </c>
      <c r="F166" t="s">
        <v>32</v>
      </c>
      <c r="G166" s="2">
        <v>45838</v>
      </c>
      <c r="H166">
        <v>2025</v>
      </c>
      <c r="I166" t="s">
        <v>33</v>
      </c>
      <c r="J166" t="s">
        <v>404</v>
      </c>
      <c r="K166">
        <v>81</v>
      </c>
      <c r="L166">
        <v>72</v>
      </c>
      <c r="M166">
        <v>0.88888888888888884</v>
      </c>
      <c r="N166">
        <v>0.88888888888888884</v>
      </c>
      <c r="O166" t="s">
        <v>35</v>
      </c>
      <c r="P166" t="s">
        <v>35</v>
      </c>
      <c r="Q166" t="s">
        <v>428</v>
      </c>
      <c r="R166">
        <v>0</v>
      </c>
      <c r="S166">
        <v>0</v>
      </c>
      <c r="T166" t="s">
        <v>443</v>
      </c>
    </row>
    <row r="167" spans="1:20" hidden="1" x14ac:dyDescent="0.3">
      <c r="A167">
        <v>331</v>
      </c>
      <c r="B167" t="s">
        <v>231</v>
      </c>
      <c r="C167" t="s">
        <v>474</v>
      </c>
      <c r="D167" t="s">
        <v>232</v>
      </c>
      <c r="E167" t="s">
        <v>66</v>
      </c>
      <c r="F167" t="s">
        <v>32</v>
      </c>
      <c r="G167" s="2">
        <v>45838</v>
      </c>
      <c r="H167">
        <v>2025</v>
      </c>
      <c r="I167" t="s">
        <v>33</v>
      </c>
      <c r="J167" t="s">
        <v>404</v>
      </c>
      <c r="L167">
        <v>82</v>
      </c>
      <c r="O167" t="s">
        <v>429</v>
      </c>
      <c r="P167" t="s">
        <v>58</v>
      </c>
      <c r="Q167" t="s">
        <v>430</v>
      </c>
      <c r="R167">
        <v>0</v>
      </c>
      <c r="S167">
        <v>0</v>
      </c>
      <c r="T167" t="s">
        <v>443</v>
      </c>
    </row>
    <row r="168" spans="1:20" hidden="1" x14ac:dyDescent="0.3">
      <c r="A168">
        <v>332</v>
      </c>
      <c r="B168" t="s">
        <v>239</v>
      </c>
      <c r="C168" t="s">
        <v>37</v>
      </c>
      <c r="D168" t="s">
        <v>130</v>
      </c>
      <c r="E168" t="s">
        <v>31</v>
      </c>
      <c r="F168" t="s">
        <v>171</v>
      </c>
      <c r="G168" s="2">
        <v>45838</v>
      </c>
      <c r="H168">
        <v>2025</v>
      </c>
      <c r="I168" t="s">
        <v>33</v>
      </c>
      <c r="J168" t="s">
        <v>404</v>
      </c>
      <c r="K168">
        <v>1.5</v>
      </c>
      <c r="L168">
        <v>1.1499999999999999</v>
      </c>
      <c r="M168">
        <v>1.3</v>
      </c>
      <c r="N168">
        <v>1.304347826086957</v>
      </c>
      <c r="O168" t="s">
        <v>245</v>
      </c>
      <c r="P168" t="s">
        <v>245</v>
      </c>
      <c r="Q168" t="s">
        <v>431</v>
      </c>
      <c r="R168">
        <v>2</v>
      </c>
      <c r="S168">
        <v>2</v>
      </c>
      <c r="T168" t="s">
        <v>443</v>
      </c>
    </row>
    <row r="169" spans="1:20" hidden="1" x14ac:dyDescent="0.3">
      <c r="A169">
        <v>202</v>
      </c>
      <c r="B169" t="s">
        <v>137</v>
      </c>
      <c r="C169" t="s">
        <v>37</v>
      </c>
      <c r="D169" t="s">
        <v>130</v>
      </c>
      <c r="E169" t="s">
        <v>66</v>
      </c>
      <c r="F169" t="s">
        <v>32</v>
      </c>
      <c r="G169" s="2">
        <v>45838</v>
      </c>
      <c r="H169">
        <v>2025</v>
      </c>
      <c r="I169" t="s">
        <v>33</v>
      </c>
      <c r="J169" t="s">
        <v>404</v>
      </c>
      <c r="K169">
        <v>68.7</v>
      </c>
      <c r="L169">
        <v>81</v>
      </c>
      <c r="M169">
        <v>1.179039301310044</v>
      </c>
      <c r="N169">
        <v>1.179039301310044</v>
      </c>
      <c r="O169" t="s">
        <v>245</v>
      </c>
      <c r="P169" t="s">
        <v>245</v>
      </c>
      <c r="Q169" t="s">
        <v>432</v>
      </c>
      <c r="R169">
        <v>1</v>
      </c>
      <c r="S169">
        <v>1</v>
      </c>
      <c r="T169" t="s">
        <v>443</v>
      </c>
    </row>
    <row r="170" spans="1:20" hidden="1" x14ac:dyDescent="0.3">
      <c r="A170">
        <v>200</v>
      </c>
      <c r="B170" t="s">
        <v>129</v>
      </c>
      <c r="C170" t="s">
        <v>37</v>
      </c>
      <c r="D170" t="s">
        <v>130</v>
      </c>
      <c r="E170" t="s">
        <v>66</v>
      </c>
      <c r="F170" t="s">
        <v>32</v>
      </c>
      <c r="G170" s="2">
        <v>45838</v>
      </c>
      <c r="H170">
        <v>2025</v>
      </c>
      <c r="I170" t="s">
        <v>33</v>
      </c>
      <c r="J170" t="s">
        <v>404</v>
      </c>
      <c r="K170">
        <v>80</v>
      </c>
      <c r="L170">
        <v>87.4</v>
      </c>
      <c r="M170">
        <v>1.0925</v>
      </c>
      <c r="N170">
        <v>1.0925</v>
      </c>
      <c r="O170" t="s">
        <v>58</v>
      </c>
      <c r="P170" t="s">
        <v>58</v>
      </c>
      <c r="Q170" t="s">
        <v>463</v>
      </c>
      <c r="R170">
        <v>0</v>
      </c>
      <c r="S170">
        <v>1</v>
      </c>
      <c r="T170" t="s">
        <v>443</v>
      </c>
    </row>
    <row r="171" spans="1:20" hidden="1" x14ac:dyDescent="0.3">
      <c r="A171">
        <v>109</v>
      </c>
      <c r="B171" t="s">
        <v>469</v>
      </c>
      <c r="C171" t="s">
        <v>37</v>
      </c>
      <c r="D171" t="s">
        <v>99</v>
      </c>
      <c r="E171" t="s">
        <v>66</v>
      </c>
      <c r="F171" t="s">
        <v>32</v>
      </c>
      <c r="G171" s="2">
        <v>45838</v>
      </c>
      <c r="H171">
        <v>2025</v>
      </c>
      <c r="I171" t="s">
        <v>33</v>
      </c>
      <c r="J171" t="s">
        <v>404</v>
      </c>
      <c r="K171">
        <v>80</v>
      </c>
      <c r="L171">
        <v>85</v>
      </c>
      <c r="M171">
        <v>1.0625</v>
      </c>
      <c r="N171">
        <v>1.0625</v>
      </c>
      <c r="O171" t="s">
        <v>58</v>
      </c>
      <c r="P171" t="s">
        <v>58</v>
      </c>
      <c r="Q171" t="s">
        <v>464</v>
      </c>
      <c r="R171">
        <v>0</v>
      </c>
      <c r="S171">
        <v>0</v>
      </c>
      <c r="T171" t="s">
        <v>443</v>
      </c>
    </row>
    <row r="172" spans="1:20" hidden="1" x14ac:dyDescent="0.3">
      <c r="A172">
        <v>335</v>
      </c>
      <c r="B172" t="s">
        <v>252</v>
      </c>
      <c r="C172" t="s">
        <v>474</v>
      </c>
      <c r="D172" t="s">
        <v>130</v>
      </c>
      <c r="E172" t="s">
        <v>66</v>
      </c>
      <c r="F172" t="s">
        <v>32</v>
      </c>
      <c r="G172" s="2">
        <v>46022</v>
      </c>
      <c r="H172">
        <v>2025</v>
      </c>
      <c r="I172" t="s">
        <v>44</v>
      </c>
      <c r="J172" t="s">
        <v>465</v>
      </c>
      <c r="K172">
        <v>82</v>
      </c>
      <c r="L172">
        <v>80.95</v>
      </c>
      <c r="M172">
        <v>0.9871951219512195</v>
      </c>
      <c r="N172">
        <v>0.9871951219512195</v>
      </c>
      <c r="O172" t="s">
        <v>58</v>
      </c>
      <c r="P172" t="s">
        <v>58</v>
      </c>
      <c r="Q172" t="s">
        <v>466</v>
      </c>
      <c r="R172">
        <v>0</v>
      </c>
      <c r="S172">
        <v>0</v>
      </c>
      <c r="T172" t="s">
        <v>443</v>
      </c>
    </row>
    <row r="173" spans="1:20" hidden="1" x14ac:dyDescent="0.3">
      <c r="A173">
        <v>334</v>
      </c>
      <c r="B173" t="s">
        <v>248</v>
      </c>
      <c r="C173" t="s">
        <v>474</v>
      </c>
      <c r="D173" t="s">
        <v>130</v>
      </c>
      <c r="E173" t="s">
        <v>66</v>
      </c>
      <c r="F173" t="s">
        <v>32</v>
      </c>
      <c r="G173" s="2">
        <v>45838</v>
      </c>
      <c r="H173">
        <v>2025</v>
      </c>
      <c r="I173" t="s">
        <v>33</v>
      </c>
      <c r="J173" t="s">
        <v>404</v>
      </c>
      <c r="K173">
        <v>88</v>
      </c>
      <c r="L173">
        <v>88.84</v>
      </c>
      <c r="M173">
        <v>1.009545454545455</v>
      </c>
      <c r="N173">
        <v>1.009545454545455</v>
      </c>
      <c r="O173" t="s">
        <v>35</v>
      </c>
      <c r="P173" t="s">
        <v>245</v>
      </c>
      <c r="Q173" t="s">
        <v>467</v>
      </c>
      <c r="R173">
        <v>0</v>
      </c>
      <c r="S173">
        <v>1</v>
      </c>
      <c r="T173" t="s">
        <v>443</v>
      </c>
    </row>
    <row r="174" spans="1:20" hidden="1" x14ac:dyDescent="0.3">
      <c r="A174">
        <v>77</v>
      </c>
      <c r="B174" t="s">
        <v>55</v>
      </c>
      <c r="C174" t="s">
        <v>37</v>
      </c>
      <c r="D174" t="s">
        <v>56</v>
      </c>
      <c r="E174" t="s">
        <v>57</v>
      </c>
      <c r="F174" t="s">
        <v>32</v>
      </c>
      <c r="G174" s="2">
        <v>45838</v>
      </c>
      <c r="H174">
        <v>2025</v>
      </c>
      <c r="I174" t="s">
        <v>33</v>
      </c>
      <c r="J174" t="s">
        <v>404</v>
      </c>
      <c r="K174">
        <v>97</v>
      </c>
      <c r="L174">
        <v>94.65</v>
      </c>
      <c r="M174">
        <v>0.97577319587628875</v>
      </c>
      <c r="N174">
        <v>0.97577319587628875</v>
      </c>
      <c r="O174" t="s">
        <v>58</v>
      </c>
      <c r="P174" t="s">
        <v>58</v>
      </c>
      <c r="Q174" t="s">
        <v>433</v>
      </c>
      <c r="R174">
        <v>0</v>
      </c>
      <c r="S174">
        <v>1</v>
      </c>
      <c r="T174" t="s">
        <v>443</v>
      </c>
    </row>
    <row r="175" spans="1:20" hidden="1" x14ac:dyDescent="0.3">
      <c r="A175">
        <v>424</v>
      </c>
      <c r="B175" t="s">
        <v>325</v>
      </c>
      <c r="C175" t="s">
        <v>37</v>
      </c>
      <c r="D175" t="s">
        <v>83</v>
      </c>
      <c r="E175" t="s">
        <v>66</v>
      </c>
      <c r="F175" t="s">
        <v>32</v>
      </c>
      <c r="G175" s="2">
        <v>45838</v>
      </c>
      <c r="H175">
        <v>2025</v>
      </c>
      <c r="I175" t="s">
        <v>33</v>
      </c>
      <c r="J175" t="s">
        <v>404</v>
      </c>
      <c r="K175">
        <v>7</v>
      </c>
      <c r="L175">
        <v>9</v>
      </c>
      <c r="M175">
        <v>1.285714285714286</v>
      </c>
      <c r="N175">
        <v>1.285714285714286</v>
      </c>
      <c r="O175" t="s">
        <v>35</v>
      </c>
      <c r="P175" t="s">
        <v>35</v>
      </c>
      <c r="Q175" t="s">
        <v>468</v>
      </c>
      <c r="R175">
        <v>0</v>
      </c>
      <c r="S175">
        <v>0</v>
      </c>
      <c r="T175" t="s">
        <v>443</v>
      </c>
    </row>
    <row r="176" spans="1:20" hidden="1" x14ac:dyDescent="0.3">
      <c r="A176">
        <v>277</v>
      </c>
      <c r="B176" t="s">
        <v>210</v>
      </c>
      <c r="C176" t="s">
        <v>37</v>
      </c>
      <c r="D176" t="s">
        <v>202</v>
      </c>
      <c r="E176" t="s">
        <v>31</v>
      </c>
      <c r="F176" t="s">
        <v>171</v>
      </c>
      <c r="G176" s="2">
        <v>45838</v>
      </c>
      <c r="H176">
        <v>2025</v>
      </c>
      <c r="I176" t="s">
        <v>33</v>
      </c>
      <c r="J176" t="s">
        <v>404</v>
      </c>
      <c r="K176">
        <v>71</v>
      </c>
      <c r="L176">
        <v>69.39</v>
      </c>
      <c r="M176">
        <v>1.0232021905173661</v>
      </c>
      <c r="N176">
        <v>1.0232021905173661</v>
      </c>
      <c r="O176" t="s">
        <v>35</v>
      </c>
      <c r="P176" t="s">
        <v>245</v>
      </c>
      <c r="Q176" t="s">
        <v>434</v>
      </c>
      <c r="R176">
        <v>1</v>
      </c>
      <c r="S176">
        <v>1</v>
      </c>
      <c r="T176" t="s">
        <v>443</v>
      </c>
    </row>
    <row r="177" spans="1:20" hidden="1" x14ac:dyDescent="0.3">
      <c r="A177">
        <v>525</v>
      </c>
      <c r="B177" t="s">
        <v>435</v>
      </c>
      <c r="C177" t="s">
        <v>37</v>
      </c>
      <c r="D177" t="s">
        <v>310</v>
      </c>
      <c r="E177" t="s">
        <v>31</v>
      </c>
      <c r="F177" t="s">
        <v>32</v>
      </c>
      <c r="G177" s="2">
        <v>45838</v>
      </c>
      <c r="H177">
        <v>2025</v>
      </c>
      <c r="I177" t="s">
        <v>33</v>
      </c>
      <c r="J177" t="s">
        <v>404</v>
      </c>
      <c r="K177">
        <v>6845.8773119999996</v>
      </c>
      <c r="L177">
        <v>8790.9481190000006</v>
      </c>
      <c r="M177">
        <v>1.284122942663686</v>
      </c>
      <c r="N177">
        <v>1.284122942663686</v>
      </c>
      <c r="O177" t="s">
        <v>143</v>
      </c>
      <c r="P177" t="s">
        <v>143</v>
      </c>
      <c r="Q177" t="s">
        <v>436</v>
      </c>
      <c r="R177">
        <v>0</v>
      </c>
      <c r="S177">
        <v>0</v>
      </c>
      <c r="T177" t="s">
        <v>443</v>
      </c>
    </row>
    <row r="178" spans="1:20" hidden="1" x14ac:dyDescent="0.3">
      <c r="A178">
        <v>525.1</v>
      </c>
      <c r="B178" t="s">
        <v>437</v>
      </c>
      <c r="C178" t="s">
        <v>37</v>
      </c>
      <c r="D178" t="s">
        <v>310</v>
      </c>
      <c r="E178" t="s">
        <v>31</v>
      </c>
      <c r="F178" t="s">
        <v>32</v>
      </c>
      <c r="G178" s="2">
        <v>45838</v>
      </c>
      <c r="H178">
        <v>2025</v>
      </c>
      <c r="I178" t="s">
        <v>33</v>
      </c>
      <c r="J178" t="s">
        <v>404</v>
      </c>
      <c r="K178">
        <v>1392.56187</v>
      </c>
      <c r="L178">
        <v>1610.582185</v>
      </c>
      <c r="M178">
        <v>1.1565605950419999</v>
      </c>
      <c r="N178">
        <v>1.1565605950419999</v>
      </c>
      <c r="O178" t="s">
        <v>143</v>
      </c>
      <c r="P178" t="s">
        <v>143</v>
      </c>
      <c r="Q178" t="s">
        <v>438</v>
      </c>
      <c r="R178">
        <v>0</v>
      </c>
      <c r="S178">
        <v>0</v>
      </c>
      <c r="T178" t="s">
        <v>443</v>
      </c>
    </row>
    <row r="179" spans="1:20" hidden="1" x14ac:dyDescent="0.3">
      <c r="A179">
        <v>525.20000000000005</v>
      </c>
      <c r="B179" t="s">
        <v>439</v>
      </c>
      <c r="C179" t="s">
        <v>37</v>
      </c>
      <c r="D179" t="s">
        <v>310</v>
      </c>
      <c r="E179" t="s">
        <v>31</v>
      </c>
      <c r="F179" t="s">
        <v>32</v>
      </c>
      <c r="G179" s="2">
        <v>45838</v>
      </c>
      <c r="H179">
        <v>2025</v>
      </c>
      <c r="I179" t="s">
        <v>33</v>
      </c>
      <c r="J179" t="s">
        <v>404</v>
      </c>
      <c r="K179">
        <v>2655.6515559999998</v>
      </c>
      <c r="L179">
        <v>3358.9061839999999</v>
      </c>
      <c r="M179">
        <v>1.264814345244621</v>
      </c>
      <c r="N179">
        <v>1.264814345244621</v>
      </c>
      <c r="O179" t="s">
        <v>143</v>
      </c>
      <c r="P179" t="s">
        <v>143</v>
      </c>
      <c r="Q179" t="s">
        <v>440</v>
      </c>
      <c r="R179">
        <v>0</v>
      </c>
      <c r="S179">
        <v>0</v>
      </c>
      <c r="T179" t="s">
        <v>443</v>
      </c>
    </row>
    <row r="180" spans="1:20" hidden="1" x14ac:dyDescent="0.3">
      <c r="A180">
        <v>525.29999999999995</v>
      </c>
      <c r="B180" t="s">
        <v>441</v>
      </c>
      <c r="C180" t="s">
        <v>37</v>
      </c>
      <c r="D180" t="s">
        <v>310</v>
      </c>
      <c r="E180" t="s">
        <v>31</v>
      </c>
      <c r="F180" t="s">
        <v>32</v>
      </c>
      <c r="G180" s="2">
        <v>45838</v>
      </c>
      <c r="H180">
        <v>2025</v>
      </c>
      <c r="I180" t="s">
        <v>33</v>
      </c>
      <c r="J180" t="s">
        <v>404</v>
      </c>
      <c r="K180">
        <v>2797.6638859999998</v>
      </c>
      <c r="L180">
        <v>3821.45975</v>
      </c>
      <c r="M180">
        <v>1.365946699002426</v>
      </c>
      <c r="N180">
        <v>1.365946699002426</v>
      </c>
      <c r="O180" t="s">
        <v>143</v>
      </c>
      <c r="P180" t="s">
        <v>143</v>
      </c>
      <c r="Q180" t="s">
        <v>442</v>
      </c>
      <c r="R180">
        <v>0</v>
      </c>
      <c r="S180">
        <v>0</v>
      </c>
      <c r="T180" t="s">
        <v>443</v>
      </c>
    </row>
  </sheetData>
  <autoFilter ref="A1:T180" xr:uid="{00000000-0001-0000-0300-000000000000}">
    <filterColumn colId="1">
      <filters>
        <filter val="Programas acreditables acreditados Sede Bogotá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Unificado</vt:lpstr>
      <vt:lpstr>Unificado (2)</vt:lpstr>
      <vt:lpstr>Semestral_Original</vt:lpstr>
      <vt:lpstr>Base_Indicadores</vt:lpstr>
      <vt:lpstr>Cierres_Original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Ximena Silva</cp:lastModifiedBy>
  <dcterms:created xsi:type="dcterms:W3CDTF">2025-08-29T06:10:50Z</dcterms:created>
  <dcterms:modified xsi:type="dcterms:W3CDTF">2026-02-19T05:50:23Z</dcterms:modified>
</cp:coreProperties>
</file>